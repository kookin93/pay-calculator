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이재선\Documents\카카오톡 받은 파일\"/>
    </mc:Choice>
  </mc:AlternateContent>
  <bookViews>
    <workbookView xWindow="11850" yWindow="720" windowWidth="21285" windowHeight="13890" tabRatio="759"/>
  </bookViews>
  <sheets>
    <sheet name="연봉테이블" sheetId="98" r:id="rId1"/>
    <sheet name="간이세액표" sheetId="99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____A111111" hidden="1">[1]!RedefinePrintTableRange</definedName>
    <definedName name="___A111111" hidden="1">[1]!RedefinePrintTableRange</definedName>
    <definedName name="__123Graph_A" hidden="1">[2]Trans!$B$12:$B$18</definedName>
    <definedName name="__123Graph_B" hidden="1">[2]Trans!$C$12:$C$18</definedName>
    <definedName name="__123Graph_C" hidden="1">[2]Trans!$D$12:$D$18</definedName>
    <definedName name="__123Graph_D" hidden="1">'[3]F4-F7'!#REF!</definedName>
    <definedName name="__123Graph_E" hidden="1">[2]Trans!$G$12:$G$18</definedName>
    <definedName name="__DemandLoad">TRUE</definedName>
    <definedName name="_1">#REF!</definedName>
    <definedName name="_11DD101_" hidden="1">{"'Sheet1'!$A$1:$H$36"}</definedName>
    <definedName name="_14h1_" hidden="1">{"'표지'!$B$5"}</definedName>
    <definedName name="_15A">[4]금액내역서!$D$3:$D$10</definedName>
    <definedName name="_17h2_" hidden="1">{"'표지'!$B$5"}</definedName>
    <definedName name="_2">#REF!</definedName>
    <definedName name="_20h3_" hidden="1">{"'표지'!$B$5"}</definedName>
    <definedName name="_23h4_" hidden="1">{"'표지'!$B$5"}</definedName>
    <definedName name="_26h5_" hidden="1">{"'표지'!$B$5"}</definedName>
    <definedName name="_29H922_" hidden="1">{"'Sheet1'!$A$1:$H$36"}</definedName>
    <definedName name="_3">[5]감가상각!$A$59:$R$88</definedName>
    <definedName name="_32H930_" hidden="1">{"'Sheet1'!$A$1:$H$36"}</definedName>
    <definedName name="_35h940_" hidden="1">{"'Sheet1'!$A$1:$H$36"}</definedName>
    <definedName name="_4">[5]감가상각!$A$89:$R$106</definedName>
    <definedName name="_5a4010_" hidden="1">{"'Sheet1'!$A$1:$H$36"}</definedName>
    <definedName name="_8D6_" hidden="1">{"'표지'!$B$5"}</definedName>
    <definedName name="_A111111" hidden="1">[1]!RedefinePrintTableRange</definedName>
    <definedName name="_B22">[6]일위대가!$A$1400:$IV$1413=[6]일위대가!$A$1400</definedName>
    <definedName name="_DDX10" hidden="1">{"'Sheet1'!$A$1:$H$36"}</definedName>
    <definedName name="_Dist_Values" hidden="1">[7]크라운!#REF!</definedName>
    <definedName name="_hgc1" hidden="1">{"'Sheet1'!$A$1:$H$36"}</definedName>
    <definedName name="_HGP1010" hidden="1">{"'Sheet1'!$A$1:$H$36"}</definedName>
    <definedName name="_htt1" hidden="1">{"'표지'!$B$5"}</definedName>
    <definedName name="_K02">[6]일위대가!$A$732:$IV$745=[6]일위대가!$A$732</definedName>
    <definedName name="_Key1" hidden="1">#REF!</definedName>
    <definedName name="_Key2" hidden="1">#REF!</definedName>
    <definedName name="_O03">[6]일위대가!$A$1516:$IV$1529=[6]일위대가!$A$1516</definedName>
    <definedName name="_Order1" hidden="1">#REF!</definedName>
    <definedName name="_Order2" hidden="1">255</definedName>
    <definedName name="_pay1">#REF!</definedName>
    <definedName name="_pcs12" hidden="1">{"'Sheet1'!$A$1:$H$36"}</definedName>
    <definedName name="_PD1000" hidden="1">{"'Sheet1'!$A$1:$H$36"}</definedName>
    <definedName name="_PDK100" hidden="1">{"'Sheet1'!$A$1:$H$36"}</definedName>
    <definedName name="_qq1" hidden="1">{"'Sheet1'!$A$1:$H$36"}</definedName>
    <definedName name="_Report">"Sensitivity Table"</definedName>
    <definedName name="_Sort" hidden="1">#REF!</definedName>
    <definedName name="_tt111" hidden="1">{"'Sheet1'!$A$1:$H$36"}</definedName>
    <definedName name="_ttt1" hidden="1">{"'Sheet1'!$A$1:$H$36"}</definedName>
    <definedName name="_ZEBITDA_Sensitivity">{0;0;0;0;5;1;0.75;0;0;0;2;FALSE;FALSE;FALSE;FALSE;FALSE;#N/A;1;100;#N/A;#N/A;"";""}</definedName>
    <definedName name="_ZSensitivity_Table">{0;0;0;0;5;1;0.75;0;0;0;2;FALSE;FALSE;FALSE;FALSE;FALSE;#N/A;1;100;#N/A;#N/A;"";""}</definedName>
    <definedName name="\a">#REF!</definedName>
    <definedName name="\c">#REF!</definedName>
    <definedName name="\q">#N/A</definedName>
    <definedName name="\r">#N/A</definedName>
    <definedName name="\s">#N/A</definedName>
    <definedName name="a">#REF!</definedName>
    <definedName name="AA" comment="종가대박집명부자료">#REF!</definedName>
    <definedName name="aaa" hidden="1">{"'표지'!$B$5"}</definedName>
    <definedName name="AccessDatabase" hidden="1">"C:\My Documents\체당금.mdb"</definedName>
    <definedName name="acete">#REF!</definedName>
    <definedName name="ACTUAL">[8]Index!$I$6:$T$46</definedName>
    <definedName name="Afalon_WP_200g">#REF!</definedName>
    <definedName name="Afugan_EC_500ml">#REF!</definedName>
    <definedName name="asc">#REF!</definedName>
    <definedName name="asd">#REF!</definedName>
    <definedName name="asg">#REF!</definedName>
    <definedName name="atoSL">#REF!</definedName>
    <definedName name="B_9_WP_100g">#REF!</definedName>
    <definedName name="B2BERP합계">[9]B2BERP!$I$24</definedName>
    <definedName name="balance">#REF!</definedName>
    <definedName name="BaseYear">#REF!</definedName>
    <definedName name="BASIC2">'[10]BASIC (2)'!$A$1:$D$129</definedName>
    <definedName name="BASICC2">'[11]BASIC (2)'!$A$1:$D$129</definedName>
    <definedName name="Basta_SL_300ml">#REF!</definedName>
    <definedName name="Basta_SL_500ml">#REF!</definedName>
    <definedName name="Befran_P_800g">#REF!</definedName>
    <definedName name="Befran_SL_500ml">#REF!</definedName>
    <definedName name="Bellkute_WP_250g">#REF!</definedName>
    <definedName name="BP_EC_500ml">#REF!</definedName>
    <definedName name="BP_EC_5L">#REF!</definedName>
    <definedName name="BS_convertpref">#REF!</definedName>
    <definedName name="bs_date">#REF!</definedName>
    <definedName name="BS_deferredcomp">#REF!</definedName>
    <definedName name="BS_discontoper">#REF!</definedName>
    <definedName name="BS_goodwill">#REF!</definedName>
    <definedName name="BS_inventories">#REF!</definedName>
    <definedName name="BS_receivables">#REF!</definedName>
    <definedName name="BS_straightpref">#REF!</definedName>
    <definedName name="buta">#REF!</definedName>
    <definedName name="C_">#N/A</definedName>
    <definedName name="Carpinda_GR_2kg">#REF!</definedName>
    <definedName name="cash_fv">#REF!</definedName>
    <definedName name="cash_terminal">#REF!</definedName>
    <definedName name="ccc" hidden="1">{"'표지'!$B$5"}</definedName>
    <definedName name="CF_convertdebt">#REF!</definedName>
    <definedName name="CF_deferredtaxes">#REF!</definedName>
    <definedName name="CF_gwamort">#REF!</definedName>
    <definedName name="CF_minority">#REF!</definedName>
    <definedName name="ChangeInCommonEquity">#REF!</definedName>
    <definedName name="ChangeInConvertiblePreferredStock">#REF!</definedName>
    <definedName name="ChangeInDeferredCompensation">#REF!</definedName>
    <definedName name="ChangeInStraightPreferredStock">#REF!</definedName>
    <definedName name="CHANGER" hidden="1">{"'Sheet1'!$A$1:$H$36"}</definedName>
    <definedName name="ChangeRange" hidden="1">[1]!ChangeRange</definedName>
    <definedName name="Cidial_Dp_12kg">#REF!</definedName>
    <definedName name="Cidial_EC_500ml">#REF!</definedName>
    <definedName name="Cidial_EC_5L">#REF!</definedName>
    <definedName name="commondiv">#REF!</definedName>
    <definedName name="compaire">#REF!</definedName>
    <definedName name="Company_Name">#REF!</definedName>
    <definedName name="Conidor__DC_4L">#REF!</definedName>
    <definedName name="Conidor_AL_400ml">#REF!</definedName>
    <definedName name="Conidor_SC_250ml">#REF!</definedName>
    <definedName name="Conidor_SL_20L">#REF!</definedName>
    <definedName name="Conidor_SL_250ml">#REF!</definedName>
    <definedName name="coniSL300">#REF!</definedName>
    <definedName name="ContentsHelp" hidden="1">[1]!ContentsHelp</definedName>
    <definedName name="convdebtrate">#REF!</definedName>
    <definedName name="convdebtshares">#REF!</definedName>
    <definedName name="convprefrate">#REF!</definedName>
    <definedName name="convprefshares">#REF!</definedName>
    <definedName name="convpricedebt">#REF!</definedName>
    <definedName name="convpricepref">#REF!</definedName>
    <definedName name="Coring_SL__500ml">#REF!</definedName>
    <definedName name="Cornido_GR_1kg">#REF!</definedName>
    <definedName name="CreateTable" hidden="1">[1]!CreateTable</definedName>
    <definedName name="_xlnm.Criteria">#REF!</definedName>
    <definedName name="d" hidden="1">{"'Sheet1'!$A$1:$H$36"}</definedName>
    <definedName name="_xlnm.Database">[8]Index!$B$1:$N$1199</definedName>
    <definedName name="dcf_year">#REF!</definedName>
    <definedName name="dd" hidden="1">[1]!MerrillPrintIt</definedName>
    <definedName name="DDD" hidden="1">[12]A!#REF!</definedName>
    <definedName name="debt_fv">#REF!</definedName>
    <definedName name="debt_terminal">#REF!</definedName>
    <definedName name="DeleteRange" hidden="1">[1]!DeleteRange</definedName>
    <definedName name="DeleteTable" hidden="1">[1]!DeleteTable</definedName>
    <definedName name="DEP">#REF!</definedName>
    <definedName name="dhdh" hidden="1">{"'표지'!$B$5"}</definedName>
    <definedName name="disc_years">#REF!</definedName>
    <definedName name="DKJKF">[13]자료!$D$39:$E$43</definedName>
    <definedName name="dlrudrh" hidden="1">{"'Sheet1'!$A$1:$H$36"}</definedName>
    <definedName name="Dreada_WP_100g">#REF!</definedName>
    <definedName name="dydirvy3" hidden="1">{"'Sheet1'!$A$1:$H$36"}</definedName>
    <definedName name="E" hidden="1">[12]A!#REF!</definedName>
    <definedName name="EBITDA_mult">#REF!</definedName>
    <definedName name="EPN_EC_500ml">#REF!</definedName>
    <definedName name="ES노임">[14]노임단가!$D$4:$I$134</definedName>
    <definedName name="Eufa_M_WP_200g">#REF!</definedName>
    <definedName name="ExcessCashrate">#REF!</definedName>
    <definedName name="f" hidden="1">{"'Sheet1'!$A$1:$H$36"}</definedName>
    <definedName name="fcf_unlev_terminal1">#REF!</definedName>
    <definedName name="fcf_unlev_terminal2">#REF!</definedName>
    <definedName name="fcf_unlev_terminal3">#REF!</definedName>
    <definedName name="fcf_unlev_terminal4">#REF!</definedName>
    <definedName name="fcf_unlev_terminal5">#REF!</definedName>
    <definedName name="fcf_unlev10">#REF!</definedName>
    <definedName name="fcf_unlev5">#REF!</definedName>
    <definedName name="ff" hidden="1">{"'표지'!$B$5"}</definedName>
    <definedName name="FFF" hidden="1">[12]A!#REF!</definedName>
    <definedName name="FG46TBTB4RTDKDK">#REF!</definedName>
    <definedName name="fiscal_year">#REF!</definedName>
    <definedName name="fk" hidden="1">{"'Sheet1'!$A$1:$H$36"}</definedName>
    <definedName name="Folpet_WP_500g">#REF!</definedName>
    <definedName name="FS97Ratios">#REF!</definedName>
    <definedName name="g" hidden="1">{#N/A,#N/A,TRUE,"789월 매출";#N/A,#N/A,TRUE,"목차";#N/A,#N/A,TRUE,"마감실적";#N/A,#N/A,TRUE,"거래처별"}</definedName>
    <definedName name="Gardian_WP_100g">#REF!</definedName>
    <definedName name="Gaucho_WP_50g">#REF!</definedName>
    <definedName name="GG" hidden="1">[15]급여대장!$E$1:$E$5</definedName>
    <definedName name="GGG" hidden="1">[12]A!#REF!</definedName>
    <definedName name="Gueyangcin_500g">#REF!</definedName>
    <definedName name="H" hidden="1">[12]A!#REF!</definedName>
    <definedName name="HGC" hidden="1">{"'Sheet1'!$A$1:$H$36"}</definedName>
    <definedName name="HH" hidden="1">[12]A!#REF!</definedName>
    <definedName name="HHH" hidden="1">[12]A!#REF!</definedName>
    <definedName name="Hostathion_500ml">#REF!</definedName>
    <definedName name="ht" hidden="1">{"'표지'!$B$5"}</definedName>
    <definedName name="HTML_CodePage" hidden="1">949</definedName>
    <definedName name="HTML_Control" hidden="1">{"'Sheet1'!$A$1:$H$36"}</definedName>
    <definedName name="HTML_Description" hidden="1">""</definedName>
    <definedName name="HTML_Email" hidden="1">""</definedName>
    <definedName name="HTML_Header" hidden="1">""</definedName>
    <definedName name="HTML_LastUpdate" hidden="1">"97-12-30"</definedName>
    <definedName name="HTML_LineAfter" hidden="1">FALSE</definedName>
    <definedName name="HTML_LineBefore" hidden="1">FALSE</definedName>
    <definedName name="HTML_Name" hidden="1">"이호섭"</definedName>
    <definedName name="HTML_OBDlg2" hidden="1">TRUE</definedName>
    <definedName name="HTML_OBDlg4" hidden="1">TRUE</definedName>
    <definedName name="HTML_OS" hidden="1">0</definedName>
    <definedName name="HTML_PathFile" hidden="1">"F:\InetPub\wwwroot\SVC\svc1.htm"</definedName>
    <definedName name="HTML_Title" hidden="1">"센타주소"</definedName>
    <definedName name="htmlControl2" hidden="1">{"'표지'!$B$5"}</definedName>
    <definedName name="ilch">[16]ilch!$A$3:$M$25</definedName>
    <definedName name="IS_goodwill">#REF!</definedName>
    <definedName name="IS_intconvert">#REF!</definedName>
    <definedName name="IS_otherexp">#REF!</definedName>
    <definedName name="jj" hidden="1">{"'표지'!$B$5"}</definedName>
    <definedName name="KA">[17]MOTOR!$B$61:$E$68</definedName>
    <definedName name="Keunilkkun_WP_250g">#REF!</definedName>
    <definedName name="Killper_SL_20L">#REF!</definedName>
    <definedName name="Kimanmae_3kg">#REF!</definedName>
    <definedName name="kk">[18]감가상각!$A$1:$R$30</definedName>
    <definedName name="kt_재적전출">#REF!</definedName>
    <definedName name="lic">#REF!</definedName>
    <definedName name="LS104.CalcTables">#REF!</definedName>
    <definedName name="m">#REF!</definedName>
    <definedName name="MA">#REF!</definedName>
    <definedName name="Machine_Oil_EC">#REF!</definedName>
    <definedName name="Malix_D_3KG">#REF!</definedName>
    <definedName name="mancoz">#REF!</definedName>
    <definedName name="member">[19]Member!$A$4:$F$229</definedName>
    <definedName name="MerrillPrintIt" hidden="1">[1]!MerrillPrintIt</definedName>
    <definedName name="mifrang">#REF!</definedName>
    <definedName name="Misung_a_SL">#REF!</definedName>
    <definedName name="Misunng_OK_SC_250ml">#REF!</definedName>
    <definedName name="mitac">#REF!</definedName>
    <definedName name="Monopho_SL_500ml">#REF!</definedName>
    <definedName name="month">#REF!</definedName>
    <definedName name="Ms">#REF!</definedName>
    <definedName name="MS_Pulmamae_EC_500ml">#REF!</definedName>
    <definedName name="MS_speed_SC_250ml">#REF!</definedName>
    <definedName name="mult_sen">#REF!</definedName>
    <definedName name="myco">#REF!</definedName>
    <definedName name="Myco_WP__200g">#REF!</definedName>
    <definedName name="M급여밴드">[20]TABLE!$A$10:$A$12</definedName>
    <definedName name="M인상율">[20]TABLE!$B$10:$E$12</definedName>
    <definedName name="name">#REF!</definedName>
    <definedName name="name1">#REF!</definedName>
    <definedName name="name2">#REF!</definedName>
    <definedName name="NEC교육시간표" hidden="1">{"'표지'!$B$5"}</definedName>
    <definedName name="Network표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NewRange" hidden="1">[1]!NewRange</definedName>
    <definedName name="NewTaxGW">#REF!</definedName>
    <definedName name="NewTaxIntangibles">#REF!</definedName>
    <definedName name="ni_terminal">#REF!</definedName>
    <definedName name="nonamae1200">#REF!</definedName>
    <definedName name="Nonanmae_GR_3kg">#REF!</definedName>
    <definedName name="NvsASD">"V2005-01-30"</definedName>
    <definedName name="NvsAutoDrillOk">"VN"</definedName>
    <definedName name="NvsElapsedTime">0.0000719907402526587</definedName>
    <definedName name="NvsEndTime">38393.1569084491</definedName>
    <definedName name="NvsInstSpec">"%,FDEPTID,TDEPTID,NN_DALLAS_RECR"</definedName>
    <definedName name="NvsLayoutType">"M3"</definedName>
    <definedName name="NvsPanelEffdt">"V1900-01-01"</definedName>
    <definedName name="NvsPanelSetid">"VSHARE"</definedName>
    <definedName name="NvsReqBU">"V10087"</definedName>
    <definedName name="NvsReqBUOnly">"VN"</definedName>
    <definedName name="NvsTransLed">"VN"</definedName>
    <definedName name="NvsTreeASD">"V2005-01-30"</definedName>
    <definedName name="NvsValTbl.ACCOUNT">"GL_ACCOUNT_TBL"</definedName>
    <definedName name="NvsValTbl.DEPTID">"DEPARTMENT_TBL"</definedName>
    <definedName name="O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ptions">#REF!</definedName>
    <definedName name="Orydan_G">#REF!</definedName>
    <definedName name="pay">#REF!</definedName>
    <definedName name="paylist">#REF!</definedName>
    <definedName name="paylist1">#REF!</definedName>
    <definedName name="pay추정">#REF!</definedName>
    <definedName name="Peropal_WP_500g">#REF!</definedName>
    <definedName name="perp_unlev">#REF!</definedName>
    <definedName name="perp_unlev_sen">#REF!</definedName>
    <definedName name="perp_unlev1">#REF!</definedName>
    <definedName name="perp_unlev2">#REF!</definedName>
    <definedName name="perp_unlev3">#REF!</definedName>
    <definedName name="perp_unlev4">#REF!</definedName>
    <definedName name="perp_unlev5">#REF!</definedName>
    <definedName name="prefrate">#REF!</definedName>
    <definedName name="preN">#REF!</definedName>
    <definedName name="_xlnm.Print_Area">#REF!</definedName>
    <definedName name="PRINT_AREA_MI">#REF!</definedName>
    <definedName name="_xlnm.Print_Titles">#REF!</definedName>
    <definedName name="Proposedstructure">#REF!</definedName>
    <definedName name="Prowang_EC_250ml">#REF!</definedName>
    <definedName name="q" hidden="1">[12]A!#REF!</definedName>
    <definedName name="qq" hidden="1">{"'Sheet1'!$A$1:$H$36"}</definedName>
    <definedName name="qqq" hidden="1">{#N/A,#N/A,TRUE,"789월 매출";#N/A,#N/A,TRUE,"목차";#N/A,#N/A,TRUE,"마감실적";#N/A,#N/A,TRUE,"거래처별"}</definedName>
    <definedName name="QWE" hidden="1">{"'Sheet1'!$A$1:$H$36"}</definedName>
    <definedName name="Q자유롭게검색">#REF!</definedName>
    <definedName name="RANGE">#REF!</definedName>
    <definedName name="_xlnm.Recorder" localSheetId="0">#REF!</definedName>
    <definedName name="_xlnm.Recorder">#REF!</definedName>
    <definedName name="RedefinePrintTableRange" hidden="1">[1]!RedefinePrintTableRange</definedName>
    <definedName name="Rovral_wp_500g">#REF!</definedName>
    <definedName name="rth" hidden="1">{"'표지'!$B$5"}</definedName>
    <definedName name="Scala_500g__WP">#REF!</definedName>
    <definedName name="sdq">[21]설계산출표지!$C$3</definedName>
    <definedName name="SG" hidden="1">{"'Sheet1'!$A$1:$H$36"}</definedName>
    <definedName name="share_tog">#REF!</definedName>
    <definedName name="shos">#REF!</definedName>
    <definedName name="Silbaco__WP_100g">#REF!</definedName>
    <definedName name="Solaga_GR_1kg">#REF!</definedName>
    <definedName name="SportakEC_20ml">#REF!</definedName>
    <definedName name="Spredaer_SL">#REF!</definedName>
    <definedName name="ss" hidden="1">{"'Sheet1'!$A$1:$H$36"}</definedName>
    <definedName name="sss" hidden="1">{"'표지'!$B$5"}</definedName>
    <definedName name="ssss" hidden="1">[12]A!#REF!</definedName>
    <definedName name="sssss" hidden="1">[12]A!#REF!</definedName>
    <definedName name="sssssss" hidden="1">[12]A!#REF!</definedName>
    <definedName name="startpoint">#REF!</definedName>
    <definedName name="Suhosin_200g">#REF!</definedName>
    <definedName name="Supermae_GR_3kg">#REF!</definedName>
    <definedName name="table">#REF!</definedName>
    <definedName name="tasEC500">#REF!</definedName>
    <definedName name="tasWP200">#REF!</definedName>
    <definedName name="tasWP500">#REF!</definedName>
    <definedName name="term_value">#REF!</definedName>
    <definedName name="term_year">#REF!</definedName>
    <definedName name="Thiolix__3Kg">#REF!</definedName>
    <definedName name="Thiolix_EC_500ml">#REF!</definedName>
    <definedName name="thuriwp200">#REF!</definedName>
    <definedName name="trizol100">#REF!</definedName>
    <definedName name="TT" hidden="1">{"'Sheet1'!$A$1:$H$36"}</definedName>
    <definedName name="TTT" hidden="1">{"'Sheet1'!$A$1:$H$36"}</definedName>
    <definedName name="Two_Out_GR_3kg">#REF!</definedName>
    <definedName name="unlev_fcf_rate">#REF!</definedName>
    <definedName name="value_date">#REF!</definedName>
    <definedName name="W">[15]급여대장!$A$1:$B$8</definedName>
    <definedName name="w.">[22]COST!$A$5:$N$514</definedName>
    <definedName name="wa_Catalog">#REF!</definedName>
    <definedName name="wa_WaitOrderDetail">#REF!</definedName>
    <definedName name="WACC">#REF!</definedName>
    <definedName name="WACC_sen">#REF!</definedName>
    <definedName name="wanbang">#REF!</definedName>
    <definedName name="wee">'[23]48일위(기존)'!$A$1:$X$65536</definedName>
    <definedName name="wkwo" hidden="1">{"'Sheet1'!$A$1:$H$36"}</definedName>
    <definedName name="WriteUp_inventories">#REF!</definedName>
    <definedName name="WriteUp_otherCA">#REF!</definedName>
    <definedName name="WriteUp_otherCL">#REF!</definedName>
    <definedName name="WriteUp_otherLTA">#REF!</definedName>
    <definedName name="WriteUp_otherLTL">#REF!</definedName>
    <definedName name="WriteUp_payables">#REF!</definedName>
    <definedName name="WriteUP_PPE">#REF!</definedName>
    <definedName name="WriteUp_receivables">#REF!</definedName>
    <definedName name="writeupdeprec">#REF!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보고서." hidden="1">{#N/A,#N/A,TRUE,"789월 매출";#N/A,#N/A,TRUE,"목차";#N/A,#N/A,TRUE,"마감실적";#N/A,#N/A,TRUE,"거래처별"}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yr" hidden="1">{"'표지'!$B$5"}</definedName>
    <definedName name="ㄱ" hidden="1">{"'Sheet1'!$A$1:$H$36"}</definedName>
    <definedName name="가나다" hidden="1">{#N/A,#N/A,TRUE,"789월 매출";#N/A,#N/A,TRUE,"목차";#N/A,#N/A,TRUE,"마감실적";#N/A,#N/A,TRUE,"거래처별"}</definedName>
    <definedName name="가시나무R4">[24]데이타!$E$2</definedName>
    <definedName name="가시나무R5">[24]데이타!$E$3</definedName>
    <definedName name="가시나무R6">[24]데이타!$E$4</definedName>
    <definedName name="가시나무R8">[24]데이타!$E$5</definedName>
    <definedName name="가이즈까향1204">[24]데이타!$E$6</definedName>
    <definedName name="가이즈까향1505">[24]데이타!$E$7</definedName>
    <definedName name="가이즈까향2006">[24]데이타!$E$8</definedName>
    <definedName name="가이즈까향2008">[24]데이타!$E$9</definedName>
    <definedName name="가이즈까향2510">[24]데이타!$E$10</definedName>
    <definedName name="가중나무B10">[24]데이타!$E$19</definedName>
    <definedName name="가중나무B4">[24]데이타!$E$15</definedName>
    <definedName name="가중나무B5">[24]데이타!$E$16</definedName>
    <definedName name="가중나무B6">[24]데이타!$E$17</definedName>
    <definedName name="가중나무B8">[24]데이타!$E$18</definedName>
    <definedName name="간이세액">'[25]간이세액표(2013년)'!$A$6:$M$652</definedName>
    <definedName name="간이세액표">#REF!</definedName>
    <definedName name="감R10">[24]데이타!$E$24</definedName>
    <definedName name="감R12">[24]데이타!$E$25</definedName>
    <definedName name="감R15">[24]데이타!$E$26</definedName>
    <definedName name="감R5">[24]데이타!$E$20</definedName>
    <definedName name="감R6">[24]데이타!$E$21</definedName>
    <definedName name="감R7">[24]데이타!$E$22</definedName>
    <definedName name="감R8">[24]데이타!$E$23</definedName>
    <definedName name="감자차손">#REF!</definedName>
    <definedName name="개나리12">[24]데이타!$E$31</definedName>
    <definedName name="개나리3">[24]데이타!$E$27</definedName>
    <definedName name="개나리5">[24]데이타!$E$28</definedName>
    <definedName name="개나리7">[24]데이타!$E$29</definedName>
    <definedName name="개나리9">[24]데이타!$E$30</definedName>
    <definedName name="개발비">#REF!</definedName>
    <definedName name="개수">#REF!</definedName>
    <definedName name="개쉬땅1204">[24]데이타!$E$32</definedName>
    <definedName name="개쉬땅1506">[24]데이타!$E$33</definedName>
    <definedName name="개정세율" localSheetId="0">#REF!</definedName>
    <definedName name="개정세율">#REF!</definedName>
    <definedName name="개정세율1">[26]세액계산!#REF!</definedName>
    <definedName name="개정세율2002" localSheetId="0">#REF!</definedName>
    <definedName name="개정세율2002">#REF!</definedName>
    <definedName name="개정세율2003" localSheetId="0">#REF!</definedName>
    <definedName name="개정세율2003">#REF!</definedName>
    <definedName name="개정세율2004" localSheetId="0">#REF!</definedName>
    <definedName name="개정세율2004">#REF!</definedName>
    <definedName name="개정세율2005" localSheetId="0">#REF!</definedName>
    <definedName name="개정세율2005">#REF!</definedName>
    <definedName name="개정세율2006" localSheetId="0">#REF!</definedName>
    <definedName name="개정세율2006">#REF!</definedName>
    <definedName name="개정세율2007" localSheetId="0">#REF!</definedName>
    <definedName name="개정세율2007">#REF!</definedName>
    <definedName name="거래처">#REF!</definedName>
    <definedName name="건강보험료" localSheetId="0">#REF!</definedName>
    <definedName name="건강보험료">#REF!</definedName>
    <definedName name="건물">[8]!건물</definedName>
    <definedName name="건물장부가액">#REF!</definedName>
    <definedName name="건설중인자산">#REF!</definedName>
    <definedName name="결론" hidden="1">{"'Sheet1'!$A$1:$H$36"}</definedName>
    <definedName name="결손금">#REF!</definedName>
    <definedName name="결정" hidden="1">{"'Sheet1'!$A$1:$H$36"}</definedName>
    <definedName name="결정세액03" localSheetId="0">#REF!</definedName>
    <definedName name="결정세액03">#REF!</definedName>
    <definedName name="결정세액04" localSheetId="0">#REF!</definedName>
    <definedName name="결정세액04">#REF!</definedName>
    <definedName name="겹동백1002">[24]데이타!$E$145</definedName>
    <definedName name="겹동백1204">[24]데이타!$E$146</definedName>
    <definedName name="겹동백1506">[24]데이타!$E$147</definedName>
    <definedName name="겹벗R6">[24]데이타!$E$34</definedName>
    <definedName name="겹벗R8">[24]데이타!$E$35</definedName>
    <definedName name="겹철쭉0304">[24]데이타!$E$36</definedName>
    <definedName name="겹철쭉0506">[24]데이타!$E$37</definedName>
    <definedName name="겹철쭉0608">[24]데이타!$E$38</definedName>
    <definedName name="겹철쭉0810">[24]데이타!$E$39</definedName>
    <definedName name="겹철쭉0812">[24]데이타!$E$40</definedName>
    <definedName name="경상손실">#REF!</definedName>
    <definedName name="경쟁확보">[27]PAYBAND!$C$12:$D$33</definedName>
    <definedName name="경정청구용">#REF!</definedName>
    <definedName name="계수B5">[24]데이타!$E$41</definedName>
    <definedName name="계수B6">[24]데이타!$E$42</definedName>
    <definedName name="계수B8">[24]데이타!$E$43</definedName>
    <definedName name="계약서">[28]연차휴가테이블!$N$5:$N$463</definedName>
    <definedName name="계좌">#REF!</definedName>
    <definedName name="고광3">[24]데이타!$E$44</definedName>
    <definedName name="고광5">[24]데이타!$E$45</definedName>
    <definedName name="고정부채">#REF!</definedName>
    <definedName name="곰솔2508">[29]데이타!$E$46</definedName>
    <definedName name="곰솔3010">[24]데이타!$E$47</definedName>
    <definedName name="곰솔R10">[24]데이타!$E$48</definedName>
    <definedName name="곰솔R12">[24]데이타!$E$49</definedName>
    <definedName name="곰솔R15">[24]데이타!$E$50</definedName>
    <definedName name="공기">[30]동원인원!$E$127</definedName>
    <definedName name="공명">[31]설계산출표지!$C$3</definedName>
    <definedName name="공사원가계산서경비소계">[31]공사원가계산서!$C$22</definedName>
    <definedName name="공사원가계산서노무비">[31]공사원가계산서!$C$9</definedName>
    <definedName name="공사원가계산서재료비">[31]공사원가계산서!$C$6</definedName>
    <definedName name="공압축3.5간재">'[32]기계경비(시간당)'!$H$248</definedName>
    <definedName name="공압축3.5노무">'[32]기계경비(시간당)'!$H$244</definedName>
    <definedName name="공압축3.5노무야간">'[32]기계경비(시간당)'!$H$245</definedName>
    <definedName name="공압축3.5손료">'[32]기계경비(시간당)'!$H$243</definedName>
    <definedName name="공압축7.1간재">'[32]기계경비(시간당)'!$H$256</definedName>
    <definedName name="공압축7.1노무">'[32]기계경비(시간당)'!$H$252</definedName>
    <definedName name="공압축7.1노무야간">'[32]기계경비(시간당)'!$H$253</definedName>
    <definedName name="공압축7.1손료">'[32]기계경비(시간당)'!$H$251</definedName>
    <definedName name="과거영역">#REF!</definedName>
    <definedName name="관리급여">#REF!</definedName>
    <definedName name="관리외">#REF!</definedName>
    <definedName name="광나무1003">[24]데이타!$E$51</definedName>
    <definedName name="광나무1203">[24]데이타!$E$52</definedName>
    <definedName name="광나무1506">[24]데이타!$E$53</definedName>
    <definedName name="광편백0405">[24]데이타!$E$153</definedName>
    <definedName name="광편백0507">[24]데이타!$E$154</definedName>
    <definedName name="광편백0509">[24]데이타!$E$155</definedName>
    <definedName name="교육시간표4" hidden="1">{"'Sheet1'!$A$1:$H$36"}</definedName>
    <definedName name="구모델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구상나무1505">[24]데이타!$E$69</definedName>
    <definedName name="구상나무2008">[24]데이타!$E$70</definedName>
    <definedName name="구상나무2510">[24]데이타!$E$71</definedName>
    <definedName name="구상나무3012">[24]데이타!$E$72</definedName>
    <definedName name="구축물">[8]!구축물</definedName>
    <definedName name="구축물장부가액">#REF!</definedName>
    <definedName name="국민">[33]!국민</definedName>
    <definedName name="국민연금">[33]!국민연금</definedName>
    <definedName name="국적">[34]참고용!$P$12:$P$220</definedName>
    <definedName name="규격">#REF!</definedName>
    <definedName name="규정요약" hidden="1">{"'Sheet1'!$A$1:$H$36"}</definedName>
    <definedName name="그로스업03" localSheetId="0">#REF!</definedName>
    <definedName name="그로스업03">#REF!</definedName>
    <definedName name="그로스업04" localSheetId="0">#REF!</definedName>
    <definedName name="그로스업04">#REF!</definedName>
    <definedName name="그로스업율03" localSheetId="0">#REF!</definedName>
    <definedName name="그로스업율03">#REF!</definedName>
    <definedName name="그로스업율04" localSheetId="0">#REF!</definedName>
    <definedName name="그로스업율04">#REF!</definedName>
    <definedName name="그로스업포함배당소득금액03" localSheetId="0">#REF!</definedName>
    <definedName name="그로스업포함배당소득금액03">#REF!</definedName>
    <definedName name="그로스업포함배당소득금액04" localSheetId="0">#REF!</definedName>
    <definedName name="그로스업포함배당소득금액04">#REF!</definedName>
    <definedName name="근로계약서_">[28]정규직근로자명부!$K$6:$K$447</definedName>
    <definedName name="근로계약서_원본">[28]연차휴가테이블!$P$5:$P$165</definedName>
    <definedName name="근로자">[35]근로자인적사항!$B$5:$T$48</definedName>
    <definedName name="근로조건" comment="근로자명부작성용">'[36]근로계약내용(7)'!$B$9:$V$31</definedName>
    <definedName name="근소공제2" localSheetId="0">#REF!</definedName>
    <definedName name="근소공제2">#REF!</definedName>
    <definedName name="근소공제2001" localSheetId="0">#REF!</definedName>
    <definedName name="근소공제2001">#REF!</definedName>
    <definedName name="근소공제2002" localSheetId="0">#REF!</definedName>
    <definedName name="근소공제2002">#REF!</definedName>
    <definedName name="근소공제2003" localSheetId="0">#REF!</definedName>
    <definedName name="근소공제2003">#REF!</definedName>
    <definedName name="근소공제2004" localSheetId="0">#REF!</definedName>
    <definedName name="근소공제2004">#REF!</definedName>
    <definedName name="근소공제2005" localSheetId="0">#REF!</definedName>
    <definedName name="근소공제2005">#REF!</definedName>
    <definedName name="근소공제2006" localSheetId="0">#REF!</definedName>
    <definedName name="근소공제2006">#REF!</definedName>
    <definedName name="근소공제변경" localSheetId="0">#REF!</definedName>
    <definedName name="근소공제변경">#REF!</definedName>
    <definedName name="근태">[37]월근태!$C$14:$V$113</definedName>
    <definedName name="근태수당2">'[38]2021-06  급여명세표'!$R$22+#REF!</definedName>
    <definedName name="금송1006">[24]데이타!$E$73</definedName>
    <definedName name="금송1208">[24]데이타!$E$74</definedName>
    <definedName name="금송1510">[24]데이타!$E$75</definedName>
    <definedName name="금액">#REF!</definedName>
    <definedName name="금융소득계03" localSheetId="0">#REF!</definedName>
    <definedName name="금융소득계03">#REF!</definedName>
    <definedName name="금융소득계04" localSheetId="0">#REF!</definedName>
    <definedName name="금융소득계04">#REF!</definedName>
    <definedName name="금융소득비교과세산출세액03" localSheetId="0">#REF!</definedName>
    <definedName name="금융소득비교과세산출세액03">#REF!</definedName>
    <definedName name="금융소득비교과세산출세액04" localSheetId="0">#REF!</definedName>
    <definedName name="금융소득비교과세산출세액04">#REF!</definedName>
    <definedName name="금융소득원천징수세율03" localSheetId="0">#REF!</definedName>
    <definedName name="금융소득원천징수세율03">#REF!</definedName>
    <definedName name="금융소득원천징수세율04" localSheetId="0">#REF!</definedName>
    <definedName name="금융소득원천징수세율04">#REF!</definedName>
    <definedName name="금융소득종합과세기준03" localSheetId="0">#REF!</definedName>
    <definedName name="금융소득종합과세기준03">#REF!</definedName>
    <definedName name="금융소득종합과세기준04" localSheetId="0">#REF!</definedName>
    <definedName name="금융소득종합과세기준04">#REF!</definedName>
    <definedName name="급여">[37]월근태!$AB$14:$AL$100</definedName>
    <definedName name="급여대장" localSheetId="0">#REF!</definedName>
    <definedName name="급여대장">#REF!</definedName>
    <definedName name="급여대장2">[25]급여대장!$C$9:$BB$80</definedName>
    <definedName name="급여대장3">[25]급여대장!$A$9:$BB$80</definedName>
    <definedName name="기계장치">[8]!기계장치</definedName>
    <definedName name="기말재공품재고액">#REF!</definedName>
    <definedName name="기말재료재고액">#REF!</definedName>
    <definedName name="기본방향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세율">[39]사업소득자세수추계!$A$58:$B$61</definedName>
    <definedName name="기부금기본화면">#REF!</definedName>
    <definedName name="기존">'[40]48일위(기존)'!$A$1:$X$65536</definedName>
    <definedName name="기초재공품재고액">#REF!</definedName>
    <definedName name="기초재료재고액">#REF!</definedName>
    <definedName name="기타경비">[31]설계산출기초!$G$15</definedName>
    <definedName name="김수현" hidden="1">#REF!</definedName>
    <definedName name="김영진" hidden="1">'[3]F4-F7'!#REF!</definedName>
    <definedName name="김현미" hidden="1">{"'Sheet1'!$A$1:$H$36"}</definedName>
    <definedName name="꽃복숭아R3">[24]데이타!$E$58</definedName>
    <definedName name="꽃복숭아R4">[24]데이타!$E$59</definedName>
    <definedName name="꽃복숭아R5">[24]데이타!$E$60</definedName>
    <definedName name="꽃사과R10">[24]데이타!$E$64</definedName>
    <definedName name="꽃사과R4">[24]데이타!$E$61</definedName>
    <definedName name="꽃사과R6">[24]데이타!$E$62</definedName>
    <definedName name="꽃사과R8">[24]데이타!$E$63</definedName>
    <definedName name="꽃아그배R10">[24]데이타!$E$68</definedName>
    <definedName name="꽃아그배R4">[24]데이타!$E$65</definedName>
    <definedName name="꽃아그배R6">[24]데이타!$E$66</definedName>
    <definedName name="꽃아그배R8">[24]데이타!$E$67</definedName>
    <definedName name="꽝꽝0304">[24]데이타!$E$54</definedName>
    <definedName name="꽝꽝0406">[24]데이타!$E$55</definedName>
    <definedName name="꽝꽝0508">[24]데이타!$E$56</definedName>
    <definedName name="꽝꽝0610">[24]데이타!$E$57</definedName>
    <definedName name="ㄴ" hidden="1">#N/A</definedName>
    <definedName name="ㄴㄴㄴ" hidden="1">{#N/A,#N/A,TRUE,"789월 매출";#N/A,#N/A,TRUE,"목차";#N/A,#N/A,TRUE,"마감실적";#N/A,#N/A,TRUE,"거래처별"}</definedName>
    <definedName name="ㄴㄵㅈㄷ" hidden="1">{"'Sheet1'!$A$1:$H$36"}</definedName>
    <definedName name="ㄴㅇ" hidden="1">{"'Sheet1'!$A$1:$H$36"}</definedName>
    <definedName name="ㄴㅇㄹ" hidden="1">{0}</definedName>
    <definedName name="ㄴㅇㅎㄴㅇㅎ" hidden="1">#N/A</definedName>
    <definedName name="ㄴ옹ㄹ나ㅗㄹ" hidden="1">{"'Sheet1'!$A$1:$H$36"}</definedName>
    <definedName name="나라라" hidden="1">{#N/A,#N/A,TRUE,"789월 매출";#N/A,#N/A,TRUE,"목차";#N/A,#N/A,TRUE,"마감실적";#N/A,#N/A,TRUE,"거래처별"}</definedName>
    <definedName name="낙상홍1004">[24]데이타!$E$76</definedName>
    <definedName name="낙상홍1506">[24]데이타!$E$77</definedName>
    <definedName name="낙상홍1808">[24]데이타!$E$78</definedName>
    <definedName name="낙상홍2010">[24]데이타!$E$79</definedName>
    <definedName name="낙상홍2515">[24]데이타!$E$80</definedName>
    <definedName name="낙우송R10">[24]데이타!$E$84</definedName>
    <definedName name="낙우송R12">[24]데이타!$E$85</definedName>
    <definedName name="낙우송R5">[24]데이타!$E$81</definedName>
    <definedName name="낙우송R6">[24]데이타!$E$82</definedName>
    <definedName name="낙우송R8">[24]데이타!$E$83</definedName>
    <definedName name="날짜">[31]설계산출표지!$B$8</definedName>
    <definedName name="남부" hidden="1">{"'Sheet1'!$A$1:$H$36"}</definedName>
    <definedName name="남부재작업" hidden="1">{"'표지'!$B$5"}</definedName>
    <definedName name="납품수량">#REF!</definedName>
    <definedName name="년">[41]만년달력!$G$2</definedName>
    <definedName name="년도">#REF!</definedName>
    <definedName name="노르웨이R12">[24]데이타!$E$90</definedName>
    <definedName name="노르웨이R15">[24]데이타!$E$91</definedName>
    <definedName name="노르웨이R4">[24]데이타!$E$86</definedName>
    <definedName name="노르웨이R5">[24]데이타!$E$87</definedName>
    <definedName name="노르웨이R6">[24]데이타!$E$88</definedName>
    <definedName name="노르웨이R8">[24]데이타!$E$89</definedName>
    <definedName name="노무비">#REF!</definedName>
    <definedName name="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누적실지급액">[42]급여명세서!#REF!</definedName>
    <definedName name="누적지급총액">[42]급여명세서!#REF!</definedName>
    <definedName name="누진세율적용대상금융소득03" localSheetId="0">#REF!</definedName>
    <definedName name="누진세율적용대상금융소득03">#REF!</definedName>
    <definedName name="누진세율적용대상금융소득04" localSheetId="0">#REF!</definedName>
    <definedName name="누진세율적용대상금융소득04">#REF!</definedName>
    <definedName name="누진세율적용시산출세액03" localSheetId="0">#REF!</definedName>
    <definedName name="누진세율적용시산출세액03">#REF!</definedName>
    <definedName name="누진세율적용시산출세액04" localSheetId="0">#REF!</definedName>
    <definedName name="누진세율적용시산출세액04">#REF!</definedName>
    <definedName name="눈향L06">[24]데이타!$E$92</definedName>
    <definedName name="눈향L08">[24]데이타!$E$93</definedName>
    <definedName name="눈향L10">[24]데이타!$E$94</definedName>
    <definedName name="눈향L14">[24]데이타!$E$95</definedName>
    <definedName name="눈향L20">[24]데이타!$E$96</definedName>
    <definedName name="느릅R10">[24]데이타!$E$100</definedName>
    <definedName name="느릅R4">[24]데이타!$E$97</definedName>
    <definedName name="느릅R5">[24]데이타!$E$98</definedName>
    <definedName name="느릅R8">[29]데이타!$E$99</definedName>
    <definedName name="느티R10">[29]데이타!$E$104</definedName>
    <definedName name="느티R12">[24]데이타!$E$105</definedName>
    <definedName name="느티R15">[24]데이타!$E$106</definedName>
    <definedName name="느티R18">[24]데이타!$E$107</definedName>
    <definedName name="느티R20">[24]데이타!$E$108</definedName>
    <definedName name="느티R25">[24]데이타!$E$109</definedName>
    <definedName name="느티R30">[24]데이타!$E$110</definedName>
    <definedName name="느티R5">[24]데이타!$E$101</definedName>
    <definedName name="느티R6">[24]데이타!$E$102</definedName>
    <definedName name="느티R8">[24]데이타!$E$103</definedName>
    <definedName name="능소화R2">[24]데이타!$E$111</definedName>
    <definedName name="능소화R4">[24]데이타!$E$112</definedName>
    <definedName name="능소화R6">[24]데이타!$E$113</definedName>
    <definedName name="ㄷ" hidden="1">[12]A!#REF!</definedName>
    <definedName name="ㄷㄷㄷ" hidden="1">{"'표지'!$B$5"}</definedName>
    <definedName name="ㄷㄷㅇ" hidden="1">'[3]F4-F7'!#REF!</definedName>
    <definedName name="다른종합소득03" localSheetId="0">#REF!</definedName>
    <definedName name="다른종합소득03">#REF!</definedName>
    <definedName name="다른종합소득04" localSheetId="0">#REF!</definedName>
    <definedName name="다른종합소득04">#REF!</definedName>
    <definedName name="다른종합소득과세표준" localSheetId="0">#REF!</definedName>
    <definedName name="다른종합소득과세표준">#REF!</definedName>
    <definedName name="단">[43]COST!$A$5:$N$514</definedName>
    <definedName name="단가">#REF!</definedName>
    <definedName name="단가테이블">'[32]기계경비(시간당)'!$C$1:$F$58</definedName>
    <definedName name="단기대여금">#REF!</definedName>
    <definedName name="단위">#REF!</definedName>
    <definedName name="담당업무">[44]정규직근로자명부!$T$6:$T$120</definedName>
    <definedName name="담쟁이L03">[24]데이타!$E$114</definedName>
    <definedName name="당기순손실">#REF!</definedName>
    <definedName name="당기재료매입액">#REF!</definedName>
    <definedName name="당기제품제조원가">#REF!</definedName>
    <definedName name="당기총제조비용">#REF!</definedName>
    <definedName name="당좌자산">#REF!</definedName>
    <definedName name="대변">[8]Index!$J$105</definedName>
    <definedName name="대왕참R10">[24]데이타!$E$118</definedName>
    <definedName name="대왕참R4">[24]데이타!$E$115</definedName>
    <definedName name="대왕참R6">[24]데이타!$E$116</definedName>
    <definedName name="대왕참R8">[24]데이타!$E$117</definedName>
    <definedName name="대추R10">[24]데이타!$E$123</definedName>
    <definedName name="대추R4">[24]데이타!$E$119</definedName>
    <definedName name="대추R5">[24]데이타!$E$120</definedName>
    <definedName name="대추R6">[24]데이타!$E$121</definedName>
    <definedName name="대추R8">[24]데이타!$E$122</definedName>
    <definedName name="덩굴장미3">[24]데이타!$E$128</definedName>
    <definedName name="덩굴장미4">[24]데이타!$E$129</definedName>
    <definedName name="덩굴장미5">[24]데이타!$E$130</definedName>
    <definedName name="데이" hidden="1">{"'Sheet1'!$A$1:$H$36"}</definedName>
    <definedName name="도급예산내역서총괄표공구손료">[31]도급예산내역서총괄표!$F$21</definedName>
    <definedName name="도급예산내역서총괄표공비">[31]도급예산내역서총괄표!$G$21</definedName>
    <definedName name="도급예산내역서총괄표재료비">[31]도급예산내역서총괄표!$E$21</definedName>
    <definedName name="독일가문비1206">[24]데이타!$E$131</definedName>
    <definedName name="독일가문비1508">[24]데이타!$E$132</definedName>
    <definedName name="독일가문비2010">[24]데이타!$E$133</definedName>
    <definedName name="독일가문비2512">[24]데이타!$E$134</definedName>
    <definedName name="독일가문비3015">[24]데이타!$E$135</definedName>
    <definedName name="독일가문비3518">[24]데이타!$E$136</definedName>
    <definedName name="돈나무0504">[24]데이타!$E$137</definedName>
    <definedName name="돈나무0805">[24]데이타!$E$138</definedName>
    <definedName name="돈나무1007">[24]데이타!$E$139</definedName>
    <definedName name="돈나무1210">[24]데이타!$E$140</definedName>
    <definedName name="동백1002">[24]데이타!$E$141</definedName>
    <definedName name="동백1204">[24]데이타!$E$142</definedName>
    <definedName name="동백1506">[24]데이타!$E$143</definedName>
    <definedName name="동백1808">[24]데이타!$E$144</definedName>
    <definedName name="동양0001월">#REF!</definedName>
    <definedName name="동양10월">#REF!</definedName>
    <definedName name="동양11월">#REF!</definedName>
    <definedName name="동양12월">#REF!</definedName>
    <definedName name="동양1월">[45]동양1월!$A$1:$C$208</definedName>
    <definedName name="동양2월">#REF!</definedName>
    <definedName name="동양3월">#REF!</definedName>
    <definedName name="동양4월">#REF!</definedName>
    <definedName name="동양5월">#REF!</definedName>
    <definedName name="동양6월">#REF!</definedName>
    <definedName name="동양7월">#REF!</definedName>
    <definedName name="동양8월">#REF!</definedName>
    <definedName name="동양9월">#REF!</definedName>
    <definedName name="동양제과11월">[46]동양제과11월!$A$1:$F$215</definedName>
    <definedName name="동양제과12월">'[46]동양제과 12월'!$A$1:$F$194</definedName>
    <definedName name="등R2">[24]데이타!$E$156</definedName>
    <definedName name="등R4">[24]데이타!$E$157</definedName>
    <definedName name="등R6">[24]데이타!$E$158</definedName>
    <definedName name="등R8">[24]데이타!$E$159</definedName>
    <definedName name="때죽R10">[24]데이타!$E$127</definedName>
    <definedName name="때죽R4">[24]데이타!$E$124</definedName>
    <definedName name="때죽R6">[24]데이타!$E$125</definedName>
    <definedName name="때죽R8">[24]데이타!$E$126</definedName>
    <definedName name="ㄹㄹ" hidden="1">#REF!</definedName>
    <definedName name="ㄹㅇㄹ" hidden="1">{"'표지'!$B$5"}</definedName>
    <definedName name="라" hidden="1">{"'Sheet1'!$A$1:$H$36"}</definedName>
    <definedName name="라피아" hidden="1">{"'Sheet1'!$A$1:$H$36"}</definedName>
    <definedName name="라피아1" hidden="1">{"'Sheet1'!$A$1:$H$36"}</definedName>
    <definedName name="램머Q간재">[32]램머!$D$20</definedName>
    <definedName name="램머Q간재10">[32]램머!$F$20</definedName>
    <definedName name="램머Q간재야간">[32]램머!$J$20</definedName>
    <definedName name="램머Q노무">[32]램머!$D$21</definedName>
    <definedName name="램머Q노무10">[32]램머!$F$21</definedName>
    <definedName name="램머Q노무야간">[32]램머!$J$21</definedName>
    <definedName name="램머Q손료">[32]램머!$D$22</definedName>
    <definedName name="램머Q손료10">[32]램머!$F$22</definedName>
    <definedName name="램머Q손료야간">[32]램머!$J$22</definedName>
    <definedName name="램머간재">'[32]기계경비(시간당)'!$H$170</definedName>
    <definedName name="램머노무">'[32]기계경비(시간당)'!$H$166</definedName>
    <definedName name="램머노무야간">'[32]기계경비(시간당)'!$H$167</definedName>
    <definedName name="램머손료">'[32]기계경비(시간당)'!$H$165</definedName>
    <definedName name="롯데0001월">#REF!</definedName>
    <definedName name="롯데10월">#REF!</definedName>
    <definedName name="롯데11월">#REF!</definedName>
    <definedName name="롯데12월">#REF!</definedName>
    <definedName name="롯데1월">[45]롯데1월!$A$1:$C$321</definedName>
    <definedName name="롯데2월">#REF!</definedName>
    <definedName name="롯데3월">#REF!</definedName>
    <definedName name="롯데4월">#REF!</definedName>
    <definedName name="롯데5월">#REF!</definedName>
    <definedName name="롯데6월">#REF!</definedName>
    <definedName name="롯데7월">#REF!</definedName>
    <definedName name="롯데8월">#REF!</definedName>
    <definedName name="롯데9월">#REF!</definedName>
    <definedName name="롯데제과11월">[46]롯데제과11월!$A$1:$F$189</definedName>
    <definedName name="롯데제과12월">'[46]롯데제과 12월'!$A$1:$F$188</definedName>
    <definedName name="리페아" hidden="1">{"'Sheet1'!$A$1:$H$36"}</definedName>
    <definedName name="리페아1" hidden="1">{"'Sheet1'!$A$1:$H$36"}</definedName>
    <definedName name="ㅁ" hidden="1">#N/A</definedName>
    <definedName name="ㅁ1">#REF!</definedName>
    <definedName name="ㅁ65">#REF!</definedName>
    <definedName name="ㅁㄴㄹ" hidden="1">{0}</definedName>
    <definedName name="ㅁㄴㅇㄹ" hidden="1">{0}</definedName>
    <definedName name="ㅁㄹ" hidden="1">{0}</definedName>
    <definedName name="ㅁㅁ" hidden="1">{"'Sheet1'!$A$1:$H$36"}</definedName>
    <definedName name="ㅁㅁㅁ" hidden="1">{#N/A,#N/A,TRUE,"789월 매출";#N/A,#N/A,TRUE,"목차";#N/A,#N/A,TRUE,"마감실적";#N/A,#N/A,TRUE,"거래처별"}</definedName>
    <definedName name="ㅁㅁㅁㅁㅁ">[47]세액계산!#REF!</definedName>
    <definedName name="ㅁㅇㄴㅁㅇㄴㅁㅇ" hidden="1">{#N/A,#N/A,TRUE,"789월 매출";#N/A,#N/A,TRUE,"목차";#N/A,#N/A,TRUE,"마감실적";#N/A,#N/A,TRUE,"거래처별"}</definedName>
    <definedName name="마가목R3">[24]데이타!$E$160</definedName>
    <definedName name="마가목R5">[24]데이타!$E$161</definedName>
    <definedName name="마가목R7">[24]데이타!$E$162</definedName>
    <definedName name="말발도리1003">[24]데이타!$E$163</definedName>
    <definedName name="말발도리1204">[24]데이타!$E$164</definedName>
    <definedName name="말발도리1506">[24]데이타!$E$165</definedName>
    <definedName name="매자0804">[24]데이타!$E$166</definedName>
    <definedName name="매자1005">[24]데이타!$E$167</definedName>
    <definedName name="매출2" hidden="1">{"'Sheet1'!$A$1:$H$36"}</definedName>
    <definedName name="매출계획" hidden="1">{#N/A,#N/A,TRUE,"789월 매출";#N/A,#N/A,TRUE,"목차";#N/A,#N/A,TRUE,"마감실적";#N/A,#N/A,TRUE,"거래처별"}</definedName>
    <definedName name="매출계획1" hidden="1">{#N/A,#N/A,TRUE,"789월 매출";#N/A,#N/A,TRUE,"목차";#N/A,#N/A,TRUE,"마감실적";#N/A,#N/A,TRUE,"거래처별"}</definedName>
    <definedName name="매출분석" hidden="1">{#N/A,#N/A,TRUE,"789월 매출";#N/A,#N/A,TRUE,"목차";#N/A,#N/A,TRUE,"마감실적";#N/A,#N/A,TRUE,"거래처별"}</definedName>
    <definedName name="매출분석2" hidden="1">{#N/A,#N/A,TRUE,"789월 매출";#N/A,#N/A,TRUE,"목차";#N/A,#N/A,TRUE,"마감실적";#N/A,#N/A,TRUE,"거래처별"}</definedName>
    <definedName name="매출액">#REF!</definedName>
    <definedName name="매출원가">#REF!</definedName>
    <definedName name="매출채권">#REF!</definedName>
    <definedName name="매출총이익">#REF!</definedName>
    <definedName name="매트릭스">[27]PAYBAND!$G$16:$K$18</definedName>
    <definedName name="매화R10">[24]데이타!$E$174</definedName>
    <definedName name="매화R4">[24]데이타!$E$171</definedName>
    <definedName name="매화R6">[24]데이타!$E$172</definedName>
    <definedName name="매화R8">[24]데이타!$E$173</definedName>
    <definedName name="메출학자금">[48]급여명세서!#REF!</definedName>
    <definedName name="메타B10">[24]데이타!$E$179</definedName>
    <definedName name="메타B12">[24]데이타!$E$180</definedName>
    <definedName name="메타B15">[24]데이타!$E$181</definedName>
    <definedName name="메타B18">[24]데이타!$E$182</definedName>
    <definedName name="메타B4">[24]데이타!$E$175</definedName>
    <definedName name="메타B5">[24]데이타!$E$176</definedName>
    <definedName name="메타B6">[24]데이타!$E$177</definedName>
    <definedName name="메타B8">[24]데이타!$E$178</definedName>
    <definedName name="명단">[25]급여대장!$C$9:$C$80</definedName>
    <definedName name="명부">#REF!</definedName>
    <definedName name="명세">#REF!</definedName>
    <definedName name="명세근태">#REF!</definedName>
    <definedName name="명세생산봉투">#REF!</definedName>
    <definedName name="명자0604">[24]데이타!$E$183</definedName>
    <definedName name="명자0805">[24]데이타!$E$184</definedName>
    <definedName name="명자1006">[24]데이타!$E$185</definedName>
    <definedName name="명자1208">[24]데이타!$E$186</definedName>
    <definedName name="명퇴과표" localSheetId="0">#REF!</definedName>
    <definedName name="명퇴과표">#REF!</definedName>
    <definedName name="명퇴금" localSheetId="0">#REF!</definedName>
    <definedName name="명퇴금">#REF!</definedName>
    <definedName name="명퇴산출세액" localSheetId="0">#REF!</definedName>
    <definedName name="명퇴산출세액">#REF!</definedName>
    <definedName name="명퇴연평균과표" localSheetId="0">#REF!</definedName>
    <definedName name="명퇴연평균과표">#REF!</definedName>
    <definedName name="명퇴퇴직소득공제계" localSheetId="0">#REF!</definedName>
    <definedName name="명퇴퇴직소득공제계">#REF!</definedName>
    <definedName name="명퇴환산세액" localSheetId="0">#REF!</definedName>
    <definedName name="명퇴환산세액">#REF!</definedName>
    <definedName name="모감주R10">[24]데이타!$E$190</definedName>
    <definedName name="모감주R4">[24]데이타!$E$187</definedName>
    <definedName name="모감주R6">[24]데이타!$E$188</definedName>
    <definedName name="모감주R8">[24]데이타!$E$189</definedName>
    <definedName name="모과2005">[24]데이타!$E$191</definedName>
    <definedName name="모과2507">[24]데이타!$E$192</definedName>
    <definedName name="모과R10">[24]데이타!$E$195</definedName>
    <definedName name="모과R12">[24]데이타!$E$196</definedName>
    <definedName name="모과R15">[24]데이타!$E$197</definedName>
    <definedName name="모과R20">[24]데이타!$E$198</definedName>
    <definedName name="모과R25">[24]데이타!$E$199</definedName>
    <definedName name="모과R5">[24]데이타!$E$193</definedName>
    <definedName name="모과R8">[24]데이타!$E$194</definedName>
    <definedName name="모란5가지">[24]데이타!$E$200</definedName>
    <definedName name="모란6가지">[24]데이타!$E$201</definedName>
    <definedName name="목련R10">[24]데이타!$E$206</definedName>
    <definedName name="목련R12">[24]데이타!$E$207</definedName>
    <definedName name="목련R15">[24]데이타!$E$208</definedName>
    <definedName name="목련R20">[24]데이타!$E$209</definedName>
    <definedName name="목련R4">[24]데이타!$E$202</definedName>
    <definedName name="목련R5">[24]데이타!$E$203</definedName>
    <definedName name="목련R6">[24]데이타!$E$204</definedName>
    <definedName name="목련R8">[24]데이타!$E$205</definedName>
    <definedName name="목서1506">[24]데이타!$E$213</definedName>
    <definedName name="목서2012">[24]데이타!$E$214</definedName>
    <definedName name="목서2515">[24]데이타!$E$215</definedName>
    <definedName name="목수국1006">[24]데이타!$E$210</definedName>
    <definedName name="목수국1208">[24]데이타!$E$211</definedName>
    <definedName name="목수국1510">[24]데이타!$E$212</definedName>
    <definedName name="몰라" hidden="1">{"'Sheet1'!$A$1:$H$36"}</definedName>
    <definedName name="무궁화1003">[24]데이타!$E$216</definedName>
    <definedName name="무궁화1203">[24]데이타!$E$217</definedName>
    <definedName name="무궁화1504">[24]데이타!$E$218</definedName>
    <definedName name="무궁화1805">[24]데이타!$E$219</definedName>
    <definedName name="무궁화2006">[24]데이타!$E$220</definedName>
    <definedName name="무형고정자산">#REF!</definedName>
    <definedName name="문제" hidden="1">{"'Sheet1'!$A$1:$H$36"}</definedName>
    <definedName name="문제점" hidden="1">{"'Sheet1'!$A$1:$H$36"}</definedName>
    <definedName name="물가인상">[27]PAYBAND!$A$13</definedName>
    <definedName name="물푸레R5">[24]데이타!$E$221</definedName>
    <definedName name="물푸레R6">[24]데이타!$E$222</definedName>
    <definedName name="물푸레R8">[24]데이타!$E$223</definedName>
    <definedName name="미선0804">[24]데이타!$E$224</definedName>
    <definedName name="미선1206">[24]데이타!$E$225</definedName>
    <definedName name="미수금">#REF!</definedName>
    <definedName name="미임고자재">#REF!</definedName>
    <definedName name="미입고자재">#REF!</definedName>
    <definedName name="미지급금">#REF!</definedName>
    <definedName name="미착품">#REF!</definedName>
    <definedName name="미ㅏ가일" hidden="1">{"'표지'!$B$5"}</definedName>
    <definedName name="ㅂ" hidden="1">#N/A</definedName>
    <definedName name="ㅂㅂ" hidden="1">{"'Sheet1'!$A$1:$H$36"}</definedName>
    <definedName name="ㅂㅂㅂㅈㅂ" hidden="1">{"'Sheet1'!$A$1:$H$36"}</definedName>
    <definedName name="ㅂㅂㅈ" hidden="1">{#N/A,#N/A,TRUE,"789월 매출";#N/A,#N/A,TRUE,"목차";#N/A,#N/A,TRUE,"마감실적";#N/A,#N/A,TRUE,"거래처별"}</definedName>
    <definedName name="바" hidden="1">{"'Sheet1'!$A$1:$H$36"}</definedName>
    <definedName name="박기선" hidden="1">{"'Sheet1'!$A$1:$H$36"}</definedName>
    <definedName name="박진성" hidden="1">#REF!</definedName>
    <definedName name="반송1012">[24]데이타!$E$148</definedName>
    <definedName name="반송1215">[24]데이타!$E$149</definedName>
    <definedName name="반송1518">[24]데이타!$E$150</definedName>
    <definedName name="반송1520">[24]데이타!$E$151</definedName>
    <definedName name="반송2022">[24]데이타!$E$152</definedName>
    <definedName name="발주번호">#REF!</definedName>
    <definedName name="배당세액공제03" localSheetId="0">#REF!</definedName>
    <definedName name="배당세액공제03">#REF!</definedName>
    <definedName name="배당세액공제04" localSheetId="0">#REF!</definedName>
    <definedName name="배당세액공제04">#REF!</definedName>
    <definedName name="배당소득03" localSheetId="0">#REF!</definedName>
    <definedName name="배당소득03">#REF!</definedName>
    <definedName name="배당소득04" localSheetId="0">#REF!</definedName>
    <definedName name="배당소득04">#REF!</definedName>
    <definedName name="백02간재">'[32]기계경비(시간당)'!$H$161</definedName>
    <definedName name="백02간재티스제외">'[32]기계경비(시간당)'!$H$162</definedName>
    <definedName name="백02노무">'[32]기계경비(시간당)'!$H$153</definedName>
    <definedName name="백02노무야간">'[32]기계경비(시간당)'!$H$157</definedName>
    <definedName name="백02손료">'[32]기계경비(시간당)'!$H$149</definedName>
    <definedName name="백04간재">'[32]기계경비(시간당)'!$H$145</definedName>
    <definedName name="백04간재티스제외">'[32]기계경비(시간당)'!$H$146</definedName>
    <definedName name="백04노무">'[32]기계경비(시간당)'!$H$137</definedName>
    <definedName name="백04노무야간">'[32]기계경비(시간당)'!$H$141</definedName>
    <definedName name="백04손료">'[32]기계경비(시간당)'!$H$133</definedName>
    <definedName name="백07간재">'[32]기계경비(시간당)'!$H$129</definedName>
    <definedName name="백07노무">'[32]기계경비(시간당)'!$H$121</definedName>
    <definedName name="백07손료">'[32]기계경비(시간당)'!$H$117</definedName>
    <definedName name="밴드">[20]TABLE!$A$5:$A$7</definedName>
    <definedName name="밴드위치">[27]PAYBAND!$F$16:$F$18</definedName>
    <definedName name="번호">[49]정규직근로자명부!$A$6:$A$295</definedName>
    <definedName name="범위">#REF!</definedName>
    <definedName name="범위2">#REF!</definedName>
    <definedName name="법인세차감전순손실">#REF!</definedName>
    <definedName name="베스트" hidden="1">#N/A</definedName>
    <definedName name="변경시간표" hidden="1">{"'Sheet1'!$A$1:$H$36"}</definedName>
    <definedName name="변동자현황2">{0;0;0;0;5;1;0.75;0;0;0;2;FALSE;FALSE;FALSE;FALSE;FALSE;#N/A;1;100;#N/A;#N/A;"";""}</definedName>
    <definedName name="보증금">#REF!</definedName>
    <definedName name="보통인부B10">[24]식재인부!$C$24</definedName>
    <definedName name="보통인부B4이하">[24]식재인부!$C$18</definedName>
    <definedName name="보통인부B5">[24]식재인부!$C$19</definedName>
    <definedName name="보통인부B6">[24]식재인부!$C$20</definedName>
    <definedName name="보통인부B8">[24]식재인부!$C$22</definedName>
    <definedName name="보통인부R10">[24]식재인부!$C$54</definedName>
    <definedName name="보통인부R12">[24]식재인부!$C$56</definedName>
    <definedName name="보통인부R15">[24]식재인부!$C$59</definedName>
    <definedName name="보통인부R4이하">[24]식재인부!$C$48</definedName>
    <definedName name="보통인부R5">[24]식재인부!$C$49</definedName>
    <definedName name="보통인부R6">[24]식재인부!$C$50</definedName>
    <definedName name="보통인부R7">[24]식재인부!$C$51</definedName>
    <definedName name="보통인부R8">[24]식재인부!$C$52</definedName>
    <definedName name="보통주자본금">#REF!</definedName>
    <definedName name="부서">[44]정규직근로자명부!$S$6:$S$348</definedName>
    <definedName name="부서코드다">[50]인원자료!$A$1:$B$190</definedName>
    <definedName name="부채와자본총계">#REF!</definedName>
    <definedName name="분리과세시산출세액03" localSheetId="0">#REF!</definedName>
    <definedName name="분리과세시산출세액03">#REF!</definedName>
    <definedName name="분리과세시산출세액04" localSheetId="0">#REF!</definedName>
    <definedName name="분리과세시산출세액04">#REF!</definedName>
    <definedName name="분전함신설합계">[51]분전함신설!$S$29</definedName>
    <definedName name="브02간재구조물">'[32]기계경비(시간당)'!$H$112</definedName>
    <definedName name="브02노무">'[32]기계경비(시간당)'!$H$110</definedName>
    <definedName name="브02노무야간">'[32]기계경비(시간당)'!$H$111</definedName>
    <definedName name="브02손료">'[32]기계경비(시간당)'!$H$109</definedName>
    <definedName name="브04간재구조물">'[32]기계경비(시간당)'!$H$105</definedName>
    <definedName name="브04노무">'[32]기계경비(시간당)'!$H$103</definedName>
    <definedName name="브04노무야간">'[32]기계경비(시간당)'!$H$104</definedName>
    <definedName name="브04손료">'[32]기계경비(시간당)'!$H$102</definedName>
    <definedName name="브레이드">'[32]기계경비(시간당)'!$D$28</definedName>
    <definedName name="비교">#REF!</definedName>
    <definedName name="비교분">#REF!</definedName>
    <definedName name="ㅅ" hidden="1">[12]A!#REF!</definedName>
    <definedName name="사건구분">[34]참고용!$P$3:$P$4</definedName>
    <definedName name="사무직율">[27]PAYBAND!$I$13</definedName>
    <definedName name="사번">#REF!</definedName>
    <definedName name="사업계획복사" hidden="1">{"'Sheet1'!$A$1:$H$36"}</definedName>
    <definedName name="사업계획요약01" hidden="1">{"'Sheet1'!$A$1:$H$36"}</definedName>
    <definedName name="사업계획요약2" hidden="1">{"'Sheet1'!$A$1:$H$36"}</definedName>
    <definedName name="사용일수">[44]연차휴가테이블!$P$5:$P$165</definedName>
    <definedName name="산업재산권">#REF!</definedName>
    <definedName name="산재보상기준">#REF!</definedName>
    <definedName name="산재보험료">[31]설계산출기초!$G$13</definedName>
    <definedName name="산정표">'[36]월별지급임금산정표(8)'!$A$6:$AR$40</definedName>
    <definedName name="산출세액계" localSheetId="0">#REF!</definedName>
    <definedName name="산출세액계">#REF!</definedName>
    <definedName name="상품매출원가">#REF!</definedName>
    <definedName name="색인">[52]목록!$D$3:$O$782</definedName>
    <definedName name="생맹">#REF!</definedName>
    <definedName name="생명">#REF!</definedName>
    <definedName name="생산급여">#REF!</definedName>
    <definedName name="생산봉투">#REF!</definedName>
    <definedName name="생산외">#REF!</definedName>
    <definedName name="서" hidden="1">{"'Sheet1'!$A$1:$H$36"}</definedName>
    <definedName name="서비스역량">[42]급여명세서!#REF!</definedName>
    <definedName name="선급금">#REF!</definedName>
    <definedName name="설계수량">[53]설계수량!$A$3:$L$90</definedName>
    <definedName name="성과조정">[27]PAYBAND!$F$21</definedName>
    <definedName name="성명">[44]정규직근로자명부!$B$6:$B$469</definedName>
    <definedName name="성연">'[54]총(신설)'!$C$2:$N$487</definedName>
    <definedName name="세무서식" localSheetId="0">#REF!</definedName>
    <definedName name="세무서식">#REF!</definedName>
    <definedName name="세부" hidden="1">{"'Sheet1'!$A$1:$H$36"}</definedName>
    <definedName name="세율" localSheetId="0">#REF!</definedName>
    <definedName name="세율">#REF!</definedName>
    <definedName name="세율98" localSheetId="0">#REF!</definedName>
    <definedName name="세율98">#REF!</definedName>
    <definedName name="세율변동" localSheetId="0">#REF!</definedName>
    <definedName name="세율변동">#REF!</definedName>
    <definedName name="세율변동2007" localSheetId="0">#REF!</definedName>
    <definedName name="세율변동2007">#REF!</definedName>
    <definedName name="세율표_01">'[55]붙임2-1  지급조서명세서(2001년분)'!#REF!</definedName>
    <definedName name="세율표0203">'[55]붙임2-1  지급조서명세서(2001년분)'!#REF!</definedName>
    <definedName name="소멸일">[44]연차휴가테이블!$S$5:$S$482</definedName>
    <definedName name="소형B손료">'[32]기계경비(시간당)'!$H$240</definedName>
    <definedName name="수량원본">'[56]48일위(기존)'!$A$1:$X$65536</definedName>
    <definedName name="수목자재">#N/A</definedName>
    <definedName name="수불" hidden="1">{"'Sheet1'!$A$1:$H$36"}</definedName>
    <definedName name="수불단가" hidden="1">{"'Sheet1'!$A$1:$H$36"}</definedName>
    <definedName name="수입이자">[8]Index!$H$150</definedName>
    <definedName name="순번1">#REF!</definedName>
    <definedName name="시간" hidden="1">{"'Sheet1'!$A$1:$H$36"}</definedName>
    <definedName name="시간외수당">{0;0;0;0;5;1;0.75;0;0;0;2;FALSE;FALSE;FALSE;FALSE;FALSE;#N/A;1;100;#N/A;#N/A;"";""}</definedName>
    <definedName name="시간표" hidden="1">{"'Sheet1'!$A$1:$H$36"}</definedName>
    <definedName name="시업및종업시각">#REF!</definedName>
    <definedName name="시중노임1">#N/A</definedName>
    <definedName name="시행청">[31]설계산출표지!$B$21</definedName>
    <definedName name="식대2" localSheetId="0">#REF!</definedName>
    <definedName name="식대2">#REF!</definedName>
    <definedName name="신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신모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사번">#REF!</definedName>
    <definedName name="신설">[57]자재!$A$4:$IV$122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업급여">#REF!</definedName>
    <definedName name="실적" hidden="1">{"'Sheet1'!$A$1:$H$36"}</definedName>
    <definedName name="실적1" hidden="1">{"'Sheet1'!$A$1:$H$36"}</definedName>
    <definedName name="실적11" hidden="1">{"'Sheet1'!$A$1:$H$36"}</definedName>
    <definedName name="심지연" hidden="1">"표지"</definedName>
    <definedName name="ㅇ" hidden="1">'[3]F4-F7'!#REF!</definedName>
    <definedName name="ㅇㄴㅀㅇㄹ호" hidden="1">#N/A</definedName>
    <definedName name="ㅇㄴㅇㅇ" hidden="1">{#N/A,#N/A,TRUE,"789월 매출";#N/A,#N/A,TRUE,"목차";#N/A,#N/A,TRUE,"마감실적";#N/A,#N/A,TRUE,"거래처별"}</definedName>
    <definedName name="ㅇㄶㄹㄴㅇㅎ" hidden="1">#N/A</definedName>
    <definedName name="ㅇㄹ" hidden="1">{"'Sheet1'!$A$1:$H$36"}</definedName>
    <definedName name="ㅇㄻ" hidden="1">{0}</definedName>
    <definedName name="ㅇㄻㅇ" hidden="1">{0}</definedName>
    <definedName name="ㅇㅇㅇ" hidden="1">{"'Sheet1'!$A$1:$H$36"}</definedName>
    <definedName name="ㅇㅎㄹㄴㅇㅁㅎ">#REF!</definedName>
    <definedName name="아" hidden="1">{"'Sheet1'!$A$1:$H$36"}</definedName>
    <definedName name="아아" localSheetId="0">#REF!</definedName>
    <definedName name="아아">#REF!</definedName>
    <definedName name="아앙" hidden="1">{"'Sheet1'!$A$1:$H$36"}</definedName>
    <definedName name="안전관리비">[31]설계산출기초!$G$11</definedName>
    <definedName name="양매자0403">[24]데이타!$E$168</definedName>
    <definedName name="양매자0505">[24]데이타!$E$169</definedName>
    <definedName name="양매자0606">[24]데이타!$E$170</definedName>
    <definedName name="업">#REF!</definedName>
    <definedName name="업2" hidden="1">#N/A</definedName>
    <definedName name="업3" hidden="1">#N/A</definedName>
    <definedName name="업체코드">#REF!</definedName>
    <definedName name="연금보험료" localSheetId="0">#REF!</definedName>
    <definedName name="연금보험료">#REF!</definedName>
    <definedName name="연봉">[35]연봉책정내역!$B$6:$AF$49</definedName>
    <definedName name="연봉계약서_2024">#REF!</definedName>
    <definedName name="연봉데이타">[58]연봉데이타!$A$1:$AM$401</definedName>
    <definedName name="연봉사무">[27]PAYBAND!$J$13</definedName>
    <definedName name="연봉일반">[27]PAYBAND!$K$13</definedName>
    <definedName name="연수원비교" hidden="1">{"'Sheet1'!$A$1:$H$36"}</definedName>
    <definedName name="연장추가">[59]집계표결과!$A$2:$B$25</definedName>
    <definedName name="연차수당">#REF!</definedName>
    <definedName name="연차일수">[44]연차휴가테이블!$N$5:$N$463</definedName>
    <definedName name="연평균과표계" localSheetId="0">#REF!</definedName>
    <definedName name="연평균과표계">#REF!</definedName>
    <definedName name="영" hidden="1">{"'Sheet1'!$A$1:$H$36"}</definedName>
    <definedName name="영업손실">#REF!</definedName>
    <definedName name="영업외비용">#REF!</definedName>
    <definedName name="영업외수익">#REF!</definedName>
    <definedName name="예상">{0;0;0;0;5;1;0.75;0;0;0;2;FALSE;FALSE;FALSE;FALSE;FALSE;#N/A;1;100;#N/A;#N/A;"";""}</definedName>
    <definedName name="예상_MDS">{0;0;0;0;5;1;0.75;0;0;0;2;FALSE;FALSE;FALSE;FALSE;FALSE;#N/A;1;100;#N/A;#N/A;"";""}</definedName>
    <definedName name="옛날세율89" localSheetId="0">#REF!</definedName>
    <definedName name="옛날세율89">#REF!</definedName>
    <definedName name="옛날세율91" localSheetId="0">#REF!</definedName>
    <definedName name="옛날세율91">#REF!</definedName>
    <definedName name="옛날세율93" localSheetId="0">#REF!</definedName>
    <definedName name="옛날세율93">#REF!</definedName>
    <definedName name="외화단기차입금">#REF!</definedName>
    <definedName name="요약">#REF!</definedName>
    <definedName name="요약표" hidden="1">{"'Sheet1'!$A$1:$H$36"}</definedName>
    <definedName name="요약표3" hidden="1">{"'Sheet1'!$A$1:$H$36"}</definedName>
    <definedName name="용접공">'[32]기계경비(시간당)'!$D$13</definedName>
    <definedName name="운" hidden="1">{"'Sheet1'!$A$1:$H$36"}</definedName>
    <definedName name="운반구간">[31]을부담운반비!$D$5</definedName>
    <definedName name="운반비">[31]설계산출기초!$G$7</definedName>
    <definedName name="운영2" hidden="1">{"'Sheet1'!$A$1:$H$36"}</definedName>
    <definedName name="운영방안" hidden="1">{"'Sheet1'!$A$1:$H$36"}</definedName>
    <definedName name="운전사_운반">'[32]기계경비(시간당)'!$D$7</definedName>
    <definedName name="운전원직">[27]PAYBAND!$L$13</definedName>
    <definedName name="원">[5]감가상각!$A$1:$R$30</definedName>
    <definedName name="원재료">#REF!</definedName>
    <definedName name="월">#REF!</definedName>
    <definedName name="월일">#REF!</definedName>
    <definedName name="위반법조항">[34]참고용!$Q$12:$Q$39</definedName>
    <definedName name="위치">'[38]2021-06  급여명세표'!$O$3</definedName>
    <definedName name="위치2" localSheetId="0">#REF!</definedName>
    <definedName name="위치2">#REF!</definedName>
    <definedName name="유가00">#REF!</definedName>
    <definedName name="유가증권">#REF!</definedName>
    <definedName name="유동부채">#REF!</definedName>
    <definedName name="유동자산">#REF!</definedName>
    <definedName name="유형자산">#REF!</definedName>
    <definedName name="을부담품목별중량계">[31]운반비산출!$E$25</definedName>
    <definedName name="이름">#REF!</definedName>
    <definedName name="이이름">#REF!</definedName>
    <definedName name="이자소득03" localSheetId="0">#REF!</definedName>
    <definedName name="이자소득03">#REF!</definedName>
    <definedName name="이자소득04" localSheetId="0">#REF!</definedName>
    <definedName name="이자소득04">#REF!</definedName>
    <definedName name="이페아" hidden="1">{"'Sheet1'!$A$1:$H$36"}</definedName>
    <definedName name="인사">#REF!</definedName>
    <definedName name="인상율">[20]TABLE!$B$5:$F$7</definedName>
    <definedName name="인적공제and표준공제03" localSheetId="0">#REF!</definedName>
    <definedName name="인적공제and표준공제03">#REF!</definedName>
    <definedName name="인적공제and표준공제04" localSheetId="0">#REF!</definedName>
    <definedName name="인적공제and표준공제04">#REF!</definedName>
    <definedName name="인적사항">#REF!</definedName>
    <definedName name="일용직대장">#REF!</definedName>
    <definedName name="일위">[60]일위대가!$A$4:$IV$1001</definedName>
    <definedName name="일위1">[61]일위산출근거!$A$1:$AL$2801</definedName>
    <definedName name="입목">#REF!</definedName>
    <definedName name="입사">#REF!</definedName>
    <definedName name="입사일">[44]정규직근로자명부!$K$6:$K$447</definedName>
    <definedName name="ㅈ" hidden="1">{"'Sheet1'!$A$1:$H$36"}</definedName>
    <definedName name="ㅈㄷㄷㄷ" hidden="1">{"'표지'!$B$5"}</definedName>
    <definedName name="ㅈㅈ" hidden="1">{"'Sheet1'!$A$1:$H$36"}</definedName>
    <definedName name="자기주식">#REF!</definedName>
    <definedName name="자기주식소각손실">#REF!</definedName>
    <definedName name="자본금">#REF!</definedName>
    <definedName name="자본잉여금">#REF!</definedName>
    <definedName name="자본조정">#REF!</definedName>
    <definedName name="자본총계">#REF!</definedName>
    <definedName name="자산총계">#REF!</definedName>
    <definedName name="자재" hidden="1">{"'Sheet1'!$A$1:$H$36"}</definedName>
    <definedName name="자재코드">#REF!</definedName>
    <definedName name="자재팀" hidden="1">{"'표지'!$B$5"}</definedName>
    <definedName name="잔여일수">[44]연차휴가테이블!$Q$5:$Q$445</definedName>
    <definedName name="장말선" localSheetId="0">#REF!</definedName>
    <definedName name="장말선">#REF!</definedName>
    <definedName name="장창규" hidden="1">'[3]F4-F7'!#REF!</definedName>
    <definedName name="재고자산">#REF!</definedName>
    <definedName name="재공품">#REF!</definedName>
    <definedName name="재료비">#REF!</definedName>
    <definedName name="적용거리">[31]을부담운반비!$D$2</definedName>
    <definedName name="적용속도">[31]을부담운반비!$D$3</definedName>
    <definedName name="적용톤수">[31]을부담운반비!$D$1</definedName>
    <definedName name="전기">#N/A</definedName>
    <definedName name="전기요금2">#REF!</definedName>
    <definedName name="전산장비" hidden="1">{"'Sheet1'!$A$1:$H$36"}</definedName>
    <definedName name="전체근속연수" localSheetId="0">#REF!</definedName>
    <definedName name="전체근속연수">#REF!</definedName>
    <definedName name="전표">#REF!</definedName>
    <definedName name="전표입력">#REF!</definedName>
    <definedName name="접지1종합계">[51]접지1종!$S$20</definedName>
    <definedName name="정기수" hidden="1">{"'Sheet1'!$A$1:$H$36"}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 localSheetId="0">#REF!</definedName>
    <definedName name="제목">#REF!</definedName>
    <definedName name="제조경비">#REF!</definedName>
    <definedName name="제품">#REF!</definedName>
    <definedName name="제품매출원가">#REF!</definedName>
    <definedName name="조" hidden="1">{"'Sheet1'!$A$1:$H$36"}</definedName>
    <definedName name="조경공">[29]데이타!$E$658</definedName>
    <definedName name="조경공B10">[24]식재인부!$B$24</definedName>
    <definedName name="조경공B4이하">[24]식재인부!$B$18</definedName>
    <definedName name="조경공B5">[24]식재인부!$B$19</definedName>
    <definedName name="조경공B6">[24]식재인부!$B$20</definedName>
    <definedName name="조경공B8">[24]식재인부!$B$22</definedName>
    <definedName name="조경공R10">[24]식재인부!$B$54</definedName>
    <definedName name="조경공R12">[24]식재인부!$B$56</definedName>
    <definedName name="조경공R15">[24]식재인부!$B$59</definedName>
    <definedName name="조경공R4이하">[24]식재인부!$B$48</definedName>
    <definedName name="조경공R5">[24]식재인부!$B$49</definedName>
    <definedName name="조경공R6">[24]식재인부!$B$50</definedName>
    <definedName name="조경공R7">[24]식재인부!$B$51</definedName>
    <definedName name="조경공R8">[24]식재인부!$B$52</definedName>
    <definedName name="조원공_1.1_1.5">[24]식재인부!$B$5</definedName>
    <definedName name="조형가이즈까3010">[24]데이타!$E$11</definedName>
    <definedName name="조형가이즈까3012">[24]데이타!$E$12</definedName>
    <definedName name="조형가이즈까3014">[24]데이타!$E$13</definedName>
    <definedName name="조형가이즈까3516">[24]데이타!$E$14</definedName>
    <definedName name="종목">[13]자료!$J$39:$K$43</definedName>
    <definedName name="종사업무">#REF!</definedName>
    <definedName name="종합과세대상금융소득" localSheetId="0">#REF!</definedName>
    <definedName name="종합과세대상금융소득">#REF!</definedName>
    <definedName name="종합소득금액03" localSheetId="0">#REF!</definedName>
    <definedName name="종합소득금액03">#REF!</definedName>
    <definedName name="종합소득금액04" localSheetId="0">#REF!</definedName>
    <definedName name="종합소득금액04">#REF!</definedName>
    <definedName name="종합소득종합과세기준" localSheetId="0">#REF!</definedName>
    <definedName name="종합소득종합과세기준">#REF!</definedName>
    <definedName name="주민등록번호">[44]정규직근로자명부!$D$6:$D$606</definedName>
    <definedName name="주소">[44]정규직근로자명부!$AG$6:$AG$275</definedName>
    <definedName name="주식할인발행차금">#REF!</definedName>
    <definedName name="주요상품" hidden="1">{"'Sheet1'!$A$1:$H$36"}</definedName>
    <definedName name="주요품목" hidden="1">{"'Sheet1'!$A$1:$H$36"}</definedName>
    <definedName name="중간정산이후근속연수" localSheetId="0">#REF!</definedName>
    <definedName name="중간정산이후근속연수">#REF!</definedName>
    <definedName name="중간정산일" localSheetId="0">#REF!</definedName>
    <definedName name="중간정산일">#REF!</definedName>
    <definedName name="중기운전기사">'[32]기계경비(시간당)'!$D$4</definedName>
    <definedName name="중대가시설2">#N/A</definedName>
    <definedName name="중점관리_사이트계획">#REF!</definedName>
    <definedName name="중점관리사이트계획">#REF!</definedName>
    <definedName name="중퇴과표" localSheetId="0">#REF!</definedName>
    <definedName name="중퇴과표">#REF!</definedName>
    <definedName name="중퇴근속연수" localSheetId="0">#REF!</definedName>
    <definedName name="중퇴근속연수">#REF!</definedName>
    <definedName name="중퇴근속연수계">[26]세액계산!#REF!</definedName>
    <definedName name="중퇴금" localSheetId="0">#REF!</definedName>
    <definedName name="중퇴금">#REF!</definedName>
    <definedName name="중퇴금계">[26]세액계산!#REF!</definedName>
    <definedName name="중퇴명퇴금" localSheetId="0">#REF!</definedName>
    <definedName name="중퇴명퇴금">#REF!</definedName>
    <definedName name="중퇴명퇴금계">[26]세액계산!#REF!</definedName>
    <definedName name="중퇴산출세액" localSheetId="0">#REF!</definedName>
    <definedName name="중퇴산출세액">#REF!</definedName>
    <definedName name="중퇴산출세액계">[26]세액계산!#REF!</definedName>
    <definedName name="중퇴연평균과표" localSheetId="0">#REF!</definedName>
    <definedName name="중퇴연평균과표">#REF!</definedName>
    <definedName name="중퇴퇴직소득공제2" localSheetId="0">#REF!</definedName>
    <definedName name="중퇴퇴직소득공제2">#REF!</definedName>
    <definedName name="중퇴퇴직소득공제계" localSheetId="0">#REF!</definedName>
    <definedName name="중퇴퇴직소득공제계">#REF!</definedName>
    <definedName name="중퇴환산세액" localSheetId="0">#REF!</definedName>
    <definedName name="중퇴환산세액">#REF!</definedName>
    <definedName name="중퇴환산세액계">[26]세액계산!#REF!</definedName>
    <definedName name="지4">'[62]4.2내역서'!$J$1:$J$65536</definedName>
    <definedName name="지급액">#REF!</definedName>
    <definedName name="지도" hidden="1">{"'Sheet1'!$A$1:$H$36"}</definedName>
    <definedName name="지도1" hidden="1">#N/A</definedName>
    <definedName name="지점베스트" hidden="1">#N/A</definedName>
    <definedName name="지점코드">[46]지점코드!$A$1:$B$11</definedName>
    <definedName name="직무">[44]정규직근로자명부!$T$6:$T$761</definedName>
    <definedName name="직무등급">[20]TABLE!#REF!</definedName>
    <definedName name="직무역할">[20]TABLE!$B$9:$E$9</definedName>
    <definedName name="직위">[49]정규직근로자명부!$W$6:$W$535</definedName>
    <definedName name="집기비품">[8]!집기비품</definedName>
    <definedName name="ㅊㄹ" hidden="1">{"'Sheet1'!$A$1:$H$36"}</definedName>
    <definedName name="ㅊㅊㅊㅊㅊㅊㅊㅊ">#REF!</definedName>
    <definedName name="차기이월결손금">#REF!</definedName>
    <definedName name="차량가격">[31]을부담운반비!$D$4</definedName>
    <definedName name="차량운반구">[8]!차량운반구</definedName>
    <definedName name="차량운반구장부가액">#REF!</definedName>
    <definedName name="차변">[8]Index!$B$105</definedName>
    <definedName name="착암공">'[32]기계경비(시간당)'!$D$12</definedName>
    <definedName name="체류자격">[34]참고용!$R$3:$R$5</definedName>
    <definedName name="총">'[63]총(신설)'!$C$2:$Q$416</definedName>
    <definedName name="총괄">[8]!총괄</definedName>
    <definedName name="총괄2" hidden="1">{"'표지'!$B$5"}</definedName>
    <definedName name="총물량">'[64]총(신설)'!$C$2:$Q$416</definedName>
    <definedName name="총물량2">'[65]총(철거)'!$C$2:$M$137</definedName>
    <definedName name="최종">#REF!</definedName>
    <definedName name="최종상품" hidden="1">{"'Sheet1'!$A$1:$H$36"}</definedName>
    <definedName name="캇타간재">'[32]기계경비(시간당)'!$H$92</definedName>
    <definedName name="캇타노무">'[32]기계경비(시간당)'!$H$88</definedName>
    <definedName name="캇타손료">'[32]기계경비(시간당)'!$H$87</definedName>
    <definedName name="코드번호셀연결">#REF!</definedName>
    <definedName name="크라운0001월">#REF!</definedName>
    <definedName name="크라운10월">#REF!</definedName>
    <definedName name="크라운11월">#REF!</definedName>
    <definedName name="크라운12월">#REF!</definedName>
    <definedName name="크라운1월">[45]크라운1월!$A$1:$C$131</definedName>
    <definedName name="크라운2월">#REF!</definedName>
    <definedName name="크라운3월">#REF!</definedName>
    <definedName name="크라운4월">#REF!</definedName>
    <definedName name="크라운5월">#REF!</definedName>
    <definedName name="크라운6월">#REF!</definedName>
    <definedName name="크라운7월">#REF!</definedName>
    <definedName name="크라운8월">#REF!</definedName>
    <definedName name="크라운9월">#REF!</definedName>
    <definedName name="크라운제과11월">[46]크라운제과11월!$A$1:$F$134</definedName>
    <definedName name="크라운제과12월">'[46]크라운제과 12월'!$A$1:$F$127</definedName>
    <definedName name="ㅌㄹㄴ" hidden="1">{"'표지'!$B$5"}</definedName>
    <definedName name="ㅌㅊㅋㅌㅊ" hidden="1">{"'Sheet1'!$A$1:$H$36"}</definedName>
    <definedName name="타이틀" localSheetId="0">#REF!</definedName>
    <definedName name="타이틀">#REF!</definedName>
    <definedName name="테이블표">[27]PAYBAND!$A$3:$K$10</definedName>
    <definedName name="텔레시스">{0;0;0;0;5;1;0.75;0;0;0;2;FALSE;FALSE;FALSE;FALSE;FALSE;#N/A;1;100;#N/A;#N/A;"";""}</definedName>
    <definedName name="토지">#REF!</definedName>
    <definedName name="퇴사">'[66]3월연장근무'!$A$2:$D$74</definedName>
    <definedName name="퇴사일" localSheetId="0">#REF!</definedName>
    <definedName name="퇴사일">#REF!</definedName>
    <definedName name="퇴직" hidden="1">#REF!</definedName>
    <definedName name="퇴직금" localSheetId="0">#REF!</definedName>
    <definedName name="퇴직금">#REF!</definedName>
    <definedName name="퇴직금과표" localSheetId="0">#REF!</definedName>
    <definedName name="퇴직금과표">#REF!</definedName>
    <definedName name="퇴직금산정" localSheetId="0">#REF!</definedName>
    <definedName name="퇴직금산정">#REF!</definedName>
    <definedName name="퇴직금산출세액" localSheetId="0">#REF!</definedName>
    <definedName name="퇴직금산출세액">#REF!</definedName>
    <definedName name="퇴직금연평균과표" localSheetId="0">#REF!</definedName>
    <definedName name="퇴직금연평균과표">#REF!</definedName>
    <definedName name="퇴직금퇴직소득공제" localSheetId="0">#REF!</definedName>
    <definedName name="퇴직금퇴직소득공제">#REF!</definedName>
    <definedName name="퇴직금환산세액" localSheetId="0">#REF!</definedName>
    <definedName name="퇴직금환산세액">#REF!</definedName>
    <definedName name="퇴직급여충당금">#REF!</definedName>
    <definedName name="퇴직소득공제" localSheetId="0">#REF!</definedName>
    <definedName name="퇴직소득공제">#REF!</definedName>
    <definedName name="투자자산">#REF!</definedName>
    <definedName name="특별인부">'[32]기계경비(시간당)'!$D$9</definedName>
    <definedName name="판관비">#REF!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평가등급">[27]PAYBAND!$G$15:$K$15</definedName>
    <definedName name="표" hidden="1">{"'Sheet1'!$A$1:$H$36"}</definedName>
    <definedName name="표지22" hidden="1">{"'Sheet1'!$A$1:$H$36"}</definedName>
    <definedName name="품명">#REF!</definedName>
    <definedName name="품신">[31]설계산출표지!$B$1</definedName>
    <definedName name="플라타너스B8">[24]데이타!$E$552</definedName>
    <definedName name="ㅎ" hidden="1">{"'Sheet1'!$A$1:$H$36"}</definedName>
    <definedName name="하반기달성" hidden="1">{#N/A,#N/A,TRUE,"789월 매출";#N/A,#N/A,TRUE,"목차";#N/A,#N/A,TRUE,"마감실적";#N/A,#N/A,TRUE,"거래처별"}</definedName>
    <definedName name="하반기실적" hidden="1">{#N/A,#N/A,TRUE,"789월 매출";#N/A,#N/A,TRUE,"목차";#N/A,#N/A,TRUE,"마감실적";#N/A,#N/A,TRUE,"거래처별"}</definedName>
    <definedName name="하자보수충당금">#REF!</definedName>
    <definedName name="항목구분">[34]참고용!$Q$3:$Q$7</definedName>
    <definedName name="해외견적서2" hidden="1">{"'Sheet1'!$A$1:$H$36"}</definedName>
    <definedName name="해태0001월">#REF!</definedName>
    <definedName name="해태10월">#REF!</definedName>
    <definedName name="해태11월">#REF!</definedName>
    <definedName name="해태12월">#REF!</definedName>
    <definedName name="해태1월">[45]해태1월!$A$1:$C$128</definedName>
    <definedName name="해태2월">#REF!</definedName>
    <definedName name="해태3월">#REF!</definedName>
    <definedName name="해태4월">#REF!</definedName>
    <definedName name="해태5월">#REF!</definedName>
    <definedName name="해태6월">#REF!</definedName>
    <definedName name="해태7월">#REF!</definedName>
    <definedName name="해태8월">#REF!</definedName>
    <definedName name="해태9월">#REF!</definedName>
    <definedName name="해태제과11월">[46]해태제과11월!$A$1:$F$141</definedName>
    <definedName name="해태제과12월">'[46]해태제과 12월'!$A$1:$F$107</definedName>
    <definedName name="현" hidden="1">{"'Sheet1'!$A$1:$H$36"}</definedName>
    <definedName name="현1" hidden="1">{"'Sheet1'!$A$1:$H$36"}</definedName>
    <definedName name="현금및현금등가물">#REF!</definedName>
    <definedName name="現代綜合商事經由分">#REF!</definedName>
    <definedName name="현소속3년이상">#REF!</definedName>
    <definedName name="환율">'[32]기계경비(시간당)'!$D$21</definedName>
    <definedName name="ㅏㅏㅓㅘ" hidden="1">{"'표지'!$B$5"}</definedName>
    <definedName name="ㅔ" hidden="1">{0}</definedName>
    <definedName name="ㅔ아1000" hidden="1">{"'Sheet1'!$A$1:$H$36"}</definedName>
    <definedName name="ㅔㅔ" hidden="1">{"'Sheet1'!$A$1:$H$36"}</definedName>
    <definedName name="ㅗ" hidden="1">[12]A!#REF!</definedName>
    <definedName name="ㅛ" hidden="1">[12]A!#REF!</definedName>
    <definedName name="ㅜㅜㅜㅜㅜㅜㅜㅜㅜㅜㅜㅜㅜㅜㅜㅜㅜㅜㅜㅜㅜㅜㅜㅜㅜ" hidden="1">{"'Sheet1'!$A$1:$H$36"}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1" i="98" l="1"/>
  <c r="AG22" i="98"/>
  <c r="AG23" i="98"/>
  <c r="AG24" i="98"/>
  <c r="AG25" i="98"/>
  <c r="AG26" i="98"/>
  <c r="AG27" i="98"/>
  <c r="AG28" i="98"/>
  <c r="AG29" i="98"/>
  <c r="AG30" i="98"/>
  <c r="AG31" i="98"/>
  <c r="AG32" i="98"/>
  <c r="AG33" i="98"/>
  <c r="AG34" i="98"/>
  <c r="AG35" i="98"/>
  <c r="AG36" i="98"/>
  <c r="AG37" i="98"/>
  <c r="AG38" i="98"/>
  <c r="AG39" i="98"/>
  <c r="AG40" i="98"/>
  <c r="AG41" i="98"/>
  <c r="AG42" i="98"/>
  <c r="AG43" i="98"/>
  <c r="AG44" i="98"/>
  <c r="AG45" i="98"/>
  <c r="AG46" i="98"/>
  <c r="AG20" i="98"/>
  <c r="AS7" i="98"/>
  <c r="AS11" i="98" s="1"/>
  <c r="M21" i="98" l="1"/>
  <c r="M22" i="98"/>
  <c r="M23" i="98"/>
  <c r="M24" i="98"/>
  <c r="M25" i="98"/>
  <c r="M26" i="98"/>
  <c r="M27" i="98"/>
  <c r="M28" i="98"/>
  <c r="M29" i="98"/>
  <c r="M30" i="98"/>
  <c r="M31" i="98"/>
  <c r="M32" i="98"/>
  <c r="M33" i="98"/>
  <c r="M34" i="98"/>
  <c r="M35" i="98"/>
  <c r="M36" i="98"/>
  <c r="M37" i="98"/>
  <c r="M38" i="98"/>
  <c r="M39" i="98"/>
  <c r="M40" i="98"/>
  <c r="M41" i="98"/>
  <c r="M42" i="98"/>
  <c r="M43" i="98"/>
  <c r="M44" i="98"/>
  <c r="M45" i="98"/>
  <c r="M46" i="98"/>
  <c r="M47" i="98"/>
  <c r="M20" i="98"/>
  <c r="AD47" i="98" l="1"/>
  <c r="B21" i="98" l="1"/>
  <c r="B22" i="98" s="1"/>
  <c r="B23" i="98" s="1"/>
  <c r="B24" i="98" s="1"/>
  <c r="B25" i="98" s="1"/>
  <c r="B26" i="98" s="1"/>
  <c r="B27" i="98" s="1"/>
  <c r="B28" i="98" s="1"/>
  <c r="B29" i="98" s="1"/>
  <c r="B30" i="98" s="1"/>
  <c r="B31" i="98" s="1"/>
  <c r="B32" i="98" s="1"/>
  <c r="B33" i="98" s="1"/>
  <c r="B34" i="98" s="1"/>
  <c r="B35" i="98" s="1"/>
  <c r="B36" i="98" s="1"/>
  <c r="B37" i="98" s="1"/>
  <c r="B38" i="98" s="1"/>
  <c r="B39" i="98" s="1"/>
  <c r="B40" i="98" s="1"/>
  <c r="B41" i="98" s="1"/>
  <c r="B42" i="98" s="1"/>
  <c r="B43" i="98" s="1"/>
  <c r="B44" i="98" s="1"/>
  <c r="B45" i="98" s="1"/>
  <c r="B46" i="98" s="1"/>
  <c r="R20" i="98"/>
  <c r="Y20" i="98"/>
  <c r="Q20" i="98"/>
  <c r="R21" i="98"/>
  <c r="Y21" i="98"/>
  <c r="Q21" i="98"/>
  <c r="R22" i="98"/>
  <c r="Y22" i="98"/>
  <c r="Q22" i="98"/>
  <c r="R23" i="98"/>
  <c r="Y23" i="98"/>
  <c r="Q23" i="98"/>
  <c r="R24" i="98"/>
  <c r="Y24" i="98"/>
  <c r="Q24" i="98"/>
  <c r="R25" i="98"/>
  <c r="Y25" i="98"/>
  <c r="Q25" i="98"/>
  <c r="R26" i="98"/>
  <c r="Y26" i="98"/>
  <c r="Q26" i="98"/>
  <c r="R27" i="98"/>
  <c r="Y27" i="98"/>
  <c r="Q27" i="98"/>
  <c r="R28" i="98"/>
  <c r="Y28" i="98"/>
  <c r="Q28" i="98"/>
  <c r="R29" i="98"/>
  <c r="Y29" i="98"/>
  <c r="Q29" i="98"/>
  <c r="R30" i="98"/>
  <c r="Y30" i="98"/>
  <c r="Q30" i="98"/>
  <c r="R31" i="98"/>
  <c r="Y31" i="98"/>
  <c r="Q31" i="98"/>
  <c r="R32" i="98"/>
  <c r="Y32" i="98"/>
  <c r="Q32" i="98"/>
  <c r="R33" i="98"/>
  <c r="Y33" i="98"/>
  <c r="Q33" i="98"/>
  <c r="R34" i="98"/>
  <c r="Y34" i="98"/>
  <c r="Q34" i="98"/>
  <c r="R35" i="98"/>
  <c r="Y35" i="98"/>
  <c r="Q35" i="98"/>
  <c r="R36" i="98"/>
  <c r="Y36" i="98"/>
  <c r="Q36" i="98"/>
  <c r="R37" i="98"/>
  <c r="Y37" i="98"/>
  <c r="Q37" i="98"/>
  <c r="R38" i="98"/>
  <c r="Y38" i="98"/>
  <c r="Q38" i="98"/>
  <c r="R39" i="98"/>
  <c r="Y39" i="98"/>
  <c r="Q39" i="98"/>
  <c r="R40" i="98"/>
  <c r="Y40" i="98"/>
  <c r="Q40" i="98"/>
  <c r="R41" i="98"/>
  <c r="Y41" i="98"/>
  <c r="Q41" i="98"/>
  <c r="R42" i="98"/>
  <c r="Y42" i="98"/>
  <c r="Q42" i="98"/>
  <c r="R43" i="98"/>
  <c r="Y43" i="98"/>
  <c r="Q43" i="98"/>
  <c r="R44" i="98"/>
  <c r="Y44" i="98"/>
  <c r="Q44" i="98"/>
  <c r="R45" i="98"/>
  <c r="Y45" i="98"/>
  <c r="Q45" i="98"/>
  <c r="R46" i="98"/>
  <c r="Y46" i="98"/>
  <c r="Q46" i="98"/>
  <c r="AR7" i="98"/>
  <c r="AR11" i="98" s="1"/>
  <c r="AQ46" i="98"/>
  <c r="AQ45" i="98"/>
  <c r="AQ44" i="98"/>
  <c r="AQ43" i="98"/>
  <c r="AQ42" i="98"/>
  <c r="AQ41" i="98"/>
  <c r="AQ40" i="98"/>
  <c r="AQ39" i="98"/>
  <c r="AQ38" i="98"/>
  <c r="AQ37" i="98"/>
  <c r="AQ36" i="98"/>
  <c r="AQ35" i="98"/>
  <c r="AQ34" i="98"/>
  <c r="AQ33" i="98"/>
  <c r="AQ32" i="98"/>
  <c r="AQ31" i="98"/>
  <c r="AQ30" i="98"/>
  <c r="AQ29" i="98"/>
  <c r="AQ28" i="98"/>
  <c r="AQ27" i="98"/>
  <c r="AQ26" i="98"/>
  <c r="AQ25" i="98"/>
  <c r="AQ24" i="98"/>
  <c r="AQ23" i="98"/>
  <c r="AQ22" i="98"/>
  <c r="AQ21" i="98"/>
  <c r="AQ20" i="98"/>
  <c r="AB27" i="98" l="1"/>
  <c r="AB21" i="98"/>
  <c r="AB43" i="98"/>
  <c r="AB45" i="98"/>
  <c r="O45" i="98" s="1"/>
  <c r="N45" i="98" s="1"/>
  <c r="AC45" i="98" s="1"/>
  <c r="AD45" i="98" s="1"/>
  <c r="AB31" i="98"/>
  <c r="O31" i="98" s="1"/>
  <c r="N31" i="98" s="1"/>
  <c r="AC31" i="98" s="1"/>
  <c r="AD31" i="98" s="1"/>
  <c r="AB23" i="98"/>
  <c r="O23" i="98" s="1"/>
  <c r="N23" i="98" s="1"/>
  <c r="AC23" i="98" s="1"/>
  <c r="AD23" i="98" s="1"/>
  <c r="AB41" i="98"/>
  <c r="O41" i="98" s="1"/>
  <c r="N41" i="98" s="1"/>
  <c r="AC41" i="98" s="1"/>
  <c r="AD41" i="98" s="1"/>
  <c r="AB39" i="98"/>
  <c r="O39" i="98" s="1"/>
  <c r="N39" i="98" s="1"/>
  <c r="AC39" i="98" s="1"/>
  <c r="AD39" i="98" s="1"/>
  <c r="AB37" i="98"/>
  <c r="O37" i="98" s="1"/>
  <c r="N37" i="98" s="1"/>
  <c r="AC37" i="98" s="1"/>
  <c r="AD37" i="98" s="1"/>
  <c r="AB29" i="98"/>
  <c r="O29" i="98" s="1"/>
  <c r="N29" i="98" s="1"/>
  <c r="AC29" i="98" s="1"/>
  <c r="AD29" i="98" s="1"/>
  <c r="AB35" i="98"/>
  <c r="O35" i="98" s="1"/>
  <c r="N35" i="98" s="1"/>
  <c r="AC35" i="98" s="1"/>
  <c r="AD35" i="98" s="1"/>
  <c r="AB36" i="98"/>
  <c r="O36" i="98" s="1"/>
  <c r="N36" i="98" s="1"/>
  <c r="AC36" i="98" s="1"/>
  <c r="AD36" i="98" s="1"/>
  <c r="AB28" i="98"/>
  <c r="AB40" i="98"/>
  <c r="O40" i="98" s="1"/>
  <c r="N40" i="98" s="1"/>
  <c r="AC40" i="98" s="1"/>
  <c r="AD40" i="98" s="1"/>
  <c r="AB32" i="98"/>
  <c r="O32" i="98" s="1"/>
  <c r="N32" i="98" s="1"/>
  <c r="AC32" i="98" s="1"/>
  <c r="AD32" i="98" s="1"/>
  <c r="AB24" i="98"/>
  <c r="O24" i="98" s="1"/>
  <c r="N24" i="98" s="1"/>
  <c r="AC24" i="98" s="1"/>
  <c r="AD24" i="98" s="1"/>
  <c r="AB42" i="98"/>
  <c r="O42" i="98" s="1"/>
  <c r="N42" i="98" s="1"/>
  <c r="AC42" i="98" s="1"/>
  <c r="AD42" i="98" s="1"/>
  <c r="AB34" i="98"/>
  <c r="AB26" i="98"/>
  <c r="O26" i="98" s="1"/>
  <c r="N26" i="98" s="1"/>
  <c r="AC26" i="98" s="1"/>
  <c r="AD26" i="98" s="1"/>
  <c r="AB44" i="98"/>
  <c r="O44" i="98" s="1"/>
  <c r="N44" i="98" s="1"/>
  <c r="AC44" i="98" s="1"/>
  <c r="AD44" i="98" s="1"/>
  <c r="AB20" i="98"/>
  <c r="AB33" i="98"/>
  <c r="O33" i="98" s="1"/>
  <c r="N33" i="98" s="1"/>
  <c r="AC33" i="98" s="1"/>
  <c r="AD33" i="98" s="1"/>
  <c r="AB25" i="98"/>
  <c r="O25" i="98" s="1"/>
  <c r="N25" i="98" s="1"/>
  <c r="AC25" i="98" s="1"/>
  <c r="AD25" i="98" s="1"/>
  <c r="AB46" i="98"/>
  <c r="O46" i="98" s="1"/>
  <c r="N46" i="98" s="1"/>
  <c r="AC46" i="98" s="1"/>
  <c r="AD46" i="98" s="1"/>
  <c r="AB38" i="98"/>
  <c r="O38" i="98" s="1"/>
  <c r="N38" i="98" s="1"/>
  <c r="AC38" i="98" s="1"/>
  <c r="AD38" i="98" s="1"/>
  <c r="AB30" i="98"/>
  <c r="AB22" i="98"/>
  <c r="O22" i="98" s="1"/>
  <c r="N22" i="98" s="1"/>
  <c r="AC22" i="98" s="1"/>
  <c r="AD22" i="98" s="1"/>
  <c r="AF24" i="98"/>
  <c r="AF45" i="98"/>
  <c r="AF21" i="98"/>
  <c r="AF30" i="98"/>
  <c r="AF42" i="98"/>
  <c r="AF39" i="98"/>
  <c r="AF36" i="98"/>
  <c r="AF33" i="98"/>
  <c r="AF46" i="98"/>
  <c r="AF27" i="98"/>
  <c r="O28" i="98"/>
  <c r="N28" i="98" s="1"/>
  <c r="AC28" i="98" s="1"/>
  <c r="AD28" i="98" s="1"/>
  <c r="O43" i="98"/>
  <c r="N43" i="98" s="1"/>
  <c r="AC43" i="98" s="1"/>
  <c r="AD43" i="98" s="1"/>
  <c r="O34" i="98"/>
  <c r="N34" i="98" s="1"/>
  <c r="AC34" i="98" s="1"/>
  <c r="AD34" i="98" s="1"/>
  <c r="AF26" i="98"/>
  <c r="AF32" i="98"/>
  <c r="AF38" i="98"/>
  <c r="AF44" i="98"/>
  <c r="AF29" i="98"/>
  <c r="AF23" i="98"/>
  <c r="AF35" i="98"/>
  <c r="AF41" i="98"/>
  <c r="AF43" i="98"/>
  <c r="AF40" i="98"/>
  <c r="AF37" i="98"/>
  <c r="AF34" i="98"/>
  <c r="AF31" i="98"/>
  <c r="AF28" i="98"/>
  <c r="AF25" i="98"/>
  <c r="AF22" i="98"/>
  <c r="O30" i="98"/>
  <c r="N30" i="98" s="1"/>
  <c r="AC30" i="98" s="1"/>
  <c r="AD30" i="98" s="1"/>
  <c r="O27" i="98"/>
  <c r="N27" i="98" s="1"/>
  <c r="AC27" i="98" s="1"/>
  <c r="AD27" i="98" s="1"/>
  <c r="O21" i="98"/>
  <c r="N21" i="98" s="1"/>
  <c r="AC21" i="98" s="1"/>
  <c r="AD21" i="98" s="1"/>
  <c r="AF20" i="98"/>
  <c r="AJ31" i="98" l="1"/>
  <c r="AK31" i="98" s="1"/>
  <c r="AI31" i="98"/>
  <c r="AL31" i="98"/>
  <c r="AL29" i="98"/>
  <c r="AJ29" i="98"/>
  <c r="AK29" i="98" s="1"/>
  <c r="AI29" i="98"/>
  <c r="AH21" i="98"/>
  <c r="AJ21" i="98"/>
  <c r="AK21" i="98" s="1"/>
  <c r="AL21" i="98"/>
  <c r="AI21" i="98"/>
  <c r="AH30" i="98"/>
  <c r="AL30" i="98"/>
  <c r="AI30" i="98"/>
  <c r="AJ30" i="98"/>
  <c r="AK30" i="98" s="1"/>
  <c r="AL45" i="98"/>
  <c r="AJ45" i="98"/>
  <c r="AK45" i="98" s="1"/>
  <c r="AI45" i="98"/>
  <c r="AL46" i="98"/>
  <c r="AI46" i="98"/>
  <c r="AJ46" i="98"/>
  <c r="AK46" i="98" s="1"/>
  <c r="AH24" i="98"/>
  <c r="AJ24" i="98"/>
  <c r="AK24" i="98" s="1"/>
  <c r="AI24" i="98"/>
  <c r="AL24" i="98"/>
  <c r="AJ25" i="98"/>
  <c r="AK25" i="98" s="1"/>
  <c r="AL25" i="98"/>
  <c r="AI25" i="98"/>
  <c r="AJ35" i="98"/>
  <c r="AK35" i="98" s="1"/>
  <c r="AL35" i="98"/>
  <c r="AI35" i="98"/>
  <c r="AH42" i="98"/>
  <c r="AJ42" i="98"/>
  <c r="AK42" i="98" s="1"/>
  <c r="AI42" i="98"/>
  <c r="AL42" i="98"/>
  <c r="AI28" i="98"/>
  <c r="AL28" i="98"/>
  <c r="AJ28" i="98"/>
  <c r="AK28" i="98" s="1"/>
  <c r="AH20" i="98"/>
  <c r="AJ20" i="98"/>
  <c r="AK20" i="98" s="1"/>
  <c r="AL20" i="98"/>
  <c r="AI20" i="98"/>
  <c r="AL34" i="98"/>
  <c r="AJ34" i="98"/>
  <c r="AK34" i="98" s="1"/>
  <c r="AI34" i="98"/>
  <c r="AH27" i="98"/>
  <c r="AJ27" i="98"/>
  <c r="AK27" i="98" s="1"/>
  <c r="AL27" i="98"/>
  <c r="AI27" i="98"/>
  <c r="AH40" i="98"/>
  <c r="AN40" i="98" s="1"/>
  <c r="AO40" i="98" s="1"/>
  <c r="AJ40" i="98"/>
  <c r="AK40" i="98" s="1"/>
  <c r="AI40" i="98"/>
  <c r="AL40" i="98"/>
  <c r="AL38" i="98"/>
  <c r="AI38" i="98"/>
  <c r="AJ38" i="98"/>
  <c r="AK38" i="98" s="1"/>
  <c r="AH33" i="98"/>
  <c r="AJ33" i="98"/>
  <c r="AK33" i="98" s="1"/>
  <c r="AI33" i="98"/>
  <c r="AL33" i="98"/>
  <c r="AL23" i="98"/>
  <c r="AJ23" i="98"/>
  <c r="AK23" i="98" s="1"/>
  <c r="AI23" i="98"/>
  <c r="AL37" i="98"/>
  <c r="AJ37" i="98"/>
  <c r="AK37" i="98" s="1"/>
  <c r="AI37" i="98"/>
  <c r="AI44" i="98"/>
  <c r="AL44" i="98"/>
  <c r="AJ44" i="98"/>
  <c r="AK44" i="98" s="1"/>
  <c r="AH43" i="98"/>
  <c r="AN43" i="98" s="1"/>
  <c r="AO43" i="98" s="1"/>
  <c r="AL43" i="98"/>
  <c r="AJ43" i="98"/>
  <c r="AK43" i="98" s="1"/>
  <c r="AI43" i="98"/>
  <c r="AH32" i="98"/>
  <c r="AN32" i="98" s="1"/>
  <c r="AO32" i="98" s="1"/>
  <c r="AL32" i="98"/>
  <c r="AJ32" i="98"/>
  <c r="AK32" i="98" s="1"/>
  <c r="AI32" i="98"/>
  <c r="AH36" i="98"/>
  <c r="AI36" i="98"/>
  <c r="AL36" i="98"/>
  <c r="AJ36" i="98"/>
  <c r="AK36" i="98" s="1"/>
  <c r="AL22" i="98"/>
  <c r="AI22" i="98"/>
  <c r="AJ22" i="98"/>
  <c r="AK22" i="98" s="1"/>
  <c r="AJ41" i="98"/>
  <c r="AK41" i="98" s="1"/>
  <c r="AL41" i="98"/>
  <c r="AI41" i="98"/>
  <c r="AH26" i="98"/>
  <c r="AN26" i="98" s="1"/>
  <c r="AO26" i="98" s="1"/>
  <c r="AI26" i="98"/>
  <c r="AL26" i="98"/>
  <c r="AJ26" i="98"/>
  <c r="AK26" i="98" s="1"/>
  <c r="AH39" i="98"/>
  <c r="AL39" i="98"/>
  <c r="AJ39" i="98"/>
  <c r="AK39" i="98" s="1"/>
  <c r="AI39" i="98"/>
  <c r="O20" i="98"/>
  <c r="AA29" i="98"/>
  <c r="AA40" i="98"/>
  <c r="AA32" i="98"/>
  <c r="AA46" i="98"/>
  <c r="AA39" i="98"/>
  <c r="AA22" i="98"/>
  <c r="AA26" i="98"/>
  <c r="AA33" i="98"/>
  <c r="AA42" i="98"/>
  <c r="AA21" i="98"/>
  <c r="AA44" i="98"/>
  <c r="AA24" i="98"/>
  <c r="AA25" i="98"/>
  <c r="AA27" i="98"/>
  <c r="AA31" i="98"/>
  <c r="AA23" i="98"/>
  <c r="AA30" i="98"/>
  <c r="AA45" i="98"/>
  <c r="AA38" i="98"/>
  <c r="AA28" i="98"/>
  <c r="AH22" i="98"/>
  <c r="AH25" i="98"/>
  <c r="AH28" i="98"/>
  <c r="AH31" i="98"/>
  <c r="AN31" i="98" s="1"/>
  <c r="AO31" i="98" s="1"/>
  <c r="AH34" i="98"/>
  <c r="AH37" i="98"/>
  <c r="AN37" i="98" s="1"/>
  <c r="AO37" i="98" s="1"/>
  <c r="AH41" i="98"/>
  <c r="AH35" i="98"/>
  <c r="AH23" i="98"/>
  <c r="AH29" i="98"/>
  <c r="AH44" i="98"/>
  <c r="AN44" i="98" s="1"/>
  <c r="AO44" i="98" s="1"/>
  <c r="AH38" i="98"/>
  <c r="AN38" i="98" s="1"/>
  <c r="AO38" i="98" s="1"/>
  <c r="AN20" i="98" l="1"/>
  <c r="AO20" i="98" s="1"/>
  <c r="AN34" i="98"/>
  <c r="AO34" i="98" s="1"/>
  <c r="AN39" i="98"/>
  <c r="AO39" i="98" s="1"/>
  <c r="AN36" i="98"/>
  <c r="AO36" i="98" s="1"/>
  <c r="AN33" i="98"/>
  <c r="AO33" i="98" s="1"/>
  <c r="AN24" i="98"/>
  <c r="AO24" i="98" s="1"/>
  <c r="AN35" i="98"/>
  <c r="AO35" i="98" s="1"/>
  <c r="AN25" i="98"/>
  <c r="AO25" i="98" s="1"/>
  <c r="AN41" i="98"/>
  <c r="AO41" i="98" s="1"/>
  <c r="AN27" i="98"/>
  <c r="AO27" i="98" s="1"/>
  <c r="AN42" i="98"/>
  <c r="AO42" i="98" s="1"/>
  <c r="AN29" i="98"/>
  <c r="AO29" i="98" s="1"/>
  <c r="AN23" i="98"/>
  <c r="AO23" i="98" s="1"/>
  <c r="AN28" i="98"/>
  <c r="AO28" i="98" s="1"/>
  <c r="AN30" i="98"/>
  <c r="AO30" i="98" s="1"/>
  <c r="AN22" i="98"/>
  <c r="AO22" i="98" s="1"/>
  <c r="AN21" i="98"/>
  <c r="AO21" i="98" s="1"/>
  <c r="N20" i="98"/>
  <c r="AC20" i="98" s="1"/>
  <c r="AD20" i="98" s="1"/>
  <c r="AA36" i="98"/>
  <c r="AA43" i="98"/>
  <c r="AA34" i="98"/>
  <c r="AA41" i="98"/>
  <c r="AA37" i="98"/>
  <c r="AA35" i="98"/>
  <c r="AH45" i="98"/>
  <c r="AN45" i="98" s="1"/>
  <c r="AO45" i="98" s="1"/>
  <c r="AH46" i="98"/>
  <c r="AN46" i="98" s="1"/>
  <c r="AO46" i="98" s="1"/>
  <c r="AA20" i="98" l="1"/>
</calcChain>
</file>

<file path=xl/comments1.xml><?xml version="1.0" encoding="utf-8"?>
<comments xmlns="http://schemas.openxmlformats.org/spreadsheetml/2006/main">
  <authors>
    <author>홍지훈</author>
  </authors>
  <commentList>
    <comment ref="M18" authorId="0" shapeId="0">
      <text>
        <r>
          <rPr>
            <b/>
            <sz val="12"/>
            <color indexed="81"/>
            <rFont val="돋움"/>
            <family val="3"/>
            <charset val="129"/>
          </rPr>
          <t>※월 소정근로시간 계산방법
1. 일8시간 / 주5일 근무 시
    = {(8*5)+8}*4.345 = 209시간
2. 일5.5시간 / 주5일 근무 시
    = {(5.5*5)+5.5]*4.345 = 143시간
3. 일8시간 / 주1일 근무 시
    = 8*4.345=35시간</t>
        </r>
      </text>
    </comment>
  </commentList>
</comments>
</file>

<file path=xl/comments2.xml><?xml version="1.0" encoding="utf-8"?>
<comments xmlns="http://schemas.openxmlformats.org/spreadsheetml/2006/main">
  <authors>
    <author>전산정보화</author>
  </authors>
  <commentList>
    <comment ref="A6" authorId="0" shapeId="0">
      <text>
        <r>
          <rPr>
            <sz val="9"/>
            <color indexed="81"/>
            <rFont val="굴림"/>
            <family val="3"/>
            <charset val="129"/>
          </rPr>
          <t xml:space="preserve">이상
</t>
        </r>
      </text>
    </comment>
    <comment ref="B6" authorId="0" shapeId="0">
      <text>
        <r>
          <rPr>
            <sz val="9"/>
            <color indexed="81"/>
            <rFont val="굴림"/>
            <family val="3"/>
            <charset val="129"/>
          </rPr>
          <t xml:space="preserve">미만
</t>
        </r>
      </text>
    </comment>
  </commentList>
</comments>
</file>

<file path=xl/sharedStrings.xml><?xml version="1.0" encoding="utf-8"?>
<sst xmlns="http://schemas.openxmlformats.org/spreadsheetml/2006/main" count="114" uniqueCount="85">
  <si>
    <t>기타공제</t>
    <phoneticPr fontId="1" type="noConversion"/>
  </si>
  <si>
    <r>
      <rPr>
        <b/>
        <sz val="25"/>
        <color theme="1"/>
        <rFont val="맑은 고딕"/>
        <family val="3"/>
        <charset val="129"/>
      </rPr>
      <t>■</t>
    </r>
    <r>
      <rPr>
        <b/>
        <sz val="25"/>
        <color theme="1"/>
        <rFont val="맑은 고딕"/>
        <family val="3"/>
        <charset val="129"/>
        <scheme val="minor"/>
      </rPr>
      <t xml:space="preserve"> 근로자 기본정보 및 임금구성항목 설계</t>
    </r>
    <phoneticPr fontId="1" type="noConversion"/>
  </si>
  <si>
    <t>구분</t>
    <phoneticPr fontId="1" type="noConversion"/>
  </si>
  <si>
    <r>
      <t xml:space="preserve">※ 급여 TABLE 신규 채용자 입력 방법( *빨간색 테두리 안 셀만 입력해주세요)
  </t>
    </r>
    <r>
      <rPr>
        <b/>
        <sz val="20"/>
        <color rgb="FFFF0000"/>
        <rFont val="맑은 고딕"/>
        <family val="3"/>
        <charset val="129"/>
        <scheme val="minor"/>
      </rPr>
      <t xml:space="preserve"> 1.</t>
    </r>
    <r>
      <rPr>
        <b/>
        <sz val="20"/>
        <color theme="1"/>
        <rFont val="맑은 고딕"/>
        <family val="3"/>
        <charset val="129"/>
        <scheme val="minor"/>
      </rPr>
      <t xml:space="preserve"> 기본 인적사항 입력→ </t>
    </r>
    <r>
      <rPr>
        <b/>
        <sz val="20"/>
        <color rgb="FFFF0000"/>
        <rFont val="맑은 고딕"/>
        <family val="3"/>
        <charset val="129"/>
        <scheme val="minor"/>
      </rPr>
      <t xml:space="preserve">2. </t>
    </r>
    <r>
      <rPr>
        <b/>
        <sz val="20"/>
        <color theme="1"/>
        <rFont val="맑은 고딕"/>
        <family val="3"/>
        <charset val="129"/>
        <scheme val="minor"/>
      </rPr>
      <t xml:space="preserve">근로자에게 지급하고자 하는 총 연봉 입력→ </t>
    </r>
    <r>
      <rPr>
        <b/>
        <sz val="20"/>
        <color rgb="FFFF0000"/>
        <rFont val="맑은 고딕"/>
        <family val="3"/>
        <charset val="129"/>
        <scheme val="minor"/>
      </rPr>
      <t>3.</t>
    </r>
    <r>
      <rPr>
        <b/>
        <sz val="20"/>
        <color theme="1"/>
        <rFont val="맑은 고딕"/>
        <family val="3"/>
        <charset val="129"/>
        <scheme val="minor"/>
      </rPr>
      <t xml:space="preserve"> 비 과세 수당 있을 시 작성(자동으로 기본급에서 공제됨)→ </t>
    </r>
    <r>
      <rPr>
        <b/>
        <sz val="20"/>
        <color rgb="FFFF0000"/>
        <rFont val="맑은 고딕"/>
        <family val="3"/>
        <charset val="129"/>
        <scheme val="minor"/>
      </rPr>
      <t>4.</t>
    </r>
    <r>
      <rPr>
        <b/>
        <sz val="20"/>
        <color theme="1"/>
        <rFont val="맑은 고딕"/>
        <family val="3"/>
        <charset val="129"/>
        <scheme val="minor"/>
      </rPr>
      <t xml:space="preserve"> 월 고정OT 입력(최저임금 준수여부 확인하며 최대 '52'까지 입력가능)</t>
    </r>
    <phoneticPr fontId="1" type="noConversion"/>
  </si>
  <si>
    <t>시급</t>
    <phoneticPr fontId="1" type="noConversion"/>
  </si>
  <si>
    <t>월급</t>
    <phoneticPr fontId="1" type="noConversion"/>
  </si>
  <si>
    <t>복리후생비</t>
    <phoneticPr fontId="1" type="noConversion"/>
  </si>
  <si>
    <t>최저 산입비율</t>
    <phoneticPr fontId="1" type="noConversion"/>
  </si>
  <si>
    <t>미산입금액</t>
    <phoneticPr fontId="1" type="noConversion"/>
  </si>
  <si>
    <t>근로일</t>
    <phoneticPr fontId="1" type="noConversion"/>
  </si>
  <si>
    <t>1년 평균 한 달 주 수</t>
    <phoneticPr fontId="1" type="noConversion"/>
  </si>
  <si>
    <t>기본 인적사항</t>
    <phoneticPr fontId="1" type="noConversion"/>
  </si>
  <si>
    <t>근로 계약기간</t>
    <phoneticPr fontId="1" type="noConversion"/>
  </si>
  <si>
    <t>근로시간 수</t>
    <phoneticPr fontId="1" type="noConversion"/>
  </si>
  <si>
    <t>고정연장근로수당(Overtime) 반영된 임금 지급액</t>
    <phoneticPr fontId="1" type="noConversion"/>
  </si>
  <si>
    <t>통상시급</t>
    <phoneticPr fontId="1" type="noConversion"/>
  </si>
  <si>
    <t>과세금액</t>
    <phoneticPr fontId="1" type="noConversion"/>
  </si>
  <si>
    <t>공제 금액</t>
    <phoneticPr fontId="1" type="noConversion"/>
  </si>
  <si>
    <t>실지급액</t>
    <phoneticPr fontId="1" type="noConversion"/>
  </si>
  <si>
    <t>No.</t>
    <phoneticPr fontId="1" type="noConversion"/>
  </si>
  <si>
    <t>성명</t>
    <phoneticPr fontId="1" type="noConversion"/>
  </si>
  <si>
    <t>부서</t>
    <phoneticPr fontId="1" type="noConversion"/>
  </si>
  <si>
    <t>주민등록번호</t>
    <phoneticPr fontId="1" type="noConversion"/>
  </si>
  <si>
    <t>근무시간</t>
    <phoneticPr fontId="1" type="noConversion"/>
  </si>
  <si>
    <t>입사일</t>
    <phoneticPr fontId="1" type="noConversion"/>
  </si>
  <si>
    <t>계약기간
만료일</t>
    <phoneticPr fontId="1" type="noConversion"/>
  </si>
  <si>
    <t>(일) 
소정근로시간 수[A]</t>
    <phoneticPr fontId="1" type="noConversion"/>
  </si>
  <si>
    <t>(월) 
소정근로시간 수[A]</t>
    <phoneticPr fontId="1" type="noConversion"/>
  </si>
  <si>
    <t>기본급
(월 소정근로시간에 대한 임금)</t>
    <phoneticPr fontId="1" type="noConversion"/>
  </si>
  <si>
    <t>비 과세 수당</t>
    <phoneticPr fontId="1" type="noConversion"/>
  </si>
  <si>
    <t>기타수당</t>
    <phoneticPr fontId="1" type="noConversion"/>
  </si>
  <si>
    <t>총
월급여액</t>
    <phoneticPr fontId="1" type="noConversion"/>
  </si>
  <si>
    <t>상여금제외 
연봉</t>
    <phoneticPr fontId="1" type="noConversion"/>
  </si>
  <si>
    <t>소득세</t>
    <phoneticPr fontId="1" type="noConversion"/>
  </si>
  <si>
    <t>주민세</t>
    <phoneticPr fontId="1" type="noConversion"/>
  </si>
  <si>
    <t>국민연금</t>
    <phoneticPr fontId="1" type="noConversion"/>
  </si>
  <si>
    <t>건강보험</t>
    <phoneticPr fontId="1" type="noConversion"/>
  </si>
  <si>
    <t>장기요양보험</t>
    <phoneticPr fontId="1" type="noConversion"/>
  </si>
  <si>
    <t>고용보험</t>
    <phoneticPr fontId="1" type="noConversion"/>
  </si>
  <si>
    <t>총 공제금액</t>
    <phoneticPr fontId="1" type="noConversion"/>
  </si>
  <si>
    <t>식대</t>
    <phoneticPr fontId="1" type="noConversion"/>
  </si>
  <si>
    <t>차량유지비</t>
    <phoneticPr fontId="1" type="noConversion"/>
  </si>
  <si>
    <t>자녀
양육수당</t>
    <phoneticPr fontId="1" type="noConversion"/>
  </si>
  <si>
    <t>CHECK</t>
    <phoneticPr fontId="1" type="noConversion"/>
  </si>
  <si>
    <t>이름</t>
    <phoneticPr fontId="1" type="noConversion"/>
  </si>
  <si>
    <t>소득세 공제인원              (본인1명:1입력)</t>
    <phoneticPr fontId="42" type="noConversion"/>
  </si>
  <si>
    <t>정규직</t>
    <phoneticPr fontId="42" type="noConversion"/>
  </si>
  <si>
    <t>(월) 고정얀징
시간[B]</t>
    <phoneticPr fontId="1" type="noConversion"/>
  </si>
  <si>
    <t>고정연장수당
(월 고정OT시간에 대한 임금)</t>
    <phoneticPr fontId="1" type="noConversion"/>
  </si>
  <si>
    <t>고정연장
수당</t>
    <phoneticPr fontId="1" type="noConversion"/>
  </si>
  <si>
    <t>(주) 고정연장
시간</t>
    <phoneticPr fontId="1" type="noConversion"/>
  </si>
  <si>
    <t>(월)
총 근로시간
[A+(B*1.5)+(C*1.5)]</t>
    <phoneticPr fontId="1" type="noConversion"/>
  </si>
  <si>
    <t>근무일</t>
    <phoneticPr fontId="1" type="noConversion"/>
  </si>
  <si>
    <t>휴게시간</t>
    <phoneticPr fontId="1" type="noConversion"/>
  </si>
  <si>
    <t>2025
최저시급
준수여부</t>
    <phoneticPr fontId="1" type="noConversion"/>
  </si>
  <si>
    <t>직급</t>
    <phoneticPr fontId="1" type="noConversion"/>
  </si>
  <si>
    <t>직책수당</t>
    <phoneticPr fontId="1" type="noConversion"/>
  </si>
  <si>
    <t>직급수당</t>
    <phoneticPr fontId="1" type="noConversion"/>
  </si>
  <si>
    <t>2025년</t>
    <phoneticPr fontId="1" type="noConversion"/>
  </si>
  <si>
    <t>2026년 최저임금</t>
    <phoneticPr fontId="1" type="noConversion"/>
  </si>
  <si>
    <t>2026
최저임금
비교기준임금</t>
    <phoneticPr fontId="1" type="noConversion"/>
  </si>
  <si>
    <t>2024년 근로소득에 대한 간이세액표(제189조 관련)</t>
    <phoneticPr fontId="51" type="noConversion"/>
  </si>
  <si>
    <t>월급여액(천원)</t>
  </si>
  <si>
    <t>공제대상가족의 수</t>
  </si>
  <si>
    <t>[비과세 및 학자금 제외］</t>
  </si>
  <si>
    <t>이상</t>
    <phoneticPr fontId="1" type="noConversion"/>
  </si>
  <si>
    <t>미만</t>
    <phoneticPr fontId="1" type="noConversion"/>
  </si>
  <si>
    <t>10,000천원 초과
14,000천원 이하</t>
    <phoneticPr fontId="54" type="noConversion"/>
  </si>
  <si>
    <r>
      <t>(10,000,000원인 경우의 해당 세액) + (10,000,000원을 초과하는 금액 중 98%를 곱한 금액의 35% 상당액) + (</t>
    </r>
    <r>
      <rPr>
        <sz val="12"/>
        <color rgb="FFFF0000"/>
        <rFont val="바탕체"/>
        <family val="1"/>
        <charset val="129"/>
      </rPr>
      <t>25,000원</t>
    </r>
    <r>
      <rPr>
        <sz val="11"/>
        <color theme="1"/>
        <rFont val="맑은 고딕"/>
        <family val="2"/>
        <charset val="129"/>
        <scheme val="minor"/>
      </rPr>
      <t>)</t>
    </r>
    <phoneticPr fontId="54" type="noConversion"/>
  </si>
  <si>
    <t>14,000천원 초과
28,000천원 이하</t>
    <phoneticPr fontId="54" type="noConversion"/>
  </si>
  <si>
    <r>
      <t xml:space="preserve">(1천만원인 경우의 해당세액) + </t>
    </r>
    <r>
      <rPr>
        <sz val="12"/>
        <color rgb="FFFF0000"/>
        <rFont val="바탕체"/>
        <family val="1"/>
        <charset val="129"/>
      </rPr>
      <t>(1,397,000원)</t>
    </r>
    <r>
      <rPr>
        <sz val="11"/>
        <color theme="1"/>
        <rFont val="맑은 고딕"/>
        <family val="2"/>
        <charset val="129"/>
        <scheme val="minor"/>
      </rPr>
      <t xml:space="preserve"> + (14,000천원을 초과하는 금액 중 98퍼센트를 곱한 금액의 38퍼센트 상당액)</t>
    </r>
    <phoneticPr fontId="54" type="noConversion"/>
  </si>
  <si>
    <t>28,000천원 초과
30,000천원 이하</t>
    <phoneticPr fontId="54" type="noConversion"/>
  </si>
  <si>
    <r>
      <t xml:space="preserve">(10,000천원인 경우의 해당세액) + </t>
    </r>
    <r>
      <rPr>
        <sz val="12"/>
        <color rgb="FFFF0000"/>
        <rFont val="바탕체"/>
        <family val="1"/>
        <charset val="129"/>
      </rPr>
      <t>(6,610,600원)</t>
    </r>
    <r>
      <rPr>
        <sz val="11"/>
        <color theme="1"/>
        <rFont val="맑은 고딕"/>
        <family val="2"/>
        <charset val="129"/>
        <scheme val="minor"/>
      </rPr>
      <t xml:space="preserve"> + (28,000천원을 초과하는 금액에 98퍼센트를 곱한 금액의 40퍼센트 상당액) </t>
    </r>
    <phoneticPr fontId="54" type="noConversion"/>
  </si>
  <si>
    <t>30,000천원 초과
45,000천원 이하</t>
    <phoneticPr fontId="54" type="noConversion"/>
  </si>
  <si>
    <r>
      <t xml:space="preserve">(10,000천원인 경우의 해당세액) + </t>
    </r>
    <r>
      <rPr>
        <sz val="12"/>
        <color rgb="FFFF0000"/>
        <rFont val="바탕체"/>
        <family val="1"/>
        <charset val="129"/>
      </rPr>
      <t>(7,394,600원)</t>
    </r>
    <r>
      <rPr>
        <sz val="11"/>
        <color theme="1"/>
        <rFont val="맑은 고딕"/>
        <family val="2"/>
        <charset val="129"/>
        <scheme val="minor"/>
      </rPr>
      <t xml:space="preserve"> + (30,000천원을 초과하는 금액의 40퍼센트 상당액)</t>
    </r>
    <phoneticPr fontId="54" type="noConversion"/>
  </si>
  <si>
    <t>45,000천원 초과
87,000천원 이하</t>
    <phoneticPr fontId="54" type="noConversion"/>
  </si>
  <si>
    <r>
      <t xml:space="preserve">(10,000천원인 경우의 해당세액) + </t>
    </r>
    <r>
      <rPr>
        <sz val="12"/>
        <color rgb="FFFF0000"/>
        <rFont val="바탕체"/>
        <family val="1"/>
        <charset val="129"/>
      </rPr>
      <t>(13,394,600원)</t>
    </r>
    <r>
      <rPr>
        <sz val="11"/>
        <color theme="1"/>
        <rFont val="맑은 고딕"/>
        <family val="2"/>
        <charset val="129"/>
        <scheme val="minor"/>
      </rPr>
      <t xml:space="preserve"> + (45,000천원을 초과하는 금액의 42퍼센트 상당액) </t>
    </r>
    <phoneticPr fontId="54" type="noConversion"/>
  </si>
  <si>
    <t>87,000천원 초과</t>
    <phoneticPr fontId="54" type="noConversion"/>
  </si>
  <si>
    <r>
      <t xml:space="preserve">(10,000천원인 경우의 해당세액) + </t>
    </r>
    <r>
      <rPr>
        <sz val="12"/>
        <color rgb="FFFF0000"/>
        <rFont val="바탕체"/>
        <family val="1"/>
        <charset val="129"/>
      </rPr>
      <t>(31,034,600원)</t>
    </r>
    <r>
      <rPr>
        <sz val="11"/>
        <color theme="1"/>
        <rFont val="맑은 고딕"/>
        <family val="2"/>
        <charset val="129"/>
        <scheme val="minor"/>
      </rPr>
      <t xml:space="preserve"> + (87,000천원을 초과하는 금액의 45퍼센트 상당액)</t>
    </r>
    <phoneticPr fontId="54" type="noConversion"/>
  </si>
  <si>
    <t>수식</t>
    <phoneticPr fontId="57" type="noConversion"/>
  </si>
  <si>
    <t>=IFERROR(ROUNDDOWN(IF(ab5&gt;87000000,1507400+31034600+(ab5-87000000)*0.45,IF(ab5&gt;45000000,1507400+13394600+(ab5-45000000)*0.42,IF(ab5&gt;30000000,1507400+7394600+(ab5-30000000)*0.4,IF(ab5&gt;28000000,1507400+6610600+(ab5-28000000)*0.98*0.4,IF(ab5&gt;14000000,1507400+1397000+(ab5-14000000)*0.98*0.38,IF(ab5&gt;10000000,1507400+25000+(ab5-10000000)*0.98*0.35,IF(ab5=10000000,1507400,VLOOKUP(ab5,간이세액표!$A$5:$M$651,3,1)))))))),-1),0)</t>
    <phoneticPr fontId="1" type="noConversion"/>
  </si>
  <si>
    <t>위 수식 중 셀번호는 해당 급여대장의 과세 셀번호로 수정바랍니다.  ( Ctrl+H 로 변경 )</t>
    <phoneticPr fontId="1" type="noConversion"/>
  </si>
  <si>
    <t>수식
(공제가족수 반영)</t>
    <phoneticPr fontId="57" type="noConversion"/>
  </si>
  <si>
    <t>=IFERROR(ROUNDDOWN(IF(AB5&gt;87000000,1507400+31034600+(AB5-87000000)*0.45,IF(AB5&gt;45000000,1507400+13394600+(AB5-45000000)*0.42,IF(AB5&gt;30000000,1507400+7394600+(AB5-30000000)*0.4,IF(AB5&gt;28000000,1507400+6610600+(AB5-28000000)*0.98*0.4,IF(AB5&gt;14000000,1507400+1397000+(AB5-14000000)*0.98*0.38,IF(AB5&gt;10000000,1507400+25000+(AB5-10000000)*0.98*0.35,IF(AB5=10000000,1507400,VLOOKUP(AB5,간이세액표!$A$5:$M$651,(2+AM5),1)))))))),-1),0)</t>
    <phoneticPr fontId="58" type="noConversion"/>
  </si>
  <si>
    <t>8세 이상
20세 이하</t>
    <phoneticPr fontId="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</si>
</sst>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43" formatCode="_-* #,##0.00_-;\-* #,##0.00_-;_-* &quot;-&quot;??_-;_-@_-"/>
    <numFmt numFmtId="176" formatCode="_-* #,##0.0_-;\-* #,##0.0_-;_-* &quot;-&quot;???_-;_-@_-"/>
    <numFmt numFmtId="177" formatCode="_-* #,##0_-;\-* #,##0_-;_-* &quot;-&quot;??_-;_-@_-"/>
  </numFmts>
  <fonts count="6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b/>
      <sz val="15"/>
      <color theme="1"/>
      <name val="맑은 고딕"/>
      <family val="3"/>
      <charset val="129"/>
      <scheme val="minor"/>
    </font>
    <font>
      <sz val="10"/>
      <color indexed="8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4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Calibri"/>
      <family val="2"/>
    </font>
    <font>
      <sz val="11"/>
      <color theme="1"/>
      <name val="맑은 고딕"/>
      <family val="3"/>
      <charset val="129"/>
      <scheme val="minor"/>
    </font>
    <font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color indexed="81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0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함초롬돋움"/>
      <family val="2"/>
      <charset val="129"/>
    </font>
    <font>
      <sz val="10"/>
      <color theme="1"/>
      <name val="Arial"/>
      <family val="2"/>
    </font>
    <font>
      <b/>
      <sz val="16"/>
      <name val="바탕체"/>
      <family val="1"/>
      <charset val="129"/>
    </font>
    <font>
      <sz val="8"/>
      <name val="바탕"/>
      <family val="1"/>
      <charset val="129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바탕체"/>
      <family val="1"/>
      <charset val="129"/>
    </font>
    <font>
      <sz val="12"/>
      <color rgb="FFFF0000"/>
      <name val="바탕체"/>
      <family val="1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2"/>
      <charset val="129"/>
    </font>
    <font>
      <sz val="9"/>
      <color indexed="81"/>
      <name val="굴림"/>
      <family val="3"/>
      <charset val="129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/>
      <top style="medium">
        <color theme="1"/>
      </top>
      <bottom style="thin">
        <color auto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/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/>
      <diagonal/>
    </border>
    <border>
      <left style="thin">
        <color auto="1"/>
      </left>
      <right/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0">
    <xf numFmtId="0" fontId="0" fillId="0" borderId="0">
      <alignment vertical="center"/>
    </xf>
    <xf numFmtId="41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23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6" fillId="0" borderId="0">
      <alignment vertical="center"/>
    </xf>
    <xf numFmtId="0" fontId="37" fillId="0" borderId="0"/>
    <xf numFmtId="0" fontId="3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6" fillId="0" borderId="0">
      <alignment vertical="center"/>
    </xf>
    <xf numFmtId="0" fontId="36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6" fillId="0" borderId="0">
      <alignment vertical="center"/>
    </xf>
    <xf numFmtId="41" fontId="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6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41" fontId="36" fillId="0" borderId="0">
      <alignment vertical="center"/>
    </xf>
    <xf numFmtId="0" fontId="36" fillId="0" borderId="0">
      <alignment vertical="center"/>
    </xf>
    <xf numFmtId="0" fontId="45" fillId="0" borderId="0"/>
    <xf numFmtId="0" fontId="39" fillId="0" borderId="0"/>
    <xf numFmtId="0" fontId="48" fillId="0" borderId="0">
      <alignment vertical="center"/>
    </xf>
    <xf numFmtId="0" fontId="47" fillId="0" borderId="0"/>
    <xf numFmtId="0" fontId="49" fillId="0" borderId="0">
      <alignment vertical="center"/>
    </xf>
    <xf numFmtId="0" fontId="21" fillId="0" borderId="0"/>
  </cellStyleXfs>
  <cellXfs count="1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30" fillId="0" borderId="0" xfId="0" applyFont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40" fillId="0" borderId="0" xfId="0" applyFont="1">
      <alignment vertical="center"/>
    </xf>
    <xf numFmtId="0" fontId="25" fillId="33" borderId="31" xfId="0" applyFont="1" applyFill="1" applyBorder="1" applyAlignment="1">
      <alignment horizontal="center" vertical="center" wrapText="1"/>
    </xf>
    <xf numFmtId="0" fontId="25" fillId="33" borderId="32" xfId="0" applyFont="1" applyFill="1" applyBorder="1" applyAlignment="1">
      <alignment horizontal="center" vertical="center"/>
    </xf>
    <xf numFmtId="0" fontId="24" fillId="0" borderId="0" xfId="0" quotePrefix="1" applyFont="1" applyAlignment="1">
      <alignment horizontal="center" vertical="center"/>
    </xf>
    <xf numFmtId="41" fontId="0" fillId="0" borderId="0" xfId="43" applyFont="1" applyFill="1" applyBorder="1" applyAlignment="1">
      <alignment horizontal="center" vertical="center"/>
    </xf>
    <xf numFmtId="0" fontId="25" fillId="37" borderId="31" xfId="43" applyNumberFormat="1" applyFont="1" applyFill="1" applyBorder="1" applyAlignment="1">
      <alignment horizontal="center" vertical="center"/>
    </xf>
    <xf numFmtId="0" fontId="25" fillId="38" borderId="0" xfId="43" applyNumberFormat="1" applyFont="1" applyFill="1" applyBorder="1" applyAlignment="1">
      <alignment horizontal="center" vertical="center"/>
    </xf>
    <xf numFmtId="41" fontId="25" fillId="38" borderId="0" xfId="43" applyFont="1" applyFill="1" applyBorder="1" applyAlignment="1">
      <alignment horizontal="center" vertical="center"/>
    </xf>
    <xf numFmtId="0" fontId="0" fillId="0" borderId="36" xfId="0" applyBorder="1">
      <alignment vertical="center"/>
    </xf>
    <xf numFmtId="43" fontId="0" fillId="0" borderId="0" xfId="0" applyNumberFormat="1">
      <alignment vertical="center"/>
    </xf>
    <xf numFmtId="0" fontId="30" fillId="0" borderId="0" xfId="0" applyFont="1" applyAlignment="1">
      <alignment horizontal="center" vertical="center"/>
    </xf>
    <xf numFmtId="41" fontId="25" fillId="38" borderId="0" xfId="43" applyFont="1" applyFill="1" applyBorder="1" applyAlignment="1">
      <alignment horizontal="left" vertical="center"/>
    </xf>
    <xf numFmtId="41" fontId="32" fillId="0" borderId="0" xfId="43" applyFont="1" applyFill="1" applyBorder="1" applyAlignment="1">
      <alignment horizontal="center" vertical="center" wrapText="1"/>
    </xf>
    <xf numFmtId="0" fontId="26" fillId="42" borderId="46" xfId="0" applyFont="1" applyFill="1" applyBorder="1" applyAlignment="1">
      <alignment horizontal="center" vertical="center"/>
    </xf>
    <xf numFmtId="10" fontId="26" fillId="42" borderId="46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41" fontId="28" fillId="0" borderId="0" xfId="43" applyFont="1" applyFill="1" applyBorder="1" applyAlignment="1">
      <alignment horizontal="center" vertical="center"/>
    </xf>
    <xf numFmtId="41" fontId="27" fillId="0" borderId="11" xfId="43" applyFont="1" applyFill="1" applyBorder="1">
      <alignment vertical="center"/>
    </xf>
    <xf numFmtId="41" fontId="27" fillId="35" borderId="10" xfId="43" applyFont="1" applyFill="1" applyBorder="1" applyAlignment="1">
      <alignment horizontal="center" vertical="center"/>
    </xf>
    <xf numFmtId="0" fontId="25" fillId="0" borderId="0" xfId="0" applyFont="1">
      <alignment vertical="center"/>
    </xf>
    <xf numFmtId="41" fontId="26" fillId="0" borderId="46" xfId="43" applyFont="1" applyFill="1" applyBorder="1">
      <alignment vertical="center"/>
    </xf>
    <xf numFmtId="177" fontId="26" fillId="0" borderId="46" xfId="0" applyNumberFormat="1" applyFont="1" applyBorder="1">
      <alignment vertical="center"/>
    </xf>
    <xf numFmtId="0" fontId="26" fillId="0" borderId="46" xfId="0" applyFont="1" applyBorder="1">
      <alignment vertical="center"/>
    </xf>
    <xf numFmtId="41" fontId="26" fillId="35" borderId="47" xfId="0" applyNumberFormat="1" applyFont="1" applyFill="1" applyBorder="1">
      <alignment vertical="center"/>
    </xf>
    <xf numFmtId="41" fontId="0" fillId="0" borderId="0" xfId="43" applyFont="1">
      <alignment vertical="center"/>
    </xf>
    <xf numFmtId="41" fontId="0" fillId="0" borderId="0" xfId="43" applyFont="1" applyAlignment="1">
      <alignment horizontal="center" vertical="center"/>
    </xf>
    <xf numFmtId="9" fontId="25" fillId="37" borderId="51" xfId="0" applyNumberFormat="1" applyFont="1" applyFill="1" applyBorder="1" applyAlignment="1">
      <alignment horizontal="right" vertical="center"/>
    </xf>
    <xf numFmtId="0" fontId="25" fillId="37" borderId="52" xfId="43" applyNumberFormat="1" applyFont="1" applyFill="1" applyBorder="1" applyAlignment="1">
      <alignment horizontal="center" vertical="center"/>
    </xf>
    <xf numFmtId="0" fontId="24" fillId="37" borderId="51" xfId="0" applyFont="1" applyFill="1" applyBorder="1" applyAlignment="1">
      <alignment horizontal="center" vertical="center"/>
    </xf>
    <xf numFmtId="20" fontId="24" fillId="37" borderId="51" xfId="0" applyNumberFormat="1" applyFont="1" applyFill="1" applyBorder="1" applyAlignment="1">
      <alignment horizontal="center" vertical="center"/>
    </xf>
    <xf numFmtId="41" fontId="26" fillId="41" borderId="51" xfId="43" applyFont="1" applyFill="1" applyBorder="1" applyAlignment="1">
      <alignment horizontal="center" vertical="center" wrapText="1"/>
    </xf>
    <xf numFmtId="0" fontId="44" fillId="37" borderId="51" xfId="69" applyFont="1" applyFill="1" applyBorder="1" applyAlignment="1">
      <alignment horizontal="center" vertical="center"/>
    </xf>
    <xf numFmtId="14" fontId="24" fillId="37" borderId="51" xfId="0" applyNumberFormat="1" applyFont="1" applyFill="1" applyBorder="1" applyAlignment="1">
      <alignment horizontal="center" vertical="center"/>
    </xf>
    <xf numFmtId="0" fontId="31" fillId="0" borderId="51" xfId="60" applyFont="1" applyBorder="1" applyAlignment="1">
      <alignment horizontal="center" vertical="center" wrapText="1"/>
    </xf>
    <xf numFmtId="41" fontId="26" fillId="43" borderId="51" xfId="43" applyFont="1" applyFill="1" applyBorder="1" applyAlignment="1">
      <alignment horizontal="center" vertical="center" wrapText="1"/>
    </xf>
    <xf numFmtId="0" fontId="31" fillId="0" borderId="51" xfId="60" applyFont="1" applyBorder="1" applyAlignment="1">
      <alignment horizontal="center" vertical="center"/>
    </xf>
    <xf numFmtId="41" fontId="25" fillId="37" borderId="53" xfId="43" applyFont="1" applyFill="1" applyBorder="1" applyAlignment="1">
      <alignment horizontal="center" vertical="center"/>
    </xf>
    <xf numFmtId="0" fontId="26" fillId="37" borderId="55" xfId="0" applyFont="1" applyFill="1" applyBorder="1" applyAlignment="1">
      <alignment horizontal="center" vertical="center"/>
    </xf>
    <xf numFmtId="0" fontId="26" fillId="37" borderId="57" xfId="0" applyFont="1" applyFill="1" applyBorder="1" applyAlignment="1">
      <alignment horizontal="center" vertical="center"/>
    </xf>
    <xf numFmtId="41" fontId="26" fillId="41" borderId="51" xfId="43" applyFont="1" applyFill="1" applyBorder="1" applyAlignment="1">
      <alignment horizontal="center" vertical="center"/>
    </xf>
    <xf numFmtId="0" fontId="26" fillId="37" borderId="54" xfId="0" applyFont="1" applyFill="1" applyBorder="1" applyAlignment="1">
      <alignment horizontal="center" vertical="center"/>
    </xf>
    <xf numFmtId="0" fontId="26" fillId="37" borderId="51" xfId="0" applyFont="1" applyFill="1" applyBorder="1" applyAlignment="1">
      <alignment horizontal="center" vertical="center"/>
    </xf>
    <xf numFmtId="41" fontId="26" fillId="0" borderId="48" xfId="43" applyFont="1" applyFill="1" applyBorder="1">
      <alignment vertical="center"/>
    </xf>
    <xf numFmtId="41" fontId="26" fillId="0" borderId="51" xfId="43" quotePrefix="1" applyFont="1" applyFill="1" applyBorder="1" applyAlignment="1">
      <alignment horizontal="center" vertical="center"/>
    </xf>
    <xf numFmtId="176" fontId="26" fillId="0" borderId="51" xfId="43" quotePrefix="1" applyNumberFormat="1" applyFont="1" applyFill="1" applyBorder="1" applyAlignment="1">
      <alignment horizontal="right" vertical="center"/>
    </xf>
    <xf numFmtId="41" fontId="26" fillId="0" borderId="51" xfId="43" applyFont="1" applyFill="1" applyBorder="1" applyAlignment="1">
      <alignment horizontal="center" vertical="center"/>
    </xf>
    <xf numFmtId="41" fontId="26" fillId="0" borderId="51" xfId="43" applyFont="1" applyFill="1" applyBorder="1">
      <alignment vertical="center"/>
    </xf>
    <xf numFmtId="41" fontId="26" fillId="0" borderId="51" xfId="43" applyFont="1" applyBorder="1">
      <alignment vertical="center"/>
    </xf>
    <xf numFmtId="41" fontId="27" fillId="0" borderId="49" xfId="43" applyFont="1" applyFill="1" applyBorder="1">
      <alignment vertical="center"/>
    </xf>
    <xf numFmtId="41" fontId="26" fillId="0" borderId="58" xfId="0" applyNumberFormat="1" applyFont="1" applyBorder="1">
      <alignment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>
      <alignment vertical="center"/>
    </xf>
    <xf numFmtId="0" fontId="25" fillId="33" borderId="50" xfId="0" applyFont="1" applyFill="1" applyBorder="1" applyAlignment="1">
      <alignment horizontal="center" vertical="center"/>
    </xf>
    <xf numFmtId="41" fontId="25" fillId="33" borderId="51" xfId="43" applyFont="1" applyFill="1" applyBorder="1">
      <alignment vertical="center"/>
    </xf>
    <xf numFmtId="0" fontId="25" fillId="33" borderId="52" xfId="43" applyNumberFormat="1" applyFont="1" applyFill="1" applyBorder="1" applyAlignment="1">
      <alignment horizontal="center" vertical="center"/>
    </xf>
    <xf numFmtId="41" fontId="25" fillId="33" borderId="53" xfId="43" applyFont="1" applyFill="1" applyBorder="1">
      <alignment vertical="center"/>
    </xf>
    <xf numFmtId="9" fontId="25" fillId="37" borderId="51" xfId="0" applyNumberFormat="1" applyFont="1" applyFill="1" applyBorder="1" applyAlignment="1">
      <alignment horizontal="center" vertical="center"/>
    </xf>
    <xf numFmtId="0" fontId="46" fillId="0" borderId="0" xfId="71" applyAlignment="1">
      <alignment horizontal="center" vertical="center"/>
    </xf>
    <xf numFmtId="0" fontId="25" fillId="37" borderId="33" xfId="0" applyFont="1" applyFill="1" applyBorder="1" applyAlignment="1">
      <alignment horizontal="center" vertical="center"/>
    </xf>
    <xf numFmtId="41" fontId="26" fillId="41" borderId="56" xfId="43" applyFont="1" applyFill="1" applyBorder="1" applyAlignment="1">
      <alignment horizontal="center" vertical="center" wrapText="1"/>
    </xf>
    <xf numFmtId="41" fontId="26" fillId="41" borderId="49" xfId="43" applyFont="1" applyFill="1" applyBorder="1" applyAlignment="1">
      <alignment horizontal="center" vertical="center" wrapText="1"/>
    </xf>
    <xf numFmtId="0" fontId="26" fillId="40" borderId="54" xfId="0" applyFont="1" applyFill="1" applyBorder="1" applyAlignment="1">
      <alignment horizontal="center" vertical="center" wrapText="1"/>
    </xf>
    <xf numFmtId="41" fontId="26" fillId="41" borderId="54" xfId="43" applyFont="1" applyFill="1" applyBorder="1" applyAlignment="1">
      <alignment horizontal="center" vertical="center" wrapText="1"/>
    </xf>
    <xf numFmtId="41" fontId="26" fillId="41" borderId="59" xfId="43" applyFont="1" applyFill="1" applyBorder="1" applyAlignment="1">
      <alignment horizontal="center" vertical="center" wrapText="1"/>
    </xf>
    <xf numFmtId="41" fontId="26" fillId="41" borderId="51" xfId="43" applyFont="1" applyFill="1" applyBorder="1" applyAlignment="1">
      <alignment horizontal="center" vertical="center" wrapText="1"/>
    </xf>
    <xf numFmtId="41" fontId="26" fillId="43" borderId="51" xfId="43" applyFont="1" applyFill="1" applyBorder="1" applyAlignment="1">
      <alignment horizontal="center" vertical="center" wrapText="1"/>
    </xf>
    <xf numFmtId="41" fontId="26" fillId="41" borderId="51" xfId="43" applyFont="1" applyFill="1" applyBorder="1" applyAlignment="1">
      <alignment horizontal="center" vertical="center"/>
    </xf>
    <xf numFmtId="0" fontId="34" fillId="34" borderId="30" xfId="0" applyFont="1" applyFill="1" applyBorder="1" applyAlignment="1">
      <alignment horizontal="center" vertical="center" wrapText="1"/>
    </xf>
    <xf numFmtId="0" fontId="34" fillId="34" borderId="29" xfId="0" applyFont="1" applyFill="1" applyBorder="1" applyAlignment="1">
      <alignment horizontal="center" vertical="center" wrapText="1"/>
    </xf>
    <xf numFmtId="0" fontId="34" fillId="34" borderId="28" xfId="0" applyFont="1" applyFill="1" applyBorder="1" applyAlignment="1">
      <alignment horizontal="center" vertical="center" wrapText="1"/>
    </xf>
    <xf numFmtId="0" fontId="34" fillId="34" borderId="27" xfId="0" applyFont="1" applyFill="1" applyBorder="1" applyAlignment="1">
      <alignment horizontal="center" vertical="center" wrapText="1"/>
    </xf>
    <xf numFmtId="0" fontId="34" fillId="34" borderId="0" xfId="0" applyFont="1" applyFill="1" applyAlignment="1">
      <alignment horizontal="center" vertical="center" wrapText="1"/>
    </xf>
    <xf numFmtId="0" fontId="34" fillId="34" borderId="26" xfId="0" applyFont="1" applyFill="1" applyBorder="1" applyAlignment="1">
      <alignment horizontal="center" vertical="center" wrapText="1"/>
    </xf>
    <xf numFmtId="0" fontId="34" fillId="34" borderId="25" xfId="0" applyFont="1" applyFill="1" applyBorder="1" applyAlignment="1">
      <alignment horizontal="center" vertical="center" wrapText="1"/>
    </xf>
    <xf numFmtId="0" fontId="34" fillId="34" borderId="24" xfId="0" applyFont="1" applyFill="1" applyBorder="1" applyAlignment="1">
      <alignment horizontal="center" vertical="center" wrapText="1"/>
    </xf>
    <xf numFmtId="0" fontId="34" fillId="34" borderId="23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25" fillId="37" borderId="50" xfId="43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6" fillId="42" borderId="43" xfId="0" applyFont="1" applyFill="1" applyBorder="1" applyAlignment="1">
      <alignment horizontal="center" vertical="center"/>
    </xf>
    <xf numFmtId="0" fontId="26" fillId="42" borderId="58" xfId="0" applyFont="1" applyFill="1" applyBorder="1" applyAlignment="1">
      <alignment horizontal="center" vertical="center"/>
    </xf>
    <xf numFmtId="0" fontId="26" fillId="42" borderId="44" xfId="0" applyFont="1" applyFill="1" applyBorder="1" applyAlignment="1">
      <alignment horizontal="center" vertical="center"/>
    </xf>
    <xf numFmtId="0" fontId="22" fillId="35" borderId="45" xfId="0" applyFont="1" applyFill="1" applyBorder="1" applyAlignment="1">
      <alignment horizontal="center" vertical="center"/>
    </xf>
    <xf numFmtId="0" fontId="22" fillId="35" borderId="47" xfId="0" applyFont="1" applyFill="1" applyBorder="1" applyAlignment="1">
      <alignment horizontal="center" vertical="center"/>
    </xf>
    <xf numFmtId="0" fontId="26" fillId="42" borderId="46" xfId="0" applyFont="1" applyFill="1" applyBorder="1" applyAlignment="1">
      <alignment horizontal="center" vertical="center"/>
    </xf>
    <xf numFmtId="0" fontId="26" fillId="39" borderId="51" xfId="0" applyFont="1" applyFill="1" applyBorder="1" applyAlignment="1">
      <alignment horizontal="center" vertical="center"/>
    </xf>
    <xf numFmtId="0" fontId="26" fillId="39" borderId="57" xfId="0" applyFont="1" applyFill="1" applyBorder="1" applyAlignment="1">
      <alignment horizontal="center" vertical="center" wrapText="1"/>
    </xf>
    <xf numFmtId="41" fontId="26" fillId="36" borderId="19" xfId="43" applyFont="1" applyFill="1" applyBorder="1" applyAlignment="1">
      <alignment horizontal="center" vertical="center" wrapText="1"/>
    </xf>
    <xf numFmtId="41" fontId="26" fillId="36" borderId="16" xfId="43" applyFont="1" applyFill="1" applyBorder="1" applyAlignment="1">
      <alignment horizontal="center" vertical="center" wrapText="1"/>
    </xf>
    <xf numFmtId="41" fontId="26" fillId="36" borderId="13" xfId="43" applyFont="1" applyFill="1" applyBorder="1" applyAlignment="1">
      <alignment horizontal="center" vertical="center" wrapText="1"/>
    </xf>
    <xf numFmtId="41" fontId="26" fillId="36" borderId="18" xfId="43" applyFont="1" applyFill="1" applyBorder="1" applyAlignment="1">
      <alignment horizontal="center" vertical="center" wrapText="1"/>
    </xf>
    <xf numFmtId="41" fontId="26" fillId="36" borderId="15" xfId="43" applyFont="1" applyFill="1" applyBorder="1" applyAlignment="1">
      <alignment horizontal="center" vertical="center" wrapText="1"/>
    </xf>
    <xf numFmtId="41" fontId="26" fillId="36" borderId="12" xfId="43" applyFont="1" applyFill="1" applyBorder="1" applyAlignment="1">
      <alignment horizontal="center" vertical="center" wrapText="1"/>
    </xf>
    <xf numFmtId="0" fontId="22" fillId="39" borderId="37" xfId="0" applyFont="1" applyFill="1" applyBorder="1" applyAlignment="1">
      <alignment horizontal="center" vertical="center"/>
    </xf>
    <xf numFmtId="0" fontId="22" fillId="39" borderId="38" xfId="0" applyFont="1" applyFill="1" applyBorder="1" applyAlignment="1">
      <alignment horizontal="center" vertical="center"/>
    </xf>
    <xf numFmtId="0" fontId="22" fillId="39" borderId="39" xfId="0" applyFont="1" applyFill="1" applyBorder="1" applyAlignment="1">
      <alignment horizontal="center" vertical="center"/>
    </xf>
    <xf numFmtId="0" fontId="22" fillId="40" borderId="54" xfId="0" applyFont="1" applyFill="1" applyBorder="1" applyAlignment="1">
      <alignment horizontal="center" vertical="center" wrapText="1"/>
    </xf>
    <xf numFmtId="0" fontId="22" fillId="40" borderId="51" xfId="0" applyFont="1" applyFill="1" applyBorder="1" applyAlignment="1">
      <alignment horizontal="center" vertical="center" wrapText="1"/>
    </xf>
    <xf numFmtId="0" fontId="22" fillId="41" borderId="40" xfId="0" quotePrefix="1" applyFont="1" applyFill="1" applyBorder="1" applyAlignment="1">
      <alignment horizontal="center" vertical="center"/>
    </xf>
    <xf numFmtId="0" fontId="22" fillId="41" borderId="41" xfId="0" quotePrefix="1" applyFont="1" applyFill="1" applyBorder="1" applyAlignment="1">
      <alignment horizontal="center" vertical="center"/>
    </xf>
    <xf numFmtId="0" fontId="22" fillId="41" borderId="42" xfId="0" quotePrefix="1" applyFont="1" applyFill="1" applyBorder="1" applyAlignment="1">
      <alignment horizontal="center" vertical="center"/>
    </xf>
    <xf numFmtId="41" fontId="26" fillId="36" borderId="20" xfId="43" applyFont="1" applyFill="1" applyBorder="1" applyAlignment="1">
      <alignment horizontal="center" vertical="center" wrapText="1"/>
    </xf>
    <xf numFmtId="41" fontId="26" fillId="36" borderId="17" xfId="43" applyFont="1" applyFill="1" applyBorder="1" applyAlignment="1">
      <alignment horizontal="center" vertical="center" wrapText="1"/>
    </xf>
    <xf numFmtId="41" fontId="26" fillId="36" borderId="14" xfId="43" applyFont="1" applyFill="1" applyBorder="1" applyAlignment="1">
      <alignment horizontal="center" vertical="center" wrapText="1"/>
    </xf>
    <xf numFmtId="0" fontId="26" fillId="39" borderId="55" xfId="0" applyFont="1" applyFill="1" applyBorder="1" applyAlignment="1">
      <alignment horizontal="center" vertical="center"/>
    </xf>
    <xf numFmtId="0" fontId="26" fillId="39" borderId="51" xfId="0" applyFont="1" applyFill="1" applyBorder="1" applyAlignment="1">
      <alignment horizontal="center" vertical="center" wrapText="1"/>
    </xf>
    <xf numFmtId="0" fontId="50" fillId="0" borderId="0" xfId="0" quotePrefix="1" applyFont="1" applyAlignment="1">
      <alignment horizontal="center"/>
    </xf>
    <xf numFmtId="0" fontId="0" fillId="0" borderId="0" xfId="0" applyAlignment="1"/>
    <xf numFmtId="0" fontId="52" fillId="44" borderId="51" xfId="59" applyFont="1" applyFill="1" applyBorder="1" applyAlignment="1">
      <alignment horizontal="center" vertical="center" wrapText="1"/>
    </xf>
    <xf numFmtId="0" fontId="52" fillId="44" borderId="51" xfId="59" applyFont="1" applyFill="1" applyBorder="1" applyAlignment="1">
      <alignment horizontal="center" vertical="center"/>
    </xf>
    <xf numFmtId="0" fontId="52" fillId="44" borderId="51" xfId="59" applyFont="1" applyFill="1" applyBorder="1" applyAlignment="1">
      <alignment horizontal="center" vertical="center" shrinkToFit="1"/>
    </xf>
    <xf numFmtId="0" fontId="0" fillId="0" borderId="51" xfId="43" applyNumberFormat="1" applyFont="1" applyBorder="1" applyAlignment="1">
      <alignment horizontal="center"/>
    </xf>
    <xf numFmtId="0" fontId="0" fillId="0" borderId="0" xfId="0" applyAlignment="1">
      <alignment horizontal="center"/>
    </xf>
    <xf numFmtId="41" fontId="39" fillId="0" borderId="51" xfId="43" applyFont="1" applyBorder="1" applyAlignment="1">
      <alignment horizontal="center"/>
    </xf>
    <xf numFmtId="41" fontId="53" fillId="45" borderId="51" xfId="43" applyFont="1" applyFill="1" applyBorder="1" applyAlignment="1"/>
    <xf numFmtId="41" fontId="0" fillId="45" borderId="51" xfId="43" applyFont="1" applyFill="1" applyBorder="1" applyAlignment="1"/>
    <xf numFmtId="41" fontId="0" fillId="45" borderId="51" xfId="43" applyFont="1" applyFill="1" applyBorder="1" applyAlignment="1">
      <alignment shrinkToFit="1"/>
    </xf>
    <xf numFmtId="0" fontId="0" fillId="0" borderId="0" xfId="0" applyFill="1" applyBorder="1" applyAlignment="1">
      <alignment horizontal="center"/>
    </xf>
    <xf numFmtId="3" fontId="0" fillId="0" borderId="60" xfId="43" applyNumberFormat="1" applyFont="1" applyBorder="1" applyAlignment="1"/>
    <xf numFmtId="41" fontId="0" fillId="0" borderId="54" xfId="43" applyFont="1" applyBorder="1" applyAlignment="1"/>
    <xf numFmtId="41" fontId="0" fillId="0" borderId="51" xfId="43" applyFont="1" applyBorder="1" applyAlignment="1">
      <alignment horizontal="center" wrapText="1"/>
    </xf>
    <xf numFmtId="3" fontId="0" fillId="0" borderId="51" xfId="0" applyNumberFormat="1" applyBorder="1" applyAlignment="1">
      <alignment horizontal="center" vertical="center" shrinkToFit="1"/>
    </xf>
    <xf numFmtId="41" fontId="0" fillId="0" borderId="51" xfId="43" applyFont="1" applyBorder="1" applyAlignment="1">
      <alignment horizontal="center"/>
    </xf>
    <xf numFmtId="0" fontId="0" fillId="0" borderId="51" xfId="0" applyBorder="1" applyAlignment="1">
      <alignment horizontal="center" vertical="center"/>
    </xf>
    <xf numFmtId="41" fontId="0" fillId="0" borderId="0" xfId="43" applyFont="1" applyAlignment="1"/>
    <xf numFmtId="0" fontId="56" fillId="35" borderId="0" xfId="79" applyFont="1" applyFill="1" applyAlignment="1">
      <alignment horizontal="center" vertical="center" wrapText="1"/>
    </xf>
    <xf numFmtId="0" fontId="56" fillId="35" borderId="0" xfId="79" quotePrefix="1" applyFont="1" applyFill="1" applyAlignment="1">
      <alignment vertical="center" wrapText="1"/>
    </xf>
    <xf numFmtId="0" fontId="52" fillId="0" borderId="0" xfId="0" applyFont="1" applyAlignment="1">
      <alignment vertical="center"/>
    </xf>
    <xf numFmtId="0" fontId="52" fillId="0" borderId="0" xfId="0" applyFont="1" applyAlignment="1">
      <alignment vertical="center"/>
    </xf>
  </cellXfs>
  <cellStyles count="80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백분율 8" xfId="47"/>
    <cellStyle name="보통" xfId="9" builtinId="28" customBuiltin="1"/>
    <cellStyle name="설명 텍스트" xfId="17" builtinId="53" customBuiltin="1"/>
    <cellStyle name="셀 확인" xfId="14" builtinId="23" customBuiltin="1"/>
    <cellStyle name="쉼표 [0]" xfId="43" builtinId="6"/>
    <cellStyle name="쉼표 [0] 155 2" xfId="55"/>
    <cellStyle name="쉼표 [0] 155 2 2" xfId="66"/>
    <cellStyle name="쉼표 [0] 2" xfId="1"/>
    <cellStyle name="쉼표 [0] 2 12 2" xfId="70"/>
    <cellStyle name="쉼표 [0] 2 2" xfId="61"/>
    <cellStyle name="쉼표 [0] 2 2 2 2 2 4" xfId="45"/>
    <cellStyle name="쉼표 [0] 2 2 2 2 2 4 2" xfId="64"/>
    <cellStyle name="쉼표 [0] 2 2 2 2 2 5" xfId="58"/>
    <cellStyle name="쉼표 [0] 2 2 2 2 2 5 2" xfId="68"/>
    <cellStyle name="쉼표 [0] 2 2 2 39" xfId="56"/>
    <cellStyle name="쉼표 [0] 2 2 2 39 2" xfId="67"/>
    <cellStyle name="쉼표 [0] 2 3 20" xfId="72"/>
    <cellStyle name="쉼표 [0] 3" xfId="44"/>
    <cellStyle name="쉼표 [0] 3 2" xfId="63"/>
    <cellStyle name="쉼표 [0] 4" xfId="50"/>
    <cellStyle name="쉼표 [0] 4 2" xfId="65"/>
    <cellStyle name="쉼표 [0] 5" xfId="62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148 2" xfId="46"/>
    <cellStyle name="표준 2" xfId="49"/>
    <cellStyle name="표준 2 13" xfId="48"/>
    <cellStyle name="표준 2 2" xfId="77"/>
    <cellStyle name="표준 2 2 2 11 2" xfId="73"/>
    <cellStyle name="표준 2 2 2 19" xfId="53"/>
    <cellStyle name="표준 2 2 2 3 3" xfId="57"/>
    <cellStyle name="표준 2 3" xfId="79"/>
    <cellStyle name="표준 2 3 19" xfId="60"/>
    <cellStyle name="표준 2 42" xfId="54"/>
    <cellStyle name="표준 3" xfId="69"/>
    <cellStyle name="표준 3 2" xfId="78"/>
    <cellStyle name="표준 3 2 2 19" xfId="52"/>
    <cellStyle name="표준 3 2 2 2 19" xfId="59"/>
    <cellStyle name="표준 4" xfId="74"/>
    <cellStyle name="표준 4 2" xfId="75"/>
    <cellStyle name="표준 5" xfId="76"/>
    <cellStyle name="표준 94 2" xfId="51"/>
    <cellStyle name="하이퍼링크" xfId="71" builtinId="8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7" Type="http://schemas.openxmlformats.org/officeDocument/2006/relationships/externalLink" Target="externalLinks/externalLink5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66" Type="http://schemas.openxmlformats.org/officeDocument/2006/relationships/externalLink" Target="externalLinks/externalLink64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7700;&#51064;&#54260;&#45908;\2020&#45380;\&#49324;&#51109;&#45784;\&#51613;&#51088;&#44288;&#47144;\&#51060;&#51221;&#50500;&#51648;&#51216;&#51109;\&#45432;&#47924;&#44160;&#53664;\20200814_(&#51452;)&#44277;&#44036;&#51648;&#51201;&#52769;&#47049;_&#45432;&#47924;%20&#52968;&#49444;&#54021;\POWER7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111\MSOFFICE\HEXCEL\&#47700;&#47540;&#47536;&#52236;\consolidate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888;&#49457;\EXCEL\98FAB&#44228;&#54925;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Startup" Target="SE0-DWG/&#52404;&#50977;/XLS/ALL-XLS/ULSAN/PRIC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TEMP\AAA\&#54364;&#51456;\&#44048;&#44032;&#49345;&#44033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2004&#45380;&#46020;\&#44277;&#49324;\&#44277;&#49324;\&#44148;&#45328;&#47785;&#44060;&#47049;\&#44228;&#50557;&#50836;&#52397;\&#49341;&#51077;&#54805;\hwp\dacom\&#50896;&#51452;~&#51228;&#52380;\&#50896;&#51452;&#52572;&#51333;\&#44277;&#53685;&#51088;&#4730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148;&#51221;\&#51088;&#47308;\&#51060;&#49345;&#44540;\95&#51228;&#54408;&#4832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paycentero.com/Documents%20and%20Settings/bkshu/My%20Documents/Audit/YEC_FY2002/2002&#44208;&#49328;&#47749;&#49464;&#49436;-&#45812;&#45817;&#51088;&#4832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STFILE\&#52968;&#49444;&#54021;\0&#51228;&#50504;&#44204;&#51201;\ERP\&#51064;&#53804;&#49828;\&#51064;&#53804;&#49828;&#44204;&#5120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7749;&#54868;\DATA\DATA\HWP25\JANG\&#49688;&#51221;\2&#52264;&#49688;&#51221;\1196-&#49688;&#4704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7749;&#54868;\DATA\DATA\HWP25\JANG\&#51109;&#54637;&#49440;&#49688;&#51221;\1196-&#49688;&#4704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20\public\ANN\LORO\Report\0806\CONSOLIDATO%202004\08_2004\Bilanci\windows\TEMP\FILATI\2003\PreCONSUNTIVO\PreCons._FILATI%20ACQUISTAT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4693;&#55148;\&#44277;&#50976;\ESC_DATA\Escalation\WORKING\S_&#50896;&#45224;&#44256;&#44032;\DATA\GISU\REPORT\G_(&#51452;)&#45824;&#52397;ENG_&#54620;&#45224;&#45824;&#54617;&#44368;&#51060;&#44284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036;&#49548;&#54868;\&#44592;&#53440;\&#54408;&#47785;-&#44592;&#44228;&#44221;&#48708;&#48372;&#44288;\&#55092;&#51648;&#44228;&#49688;_&#50896;&#48376;_&#44032;&#54217;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NGIN-NAS\ANN\LORO\Report\0806\CONSOLIDATO%202004\08_2004\Bilanci\windows\TEMP\FILATI\2003\PreCONSUNTIVO\PreCons._FILATI%20ACQUISTATI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52;&#49437;\C\WINDOWS\9605G\DS-LOA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paycentero.com/&#50900;&#47168;&#51312;&#54924;/2004&#45380;&#50672;&#47568;&#49884;&#49345;&#51088;/&#44592;&#53440;&#54924;&#49324;/&#44221;&#44552;&#49549;/2001&#54924;&#44228;&#45380;&#46020;/2000&#44208;&#49328;/&#51116;&#47924;&#51228;&#54364;/TEMP/AAA/&#54364;&#51456;/&#44048;&#44032;&#49345;&#44033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greatfamous\Local%20Settings\Temporary%20Internet%20Files\Content.IE5\KT09AR8X\&#51068;&#51068;&#48372;&#44256;\Wiz_Daily_Rpt_010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&#52509;&#47924;\LOCALS~1\Temp\&#51089;&#5062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51228;&#52380;&#51088;&#47308;\97\97&#49444;&#44228;\&#45800;&#50577;&#50669;&#50808;%202&#44060;&#49548;%20&#49849;&#50517;%20&#44592;&#53440;&#44277;&#49324;\&#45800;&#49457;&#50669;&#50808;%202&#44060;&#49548;%20&#49849;&#50517;&#44592;&#53440;%20&#44592;&#53440;&#44277;&#4932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7749;&#54868;\HWP25\&#51109;&#54637;&#49440;(&#51228;1&#52264;)\&#49444;&#44228;&#49436;\1248-&#51068;&#50948;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tebook\My%20Documents\My%20Documents\&#51204;&#47141;\&#45824;&#46041;&#49444;&#44228;&#51089;&#50629;\&#54840;&#45224;&#49440;&#51204;&#47141;&#49444;&#48708;\1&#45800;&#44228;\1&#44277;&#44396;\&#45236;&#50669;&#49436;(1&#45800;&#44228;1&#44277;&#44396;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&#49444;&#44228;&#49436;\&#49688;&#47785;&#51068;&#5094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\Documents%20and%20Settings\skan\Local%20Settings\Temporary%20Internet%20Files\Content.IE5\QEDJ6ZNP\&#44553;&#50668;&#45824;&#51109;_&#44540;&#47196;&#44228;&#50557;&#49436;_130829%20&#51089;&#50629;&#5147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00\public\Documents%20and%20Settings\&#50676;&#47536;3\&#48148;&#53461;%20&#54868;&#47732;\&#44608;&#49548;&#50689;\&#51088;&#47308;\&#47749;&#50696;&#53748;&#51649;&#49548;&#46301;%20&#49464;&#50529;&#44228;&#49328;&#54532;&#47196;&#44536;&#47016;(2006&#45380;%202.13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&#44553;&#50668;&#51089;&#50629;\&#51076;&#44552;&#51064;&#49345;\2006&#51064;&#49345;\&#49884;&#48044;&#51088;&#47308;%20Ver%206.%201%20&#44592;&#51456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4868;&#49457;&#45432;&#47924;&#49324;&#49324;&#47924;&#49548;\&#51088;&#47928;&#49324;\01_&#44553;&#50668;&#50500;&#50883;&#49548;&#49905;\15(15)_(&#51452;)&#52572;&#49440;&#53944;&#47112;&#51060;\&#44553;&#50668;&#45824;&#51109;\&#44553;&#50668;&#45824;&#51109;_&#50896;&#48376;\Users\&#45432;&#47924;&#48277;&#51064;%20&#49569;&#47548;\&#51076;&#44552;&#45824;&#51109;%20&#48143;%20&#50672;&#52264;&#45824;&#51109;\&#51076;&#44552;&#45824;&#51109;\&#51064;&#49324;&#44553;&#50668;&#54532;&#47196;&#44536;&#47016;_201206&#44480;&#49549;(&#50500;&#51060;&#48708;&#54000;&#51452;&#45768;&#50612;)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.40.126.107\&#44277;&#50976;%20&#47928;&#49436;\&#52380;&#50504;&#44288;&#45236;%20&#44148;&#45328;&#47785;\002-&#46020;&#49436;&#47448;\002&#52636;&#44396;&#52769;&#44160;&#51648;&#44592;%20&#45800;&#44032;&#49328;&#52636;&#49436;&#50752;%20&#49444;&#44228;&#49436;\&#46041;&#50896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2004&#45380;&#46020;\&#44277;&#49324;\&#44277;&#49324;\&#44148;&#45328;&#47785;&#44060;&#47049;\&#44228;&#50557;&#50836;&#52397;\&#49341;&#51077;&#54805;\&#49328;&#52636;&#49444;&#44228;\98&#49444;&#44228;\&#51452;&#54252;&#53552;&#45328;&#50808;%201&#44060;&#49548;%20&#51204;&#47141;&#49444;&#48708;%20&#48372;&#49688;&#44277;&#49324;\&#51452;&#54252;&#53552;&#4532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2004&#45380;&#46020;\&#44277;&#49324;\&#44277;&#49324;\&#44148;&#45328;&#47785;&#44060;&#47049;\&#44228;&#50557;&#50836;&#52397;\&#49341;&#51077;&#54805;\hwp\dacom\&#50896;&#51452;~&#51228;&#52380;\&#50896;&#51452;&#52572;&#51333;\&#50696;&#49328;&#45236;~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a\2004_&#51204;&#46972;&#49440;\My%20Documents\&#51204;&#47141;\&#45824;&#46041;&#49444;&#44228;&#51089;&#50629;\&#54840;&#45224;&#49440;&#51204;&#47141;&#49444;&#48708;\1&#45800;&#44228;\1&#44277;&#44396;\&#45236;&#50669;&#49436;(1&#45800;&#44228;1&#44277;&#44396;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Administrator/Local%20Settings/Temporary%20Internet%20Files/Content.IE5/G0DYY868/&#49340;&#51221;/&#47336;&#47704;&#49828;/3.&#44553;&#50668;&#50732;&#47532;&#44592;/&#49324;&#50896;&#46321;&#47197;(EXCELIMPORT)_&#44148;&#44053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00\public\Documents%20and%20Settings\&#50676;&#47536;3\&#48148;&#53461;%20&#54868;&#47732;\Documents%20and%20Settings\All%20Users\Documents\&#51060;&#54984;&#51032;&#44277;&#50976;&#47928;&#49436;\&#49324;&#44148;&#52376;&#47532;\&#51333;&#44208;&#49324;&#44148;\&#51473;&#44305;&#49892;&#50629;\&#52404;&#48520;&#45236;&#50669;&#48143;&#51652;&#51221;&#51064;&#46321;&#47197;_&#50577;&#49885;(&#51473;&#44305;&#49892;&#50629;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\Documents%20and%20Settings\skan\Local%20Settings\Temporary%20Internet%20Files\Content.IE5\QEDJ6ZNP\fc\&#51648;&#54693;\&#52285;&#44256;\&#49340;&#49457;\&#49340;&#49457;&#45432;&#47924;&#49324;\&#47928;&#49436;(&#51076;&#44552;&#44288;&#47532;1)\10&#51068;-&#50952;&#52488;&#51020;&#54028;\2012&#45380;\201206\&#50641;&#49472;&#51088;&#47308;\&#50952;(WIN)&#52488;&#51020;&#54028;%202012.06&#50900;%20&#51076;&#44552;&#45824;&#51109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\Documents%20and%20Settings\skan\Local%20Settings\Temporary%20Internet%20Files\Content.IE5\QEDJ6ZNP\fc\Documents%20and%20Settings\skan\Local%20Settings\Temporary%20Internet%20Files\Content.IE5\JIU0PAVM\&#54620;&#50872;&#50648;&#47532;&#48288;&#51060;&#53552;\&#51076;&#44552;&#49444;&#44228;%20&#52488;&#50504;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_AZTMP0_\&#44036;&#51060;&#49464;&#50529;&#51312;&#44204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.shortcut-targets-by-id\1sNLfhE7K48k9DMZsjyOcNIifTlx-_qxM\4.%20&#51088;&#47928;&#49324;(&#50980;)\&#51088;&#47928;&#49324;_&#44553;&#50668;%20(1)\3.&#44553;&#50668;&#51068;&#51088;_10~15&#51068;%20(1)\&#50976;&#54788;&amp;&#49436;&#44053;&#54616;&#51060;&#53581;_10&#51068;%20(1)\2.%20&#44553;&#50668;&#45824;&#51109;%20(1)\202106\3.&#49436;&#44053;&#54616;&#51060;&#53581;(&#48277;&#51064;)\2.&#53685;&#48372;\&#49436;&#44053;&#54616;&#51060;&#53581;(&#48277;&#51064;)_&#44553;&#50668;&#45824;&#51109;_202106(&#53685;&#48372;)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ver\server\My%20Documents\2001&#51473;&#49328;&#52789;&#49464;&#44221;&#4404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52285;&#54868;\E\&#51109;&#54637;&#49440;(&#51228;1&#52264;)\&#49444;&#44228;&#49436;\1248-&#51068;&#50948;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DN-SPECIAL\Users\Users\LG\Desktop\&#51088;&#47928;&#49324;\&#50500;&#51060;&#48708;&#54000;\&#51076;&#44552;&#45824;&#51109;\&#51064;&#49324;&#44553;&#50668;&#54532;&#47196;&#44536;&#47016;_201206&#44480;&#49549;(&#50500;&#51060;&#48708;&#54000;&#51452;&#45768;&#50612;)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20\public\&#51221;&#50689;&#48120;\&#9670;&#54924;&#50896;&#49324;&#44553;&#50668;&#9670;\2013&#45380;%20&#54924;&#50896;&#49324;&#44553;&#50668;\4&#50900;&#44553;&#50668;&#45824;&#51109;\&#49340;&#49457;&#45432;&#50896;&#49436;&#48708;&#49828;(&#51452;)\&#44553;&#50668;&#50500;&#50883;&#49548;&#49905;\2012&#45380;%20&#49688;&#49688;&#47308;%20&#49888;%20&#44553;&#50668;&#51089;&#50629;%206&#50900;(&#52572;&#51333;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2004&#45380;&#46020;\&#44277;&#49324;\&#44277;&#49324;\&#44148;&#45328;&#47785;&#44060;&#47049;\&#44228;&#50557;&#50836;&#52397;\&#49341;&#51077;&#54805;\My%20Documentsm\97\97&#49444;&#44228;\&#51312;&#52264;&#51109;&#50808;\&#51204;&#47141;&#49444;&#44228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5432;&#47924;&#48277;&#51064;%20&#49569;&#47548;/&#51076;&#44552;&#45824;&#51109;%20&#48143;%20&#50672;&#52264;&#45824;&#51109;/&#51076;&#44552;&#45824;&#51109;/&#51064;&#49324;&#44553;&#50668;&#54532;&#47196;&#44536;&#47016;_201206&#44480;&#49549;(&#50500;&#51060;&#48708;&#54000;&#51452;&#45768;&#50612;)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&#51204;&#51228;&#50756;%20&#51452;&#51076;\&#54217;&#44032;&#54252;&#49345;\'03%20&#54616;&#48152;&#44592;&#54217;&#44032;&#54252;&#49345;%20&#48143;%202004%20&#54217;&#44032;&#54252;&#49345;(&#50504;)\&#52629;&#54801;99,1&#50900;m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53;&#54801;\&#47448;&#49345;&#49688;\WINDOWS\&#48148;&#53461;%20&#54868;&#47732;\&#47448;&#49345;&#49688;\&#52629;&#54801;&#48376;&#48512;\'98,4~12&#50900;&#52629;&#54801;m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r100\&#51060;%20&#49849;%20&#48124;%20(g)\&#44608;&#49548;&#50689;\&#51088;&#47308;\&#47749;&#50696;&#53748;&#51649;&#49548;&#46301;%20&#49464;&#50529;&#44228;&#49328;&#54532;&#47196;&#44536;&#47016;(2006&#45380;%202.13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20\public\&#51060;&#54984;\&#54924;&#50896;&#49324;&#44288;&#47532;\SESSA\&#49340;&#49457;&#46041;&#53444;&#49436;&#48708;&#49828;\&#51076;&#44552;&#52404;&#44228;\&#46041;&#53444;&#44553;&#50668;&#45824;&#51109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5432;&#47924;&#48277;&#51064;%20&#49569;&#47548;/&#51076;&#44552;&#45824;&#51109;%20&#48143;%20&#50672;&#52264;&#45824;&#51109;/&#51076;&#44552;&#45824;&#51109;/&#50500;&#51060;&#48708;&#54000;/&#51076;&#44552;&#45824;&#51109;/&#51064;&#49324;&#44553;&#50668;&#54532;&#47196;&#44536;&#47016;_201206&#44480;&#49549;(&#50500;&#51060;&#48708;&#54000;&#51452;&#45768;&#50612;)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.insa.co.kr/Documents%20and%20Settings/hj_baek/My%20Documents/&#44553;&#50668;&#49345;&#50668;&#53748;&#51649;&#44552;/001-&#44553;&#50668;&#44288;&#47532;/2004&#45380;%20&#44553;&#50668;/200402&#44553;&#50668;/1&#50900;&#50672;&#51109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54840;\C\Data\Old_d\&#50641;&#49472;\KYONGNAM\ULSAN\BIG\&#49444;&#44228;&#51077;&#52272;&#46020;&#44553;\&#46020;&#44553;(&#49688;&#51221;)\&#51312;&#44221;&#45236;&#50669;(00d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51312;&#51109;&#55148;\&#48148;&#53461;%20&#54868;&#47732;\&#45800;&#44032;&#49328;&#52636;&#49436;&#44592;&#52488;(&#51204;&#51088;&#50672;&#46041;&#51109;&#52824;SW&#44060;&#49688;,&#51089;&#50629;&#50857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7749;&#54868;\HWP25\DATA\HWP25\&#54840;&#45224;&#49440;%20&#51061;&#49328;~&#49569;&#51221;&#47532;\&#52509;&#47932;&#47049;&#54364;(&#49888;&#49444;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7141;\d\My%20Documents\&#51204;&#47141;\&#45824;&#46041;&#49444;&#44228;&#51089;&#50629;\&#54840;&#45224;&#49440;&#51204;&#47141;&#49444;&#48708;\1&#45800;&#44228;\1&#44277;&#44396;\&#45236;&#50669;&#49436;(1&#45800;&#44228;1&#44277;&#44396;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9P&#51088;&#47308;\&#50672;&#47568;&#51116;&#51221;&#49328;\2001-3&#51116;&#51221;&#49328;\&#54532;&#47196;&#44536;&#47016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51064;&#44600;\&#44536;&#47088;&#51667;\&#51204;&#47141;&#45236;&#50669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7749;&#54868;\HWP25\DATA\HWP25\&#45432;&#54252;&#52264;&#47049;&#44592;&#51648;\&#51068;&#50948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kmailsrv/&#44553;&#50668;&#51088;&#47308;/&#44553;&#50668;&#51089;&#50629;/2006&#45380;&#44553;&#50668;/2006&#45380;&#50672;&#48393;&#44228;&#50557;/&#50672;&#44036;&#44553;&#50668;&#44228;&#50557;&#49436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.insa.co.kr/Documents%20and%20Settings/hj_baek/My%20Documents/&#44553;&#50668;&#49345;&#50668;&#53748;&#51649;&#44552;/001-&#44553;&#50668;&#44288;&#47532;/2004&#45380;%20&#44553;&#50668;/200404&#44553;&#50668;/2004-02&#50672;&#51109;&#49688;&#45817;(&#52628;&#44032;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109;&#54637;&#49440;\&#44592;&#48376;&#49444;&#44228;\jhs\spec\&#49444;&#44228;&#49436;\1195&#51068;&#50948;1-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44608;&#50857;&#52292;1\My%20Documents\&#44608;&#50857;&#52292;\&#45224;&#49436;&#50872;\6.&#44277;&#47924;&#44288;&#47532;\3.&#49444;&#44228;&#48320;&#44221;\FCR\1.FCR(&#51217;&#51648;&#49440;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0672;\HWP25\DATA\HWP25\&#54840;&#45224;&#49440;%20&#51061;&#49328;~&#49569;&#51221;&#47532;\&#52509;&#47932;&#47049;&#54364;(&#49888;&#4944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11.170.91.35\f-drive\DATA\HWP25\&#54840;&#45224;&#49440;%20&#51061;&#49328;~&#49569;&#51221;&#47532;\&#52509;&#47932;&#47049;&#54364;(&#49888;&#49444;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7749;&#54868;\HWP25\DATA\HWP25\&#54840;&#45224;&#49440;%20&#51061;&#49328;~&#49569;&#51221;&#47532;\&#45800;&#44032;&#49328;&#52636;&#49436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50629;&#47924;&#52280;&#44256;&#51088;&#47308;\&#52380;&#50504;&#51204;&#44592;\&#52384;&#46020;\&#48177;&#50896;&#44396;\2004&#45380;&#46020;\&#44277;&#49324;\&#44148;&#45328;&#47785;&#44060;&#47049;\&#49892;&#49884;&#49444;&#44228;\&#49457;&#44284;&#47932;\&#52380;&#50504;0421\&#49688;&#47049;&#49328;&#52636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.insa.co.kr/Documents%20and%20Settings/hj_baek/My%20Documents/&#44553;&#50668;&#49345;&#50668;&#53748;&#51649;&#44552;/001-&#44553;&#50668;&#44288;&#47532;/2004&#45380;%20&#44553;&#50668;/200404&#44553;&#50668;/0403&#50672;&#51109;&#54872;&#49328;&#49884;&#440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ER7"/>
      <sheetName val=""/>
      <sheetName val="E_______2020__________________2"/>
      <sheetName val="E_______2020__________________3"/>
      <sheetName val="E_______2020__________________4"/>
      <sheetName val="E_______2020__________________5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ucture Summary"/>
      <sheetName val="Cover"/>
      <sheetName val="Switches"/>
      <sheetName val="Trans"/>
      <sheetName val="Summary"/>
      <sheetName val="RatioSens"/>
      <sheetName val="Merger"/>
      <sheetName val="Ass."/>
      <sheetName val="Contri"/>
      <sheetName val="IS"/>
      <sheetName val="CF"/>
      <sheetName val="BS"/>
      <sheetName val="98Init BS"/>
      <sheetName val="Init BS"/>
      <sheetName val="Debt"/>
      <sheetName val="D&amp;A"/>
      <sheetName val="E_Returns"/>
      <sheetName val="CF_Returns"/>
      <sheetName val="ppt output"/>
      <sheetName val="CHECK"/>
      <sheetName val="BACKUP"/>
      <sheetName val="CFSens"/>
    </sheetNames>
    <sheetDataSet>
      <sheetData sheetId="0" refreshError="1"/>
      <sheetData sheetId="1" refreshError="1"/>
      <sheetData sheetId="2"/>
      <sheetData sheetId="3">
        <row r="1">
          <cell r="A1" t="str">
            <v>Project Tom - Semi &amp; Jerry</v>
          </cell>
        </row>
      </sheetData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4-F7"/>
      <sheetName val="본부"/>
      <sheetName val="1-1"/>
      <sheetName val="1-2"/>
      <sheetName val="1-3"/>
      <sheetName val="2-1"/>
      <sheetName val="2-2"/>
      <sheetName val="2-3"/>
      <sheetName val="3-1"/>
      <sheetName val="3-2"/>
      <sheetName val="공통파트명부"/>
      <sheetName val="프로젝트별 기술자 등급"/>
      <sheetName val="프로젝트별 인력현황"/>
      <sheetName val="근무현황2월"/>
      <sheetName val="근무현황3월"/>
      <sheetName val="DataWare"/>
      <sheetName val="예산(8)"/>
      <sheetName val="RepWare"/>
      <sheetName val="예산(9)"/>
      <sheetName val="GlobalStar Bill3차"/>
      <sheetName val="예산(4)"/>
      <sheetName val="고만실 서버교체"/>
      <sheetName val="예산(6)"/>
      <sheetName val="국내영업(본)"/>
      <sheetName val="예산(7)"/>
      <sheetName val="GlobalDMS"/>
      <sheetName val="예산(10)"/>
      <sheetName val="오피스21서버"/>
      <sheetName val="예산(11)"/>
      <sheetName val="특허국지재권"/>
      <sheetName val="예산(14)"/>
      <sheetName val="SystemIC"/>
      <sheetName val="예산(15)"/>
      <sheetName val="반조영업자재"/>
      <sheetName val="예산(5)"/>
      <sheetName val="반도체SAP"/>
      <sheetName val="예산(1)"/>
      <sheetName val="해외법인SAP"/>
      <sheetName val="예산(2)"/>
      <sheetName val="BE Momory"/>
      <sheetName val="예산(12)"/>
      <sheetName val="Package"/>
      <sheetName val="예산(13)"/>
      <sheetName val="통신본 설치"/>
      <sheetName val="예산(19)"/>
      <sheetName val="GlobalStar Bill2차"/>
      <sheetName val="예산(3)"/>
      <sheetName val="97년 이월"/>
      <sheetName val="예산(16)"/>
      <sheetName val="FAB3이월"/>
      <sheetName val="예산(18)"/>
      <sheetName val="엘리베이터"/>
      <sheetName val="예산(17)"/>
      <sheetName val="프로젝트"/>
      <sheetName val="총괄"/>
      <sheetName val="분기별손익(백만원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액내역서"/>
    </sheetNames>
    <sheetDataSet>
      <sheetData sheetId="0">
        <row r="4">
          <cell r="D4" t="str">
            <v>대</v>
          </cell>
        </row>
        <row r="5">
          <cell r="D5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기구"/>
      <sheetName val="감가상각"/>
    </sheetNames>
    <sheetDataSet>
      <sheetData sheetId="0"/>
      <sheetData sheetId="1">
        <row r="1">
          <cell r="A1" t="str">
            <v>1996년 5월 감가상각비 명세서(기계장치)</v>
          </cell>
        </row>
        <row r="2">
          <cell r="A2" t="str">
            <v>━━━━━━━━━━━━━━━━━━━</v>
          </cell>
        </row>
        <row r="4">
          <cell r="A4" t="str">
            <v>번호</v>
          </cell>
          <cell r="B4" t="str">
            <v>자   산   명</v>
          </cell>
          <cell r="C4" t="str">
            <v>취득년월</v>
          </cell>
          <cell r="D4" t="str">
            <v>수량</v>
          </cell>
          <cell r="E4" t="str">
            <v>취득금액</v>
          </cell>
          <cell r="F4" t="str">
            <v>사용부서</v>
          </cell>
          <cell r="G4" t="str">
            <v>당기증가액</v>
          </cell>
          <cell r="H4" t="str">
            <v>당기감소액</v>
          </cell>
          <cell r="I4" t="str">
            <v>기말가액</v>
          </cell>
          <cell r="J4" t="str">
            <v>최종잔존가액</v>
          </cell>
          <cell r="K4" t="str">
            <v>감가상각대상액</v>
          </cell>
          <cell r="L4" t="str">
            <v>내용년수</v>
          </cell>
          <cell r="M4" t="str">
            <v>상각율</v>
          </cell>
          <cell r="N4" t="str">
            <v>전기충당금누계</v>
          </cell>
          <cell r="O4" t="str">
            <v>월상각액</v>
          </cell>
          <cell r="P4" t="str">
            <v>당기충당금누계</v>
          </cell>
          <cell r="Q4" t="str">
            <v>미상각잔액</v>
          </cell>
          <cell r="R4" t="str">
            <v>비  고</v>
          </cell>
        </row>
        <row r="5">
          <cell r="A5">
            <v>1</v>
          </cell>
          <cell r="B5" t="str">
            <v xml:space="preserve"> PRESS</v>
          </cell>
          <cell r="C5" t="str">
            <v>1991. 12</v>
          </cell>
          <cell r="D5">
            <v>5</v>
          </cell>
          <cell r="E5">
            <v>21752006813</v>
          </cell>
          <cell r="F5" t="str">
            <v>합성</v>
          </cell>
          <cell r="I5">
            <v>21752006813</v>
          </cell>
          <cell r="J5">
            <v>2175200681</v>
          </cell>
          <cell r="K5">
            <v>19576806132</v>
          </cell>
          <cell r="L5">
            <v>13</v>
          </cell>
          <cell r="M5">
            <v>6.4102564102564109E-3</v>
          </cell>
          <cell r="N5">
            <v>6622738719</v>
          </cell>
          <cell r="O5">
            <v>125492347</v>
          </cell>
          <cell r="P5">
            <v>6748231066</v>
          </cell>
          <cell r="Q5">
            <v>15003775747</v>
          </cell>
        </row>
        <row r="6">
          <cell r="A6">
            <v>2</v>
          </cell>
          <cell r="B6" t="str">
            <v xml:space="preserve"> BALANCE</v>
          </cell>
          <cell r="C6" t="str">
            <v>1991. 12</v>
          </cell>
          <cell r="D6">
            <v>1</v>
          </cell>
          <cell r="E6">
            <v>11568282</v>
          </cell>
          <cell r="F6" t="str">
            <v>품보</v>
          </cell>
          <cell r="I6">
            <v>11568282</v>
          </cell>
          <cell r="J6">
            <v>1156828</v>
          </cell>
          <cell r="K6">
            <v>10411454</v>
          </cell>
          <cell r="L6">
            <v>13</v>
          </cell>
          <cell r="M6">
            <v>6.4102564102564109E-3</v>
          </cell>
          <cell r="N6">
            <v>3537220</v>
          </cell>
          <cell r="O6">
            <v>66740</v>
          </cell>
          <cell r="P6">
            <v>3603960</v>
          </cell>
          <cell r="Q6">
            <v>7964322</v>
          </cell>
        </row>
        <row r="7">
          <cell r="A7">
            <v>3</v>
          </cell>
          <cell r="B7" t="str">
            <v xml:space="preserve"> MICROSCOPE</v>
          </cell>
          <cell r="C7" t="str">
            <v>1991. 12</v>
          </cell>
          <cell r="D7">
            <v>1</v>
          </cell>
          <cell r="E7">
            <v>23676435</v>
          </cell>
          <cell r="F7" t="str">
            <v>품보</v>
          </cell>
          <cell r="I7">
            <v>23676435</v>
          </cell>
          <cell r="J7">
            <v>2367643</v>
          </cell>
          <cell r="K7">
            <v>21308792</v>
          </cell>
          <cell r="L7">
            <v>13</v>
          </cell>
          <cell r="M7">
            <v>6.4102564102564109E-3</v>
          </cell>
          <cell r="N7">
            <v>7239482</v>
          </cell>
          <cell r="O7">
            <v>136594</v>
          </cell>
          <cell r="P7">
            <v>7376076</v>
          </cell>
          <cell r="Q7">
            <v>16300359</v>
          </cell>
        </row>
        <row r="8">
          <cell r="A8">
            <v>4</v>
          </cell>
          <cell r="B8" t="str">
            <v>ULTRASONIC TEST</v>
          </cell>
          <cell r="C8" t="str">
            <v>1991. 12</v>
          </cell>
          <cell r="D8">
            <v>1</v>
          </cell>
          <cell r="E8">
            <v>6301362</v>
          </cell>
          <cell r="F8" t="str">
            <v>품보</v>
          </cell>
          <cell r="I8">
            <v>6301362</v>
          </cell>
          <cell r="J8">
            <v>630136</v>
          </cell>
          <cell r="K8">
            <v>5671226</v>
          </cell>
          <cell r="L8">
            <v>13</v>
          </cell>
          <cell r="M8">
            <v>6.4102564102564109E-3</v>
          </cell>
          <cell r="N8">
            <v>1926762</v>
          </cell>
          <cell r="O8">
            <v>36354</v>
          </cell>
          <cell r="P8">
            <v>1963116</v>
          </cell>
          <cell r="Q8">
            <v>4338246</v>
          </cell>
        </row>
        <row r="9">
          <cell r="A9">
            <v>5</v>
          </cell>
          <cell r="B9" t="str">
            <v>ULTRASONIC FLAW</v>
          </cell>
          <cell r="C9" t="str">
            <v>1991. 12</v>
          </cell>
          <cell r="D9">
            <v>1</v>
          </cell>
          <cell r="E9">
            <v>27834036</v>
          </cell>
          <cell r="F9" t="str">
            <v>품보</v>
          </cell>
          <cell r="I9">
            <v>27834036</v>
          </cell>
          <cell r="J9">
            <v>2783403</v>
          </cell>
          <cell r="K9">
            <v>25050633</v>
          </cell>
          <cell r="L9">
            <v>13</v>
          </cell>
          <cell r="M9">
            <v>6.4102564102564109E-3</v>
          </cell>
          <cell r="N9">
            <v>8510740</v>
          </cell>
          <cell r="O9">
            <v>160580</v>
          </cell>
          <cell r="P9">
            <v>8671320</v>
          </cell>
          <cell r="Q9">
            <v>19162716</v>
          </cell>
        </row>
        <row r="10">
          <cell r="A10">
            <v>6</v>
          </cell>
          <cell r="B10" t="str">
            <v xml:space="preserve"> LASER</v>
          </cell>
          <cell r="C10" t="str">
            <v>1991. 12</v>
          </cell>
          <cell r="D10">
            <v>1</v>
          </cell>
          <cell r="E10">
            <v>72542795</v>
          </cell>
          <cell r="F10" t="str">
            <v>품보</v>
          </cell>
          <cell r="I10">
            <v>72542795</v>
          </cell>
          <cell r="J10">
            <v>7254279</v>
          </cell>
          <cell r="K10">
            <v>65288516</v>
          </cell>
          <cell r="L10">
            <v>13</v>
          </cell>
          <cell r="M10">
            <v>6.4102564102564109E-3</v>
          </cell>
          <cell r="N10">
            <v>22181348</v>
          </cell>
          <cell r="O10">
            <v>418516</v>
          </cell>
          <cell r="P10">
            <v>22599864</v>
          </cell>
          <cell r="Q10">
            <v>49942931</v>
          </cell>
        </row>
        <row r="11">
          <cell r="A11">
            <v>7</v>
          </cell>
          <cell r="B11" t="str">
            <v xml:space="preserve"> SIEVE</v>
          </cell>
          <cell r="C11" t="str">
            <v>1991. 12</v>
          </cell>
          <cell r="D11">
            <v>1</v>
          </cell>
          <cell r="E11">
            <v>23877794</v>
          </cell>
          <cell r="F11" t="str">
            <v>품보</v>
          </cell>
          <cell r="I11">
            <v>23877794</v>
          </cell>
          <cell r="J11">
            <v>2387779</v>
          </cell>
          <cell r="K11">
            <v>21490015</v>
          </cell>
          <cell r="L11">
            <v>13</v>
          </cell>
          <cell r="M11">
            <v>6.4102564102564109E-3</v>
          </cell>
          <cell r="N11">
            <v>7301068</v>
          </cell>
          <cell r="O11">
            <v>137756</v>
          </cell>
          <cell r="P11">
            <v>7438824</v>
          </cell>
          <cell r="Q11">
            <v>16438970</v>
          </cell>
        </row>
        <row r="12">
          <cell r="A12">
            <v>8</v>
          </cell>
          <cell r="B12" t="str">
            <v>RAPID DRYING</v>
          </cell>
          <cell r="C12" t="str">
            <v>1991. 12</v>
          </cell>
          <cell r="D12">
            <v>1</v>
          </cell>
          <cell r="E12">
            <v>13714063</v>
          </cell>
          <cell r="F12" t="str">
            <v>품보</v>
          </cell>
          <cell r="I12">
            <v>13714063</v>
          </cell>
          <cell r="J12">
            <v>1371406</v>
          </cell>
          <cell r="K12">
            <v>12342657</v>
          </cell>
          <cell r="L12">
            <v>13</v>
          </cell>
          <cell r="M12">
            <v>6.4102564102564109E-3</v>
          </cell>
          <cell r="N12">
            <v>4121019</v>
          </cell>
          <cell r="O12">
            <v>79119</v>
          </cell>
          <cell r="P12">
            <v>4200138</v>
          </cell>
          <cell r="Q12">
            <v>9513925</v>
          </cell>
        </row>
        <row r="13">
          <cell r="A13">
            <v>9</v>
          </cell>
          <cell r="B13" t="str">
            <v>ELECTRO SIEVE</v>
          </cell>
          <cell r="C13" t="str">
            <v>1991. 12</v>
          </cell>
          <cell r="D13">
            <v>1</v>
          </cell>
          <cell r="E13">
            <v>13923575</v>
          </cell>
          <cell r="F13" t="str">
            <v>품보</v>
          </cell>
          <cell r="I13">
            <v>13923575</v>
          </cell>
          <cell r="J13">
            <v>1392357</v>
          </cell>
          <cell r="K13">
            <v>12531218</v>
          </cell>
          <cell r="L13">
            <v>13</v>
          </cell>
          <cell r="M13">
            <v>6.4102564102564109E-3</v>
          </cell>
          <cell r="N13">
            <v>4125840</v>
          </cell>
          <cell r="O13">
            <v>80328</v>
          </cell>
          <cell r="P13">
            <v>4206168</v>
          </cell>
          <cell r="Q13">
            <v>9717407</v>
          </cell>
        </row>
        <row r="14">
          <cell r="A14">
            <v>10</v>
          </cell>
          <cell r="B14" t="str">
            <v>METAL MICROSCOPE</v>
          </cell>
          <cell r="C14" t="str">
            <v>1991. 12</v>
          </cell>
          <cell r="D14">
            <v>1</v>
          </cell>
          <cell r="E14">
            <v>6155870</v>
          </cell>
          <cell r="F14" t="str">
            <v>품보</v>
          </cell>
          <cell r="I14">
            <v>6155870</v>
          </cell>
          <cell r="J14">
            <v>615587</v>
          </cell>
          <cell r="K14">
            <v>5540283</v>
          </cell>
          <cell r="L14">
            <v>13</v>
          </cell>
          <cell r="M14">
            <v>6.4102564102564109E-3</v>
          </cell>
          <cell r="N14">
            <v>1882242</v>
          </cell>
          <cell r="O14">
            <v>35514</v>
          </cell>
          <cell r="P14">
            <v>1917756</v>
          </cell>
          <cell r="Q14">
            <v>4238114</v>
          </cell>
        </row>
        <row r="15">
          <cell r="A15">
            <v>11</v>
          </cell>
          <cell r="B15" t="str">
            <v>PROGRAMER</v>
          </cell>
          <cell r="C15" t="str">
            <v>1991. 12</v>
          </cell>
          <cell r="D15">
            <v>1</v>
          </cell>
          <cell r="E15">
            <v>18013504</v>
          </cell>
          <cell r="F15" t="str">
            <v>연구소</v>
          </cell>
          <cell r="I15">
            <v>18013504</v>
          </cell>
          <cell r="J15">
            <v>1801350</v>
          </cell>
          <cell r="K15">
            <v>16212154</v>
          </cell>
          <cell r="L15">
            <v>13</v>
          </cell>
          <cell r="M15">
            <v>6.4102564102564109E-3</v>
          </cell>
          <cell r="N15">
            <v>5507972</v>
          </cell>
          <cell r="O15">
            <v>103924</v>
          </cell>
          <cell r="P15">
            <v>5611896</v>
          </cell>
          <cell r="Q15">
            <v>12401608</v>
          </cell>
        </row>
        <row r="16">
          <cell r="A16">
            <v>12</v>
          </cell>
          <cell r="B16" t="str">
            <v>HIGH SPEED PLANETARY</v>
          </cell>
          <cell r="C16" t="str">
            <v>1991. 12</v>
          </cell>
          <cell r="D16">
            <v>1</v>
          </cell>
          <cell r="E16">
            <v>13520369</v>
          </cell>
          <cell r="F16" t="str">
            <v>전처리</v>
          </cell>
          <cell r="I16">
            <v>13520369</v>
          </cell>
          <cell r="J16">
            <v>1352036</v>
          </cell>
          <cell r="K16">
            <v>12168333</v>
          </cell>
          <cell r="L16">
            <v>13</v>
          </cell>
          <cell r="M16">
            <v>6.4102564102564109E-3</v>
          </cell>
          <cell r="N16">
            <v>4134106</v>
          </cell>
          <cell r="O16">
            <v>78002</v>
          </cell>
          <cell r="P16">
            <v>4212108</v>
          </cell>
          <cell r="Q16">
            <v>9308261</v>
          </cell>
        </row>
        <row r="17">
          <cell r="A17">
            <v>13</v>
          </cell>
          <cell r="B17" t="str">
            <v>고 압 공 구</v>
          </cell>
          <cell r="C17" t="str">
            <v>1991. 12</v>
          </cell>
          <cell r="D17">
            <v>1</v>
          </cell>
          <cell r="E17">
            <v>355193312</v>
          </cell>
          <cell r="F17" t="str">
            <v>합성</v>
          </cell>
          <cell r="I17">
            <v>355193312</v>
          </cell>
          <cell r="J17">
            <v>35519331</v>
          </cell>
          <cell r="K17">
            <v>319673981</v>
          </cell>
          <cell r="L17">
            <v>13</v>
          </cell>
          <cell r="M17">
            <v>6.4102564102564109E-3</v>
          </cell>
          <cell r="N17">
            <v>108607176</v>
          </cell>
          <cell r="O17">
            <v>2049192</v>
          </cell>
          <cell r="P17">
            <v>110656368</v>
          </cell>
          <cell r="Q17">
            <v>244536944</v>
          </cell>
        </row>
        <row r="18">
          <cell r="A18">
            <v>14</v>
          </cell>
          <cell r="B18" t="str">
            <v>UNIVERSAL HARDNESS</v>
          </cell>
          <cell r="C18" t="str">
            <v>1991. 12</v>
          </cell>
          <cell r="D18">
            <v>1</v>
          </cell>
          <cell r="E18">
            <v>28349000</v>
          </cell>
          <cell r="F18" t="str">
            <v>품보</v>
          </cell>
          <cell r="I18">
            <v>28349000</v>
          </cell>
          <cell r="J18">
            <v>2834900</v>
          </cell>
          <cell r="K18">
            <v>25514100</v>
          </cell>
          <cell r="L18">
            <v>13</v>
          </cell>
          <cell r="M18">
            <v>6.4102564102564109E-3</v>
          </cell>
          <cell r="N18">
            <v>8668203</v>
          </cell>
          <cell r="O18">
            <v>163551</v>
          </cell>
          <cell r="P18">
            <v>8831754</v>
          </cell>
          <cell r="Q18">
            <v>19517246</v>
          </cell>
        </row>
        <row r="19">
          <cell r="A19">
            <v>15</v>
          </cell>
          <cell r="B19" t="str">
            <v>FILTER</v>
          </cell>
          <cell r="C19" t="str">
            <v>1991. 12</v>
          </cell>
          <cell r="D19">
            <v>1</v>
          </cell>
          <cell r="E19">
            <v>42906476</v>
          </cell>
          <cell r="F19" t="str">
            <v>공무</v>
          </cell>
          <cell r="I19">
            <v>42906476</v>
          </cell>
          <cell r="J19">
            <v>4290647</v>
          </cell>
          <cell r="K19">
            <v>38615829</v>
          </cell>
          <cell r="L19">
            <v>13</v>
          </cell>
          <cell r="M19">
            <v>6.4102564102564109E-3</v>
          </cell>
          <cell r="N19">
            <v>13119461</v>
          </cell>
          <cell r="O19">
            <v>247537</v>
          </cell>
          <cell r="P19">
            <v>13366998</v>
          </cell>
          <cell r="Q19">
            <v>29539478</v>
          </cell>
        </row>
        <row r="20">
          <cell r="A20">
            <v>16</v>
          </cell>
          <cell r="B20" t="str">
            <v>BALL MILL</v>
          </cell>
          <cell r="C20" t="str">
            <v>1991. 12</v>
          </cell>
          <cell r="D20">
            <v>1</v>
          </cell>
          <cell r="E20">
            <v>9030640</v>
          </cell>
          <cell r="F20" t="str">
            <v>연구소</v>
          </cell>
          <cell r="I20">
            <v>9030640</v>
          </cell>
          <cell r="J20">
            <v>903064</v>
          </cell>
          <cell r="K20">
            <v>8127576</v>
          </cell>
          <cell r="L20">
            <v>13</v>
          </cell>
          <cell r="M20">
            <v>6.4102564102564109E-3</v>
          </cell>
          <cell r="N20">
            <v>2761247</v>
          </cell>
          <cell r="O20">
            <v>52099</v>
          </cell>
          <cell r="P20">
            <v>2813346</v>
          </cell>
          <cell r="Q20">
            <v>6217294</v>
          </cell>
        </row>
        <row r="21">
          <cell r="A21">
            <v>17</v>
          </cell>
          <cell r="B21" t="str">
            <v>PYRO. SAW</v>
          </cell>
          <cell r="C21" t="str">
            <v>1991. 12</v>
          </cell>
          <cell r="D21">
            <v>1</v>
          </cell>
          <cell r="E21">
            <v>28840621</v>
          </cell>
          <cell r="F21" t="str">
            <v>전처리</v>
          </cell>
          <cell r="I21">
            <v>28840621</v>
          </cell>
          <cell r="J21">
            <v>2884062</v>
          </cell>
          <cell r="K21">
            <v>25956559</v>
          </cell>
          <cell r="L21">
            <v>13</v>
          </cell>
          <cell r="M21">
            <v>6.4102564102564109E-3</v>
          </cell>
          <cell r="N21">
            <v>8818564</v>
          </cell>
          <cell r="O21">
            <v>166388</v>
          </cell>
          <cell r="P21">
            <v>8984952</v>
          </cell>
          <cell r="Q21">
            <v>19855669</v>
          </cell>
        </row>
        <row r="22">
          <cell r="A22">
            <v>18</v>
          </cell>
          <cell r="B22" t="str">
            <v>2,000T PRESS</v>
          </cell>
          <cell r="C22" t="str">
            <v>1991. 12</v>
          </cell>
          <cell r="D22">
            <v>1</v>
          </cell>
          <cell r="E22">
            <v>248765637</v>
          </cell>
          <cell r="F22" t="str">
            <v>합성</v>
          </cell>
          <cell r="I22">
            <v>248765637</v>
          </cell>
          <cell r="J22">
            <v>24876563</v>
          </cell>
          <cell r="K22">
            <v>223889074</v>
          </cell>
          <cell r="L22">
            <v>13</v>
          </cell>
          <cell r="M22">
            <v>6.4102564102564109E-3</v>
          </cell>
          <cell r="N22">
            <v>76064858</v>
          </cell>
          <cell r="O22">
            <v>1435186</v>
          </cell>
          <cell r="P22">
            <v>77500044</v>
          </cell>
          <cell r="Q22">
            <v>171265593</v>
          </cell>
        </row>
        <row r="23">
          <cell r="A23">
            <v>19</v>
          </cell>
          <cell r="B23" t="str">
            <v>XY-RECORDER</v>
          </cell>
          <cell r="C23" t="str">
            <v>1991. 12</v>
          </cell>
          <cell r="D23">
            <v>1</v>
          </cell>
          <cell r="E23">
            <v>3918266</v>
          </cell>
          <cell r="F23" t="str">
            <v>생산사무실</v>
          </cell>
          <cell r="I23">
            <v>3918266</v>
          </cell>
          <cell r="J23">
            <v>391826</v>
          </cell>
          <cell r="K23">
            <v>3526440</v>
          </cell>
          <cell r="L23">
            <v>13</v>
          </cell>
          <cell r="M23">
            <v>6.4102564102564109E-3</v>
          </cell>
          <cell r="N23">
            <v>1198065</v>
          </cell>
          <cell r="O23">
            <v>22605</v>
          </cell>
          <cell r="P23">
            <v>1220670</v>
          </cell>
          <cell r="Q23">
            <v>2697596</v>
          </cell>
        </row>
        <row r="24">
          <cell r="A24">
            <v>20</v>
          </cell>
          <cell r="B24" t="str">
            <v>AIR SHIFTER</v>
          </cell>
          <cell r="C24" t="str">
            <v>1991. 12</v>
          </cell>
          <cell r="D24">
            <v>1</v>
          </cell>
          <cell r="E24">
            <v>41148013</v>
          </cell>
          <cell r="F24" t="str">
            <v>품보</v>
          </cell>
          <cell r="I24">
            <v>41148013</v>
          </cell>
          <cell r="J24">
            <v>4114801</v>
          </cell>
          <cell r="K24">
            <v>37033212</v>
          </cell>
          <cell r="L24">
            <v>13</v>
          </cell>
          <cell r="M24">
            <v>6.4102564102564109E-3</v>
          </cell>
          <cell r="N24">
            <v>12581776</v>
          </cell>
          <cell r="O24">
            <v>237392</v>
          </cell>
          <cell r="P24">
            <v>12819168</v>
          </cell>
          <cell r="Q24">
            <v>28328845</v>
          </cell>
        </row>
        <row r="25">
          <cell r="A25">
            <v>21</v>
          </cell>
          <cell r="B25" t="str">
            <v>MAGNETIC SEPERATOR</v>
          </cell>
          <cell r="C25" t="str">
            <v>1991. 12</v>
          </cell>
          <cell r="D25">
            <v>1</v>
          </cell>
          <cell r="E25">
            <v>19241675</v>
          </cell>
          <cell r="F25" t="str">
            <v>품보</v>
          </cell>
          <cell r="I25">
            <v>19241675</v>
          </cell>
          <cell r="J25">
            <v>1924167</v>
          </cell>
          <cell r="K25">
            <v>17317508</v>
          </cell>
          <cell r="L25">
            <v>13</v>
          </cell>
          <cell r="M25">
            <v>6.4102564102564109E-3</v>
          </cell>
          <cell r="N25">
            <v>5794269</v>
          </cell>
          <cell r="O25">
            <v>111009</v>
          </cell>
          <cell r="P25">
            <v>5905278</v>
          </cell>
          <cell r="Q25">
            <v>13336397</v>
          </cell>
        </row>
        <row r="26">
          <cell r="A26">
            <v>22</v>
          </cell>
          <cell r="B26" t="str">
            <v>C.I.P.</v>
          </cell>
          <cell r="C26" t="str">
            <v>1991. 12</v>
          </cell>
          <cell r="D26">
            <v>1</v>
          </cell>
          <cell r="E26">
            <v>32118862</v>
          </cell>
          <cell r="F26" t="str">
            <v>전처리</v>
          </cell>
          <cell r="I26">
            <v>32118862</v>
          </cell>
          <cell r="J26">
            <v>3211886</v>
          </cell>
          <cell r="K26">
            <v>28906976</v>
          </cell>
          <cell r="L26">
            <v>13</v>
          </cell>
          <cell r="M26">
            <v>6.4102564102564109E-3</v>
          </cell>
          <cell r="N26">
            <v>9720609</v>
          </cell>
          <cell r="O26">
            <v>185301</v>
          </cell>
          <cell r="P26">
            <v>9905910</v>
          </cell>
          <cell r="Q26">
            <v>22212952</v>
          </cell>
        </row>
        <row r="27">
          <cell r="A27">
            <v>23</v>
          </cell>
          <cell r="B27" t="str">
            <v>AIR COMP'</v>
          </cell>
          <cell r="C27" t="str">
            <v>1991. 12</v>
          </cell>
          <cell r="D27">
            <v>1</v>
          </cell>
          <cell r="E27">
            <v>160394892</v>
          </cell>
          <cell r="F27" t="str">
            <v>합성</v>
          </cell>
          <cell r="I27">
            <v>160394892</v>
          </cell>
          <cell r="J27">
            <v>16039489</v>
          </cell>
          <cell r="K27">
            <v>144355403</v>
          </cell>
          <cell r="L27">
            <v>13</v>
          </cell>
          <cell r="M27">
            <v>6.4102564102564109E-3</v>
          </cell>
          <cell r="N27">
            <v>49043815</v>
          </cell>
          <cell r="O27">
            <v>925355</v>
          </cell>
          <cell r="P27">
            <v>49969170</v>
          </cell>
          <cell r="Q27">
            <v>110425722</v>
          </cell>
        </row>
        <row r="28">
          <cell r="A28">
            <v>24</v>
          </cell>
          <cell r="B28" t="str">
            <v>TURNING LATHE</v>
          </cell>
          <cell r="C28" t="str">
            <v>1991. 12</v>
          </cell>
          <cell r="D28">
            <v>1</v>
          </cell>
          <cell r="E28">
            <v>73075068</v>
          </cell>
          <cell r="F28" t="str">
            <v>전처리</v>
          </cell>
          <cell r="I28">
            <v>73075068</v>
          </cell>
          <cell r="J28">
            <v>7307506</v>
          </cell>
          <cell r="K28">
            <v>65767562</v>
          </cell>
          <cell r="L28">
            <v>13</v>
          </cell>
          <cell r="M28">
            <v>6.4102564102564109E-3</v>
          </cell>
          <cell r="N28">
            <v>22344058</v>
          </cell>
          <cell r="O28">
            <v>421586</v>
          </cell>
          <cell r="P28">
            <v>22765644</v>
          </cell>
          <cell r="Q28">
            <v>50309424</v>
          </cell>
        </row>
        <row r="29">
          <cell r="A29">
            <v>25</v>
          </cell>
          <cell r="B29" t="str">
            <v>V-TYPE MIXER외</v>
          </cell>
          <cell r="C29" t="str">
            <v>1991. 12</v>
          </cell>
          <cell r="D29">
            <v>1</v>
          </cell>
          <cell r="E29">
            <v>99588546</v>
          </cell>
          <cell r="F29" t="str">
            <v>합성</v>
          </cell>
          <cell r="I29">
            <v>99588546</v>
          </cell>
          <cell r="J29">
            <v>9958854</v>
          </cell>
          <cell r="K29">
            <v>89629692</v>
          </cell>
          <cell r="L29">
            <v>13</v>
          </cell>
          <cell r="M29">
            <v>6.4102564102564109E-3</v>
          </cell>
          <cell r="N29">
            <v>29630135</v>
          </cell>
          <cell r="O29">
            <v>574549</v>
          </cell>
          <cell r="P29">
            <v>30204684</v>
          </cell>
          <cell r="Q29">
            <v>69383862</v>
          </cell>
        </row>
        <row r="30">
          <cell r="A30">
            <v>26</v>
          </cell>
          <cell r="B30" t="str">
            <v>MICRO SCIVE외</v>
          </cell>
          <cell r="C30" t="str">
            <v>1991. 12</v>
          </cell>
          <cell r="D30">
            <v>1</v>
          </cell>
          <cell r="E30">
            <v>76314575</v>
          </cell>
          <cell r="F30" t="str">
            <v>전처리</v>
          </cell>
          <cell r="I30">
            <v>76314575</v>
          </cell>
          <cell r="J30">
            <v>7631457</v>
          </cell>
          <cell r="K30">
            <v>68683118</v>
          </cell>
          <cell r="L30">
            <v>13</v>
          </cell>
          <cell r="M30">
            <v>6.4102564102564109E-3</v>
          </cell>
          <cell r="N30">
            <v>19475008</v>
          </cell>
          <cell r="O30">
            <v>440276</v>
          </cell>
          <cell r="P30">
            <v>19915284</v>
          </cell>
          <cell r="Q30">
            <v>56399291</v>
          </cell>
        </row>
        <row r="59">
          <cell r="A59">
            <v>55</v>
          </cell>
          <cell r="B59" t="str">
            <v>항온항습기</v>
          </cell>
          <cell r="C59" t="str">
            <v>1991. 12</v>
          </cell>
          <cell r="D59">
            <v>2</v>
          </cell>
          <cell r="E59">
            <v>45445069</v>
          </cell>
          <cell r="F59" t="str">
            <v>품보</v>
          </cell>
          <cell r="I59">
            <v>45445069</v>
          </cell>
          <cell r="J59">
            <v>4544506</v>
          </cell>
          <cell r="K59">
            <v>40900563</v>
          </cell>
          <cell r="L59">
            <v>13</v>
          </cell>
          <cell r="M59">
            <v>6.4102564102564109E-3</v>
          </cell>
          <cell r="N59">
            <v>10595675</v>
          </cell>
          <cell r="O59">
            <v>262183</v>
          </cell>
          <cell r="P59">
            <v>10857858</v>
          </cell>
          <cell r="Q59">
            <v>34587211</v>
          </cell>
        </row>
        <row r="60">
          <cell r="A60">
            <v>56</v>
          </cell>
          <cell r="B60" t="str">
            <v>transformer</v>
          </cell>
          <cell r="C60" t="str">
            <v>1991. 12</v>
          </cell>
          <cell r="D60">
            <v>2</v>
          </cell>
          <cell r="E60">
            <v>61084720</v>
          </cell>
          <cell r="F60" t="str">
            <v>공무</v>
          </cell>
          <cell r="I60">
            <v>61084720</v>
          </cell>
          <cell r="J60">
            <v>6108472</v>
          </cell>
          <cell r="K60">
            <v>54976248</v>
          </cell>
          <cell r="L60">
            <v>13</v>
          </cell>
          <cell r="M60">
            <v>6.4102564102564109E-3</v>
          </cell>
          <cell r="N60">
            <v>18677783</v>
          </cell>
          <cell r="O60">
            <v>352411</v>
          </cell>
          <cell r="P60">
            <v>19030194</v>
          </cell>
          <cell r="Q60">
            <v>42054526</v>
          </cell>
        </row>
        <row r="61">
          <cell r="A61">
            <v>57</v>
          </cell>
          <cell r="B61" t="str">
            <v>발  전  기</v>
          </cell>
          <cell r="C61" t="str">
            <v>1991. 12</v>
          </cell>
          <cell r="D61">
            <v>2</v>
          </cell>
          <cell r="E61">
            <v>80799892</v>
          </cell>
          <cell r="F61" t="str">
            <v>공무</v>
          </cell>
          <cell r="I61">
            <v>80799892</v>
          </cell>
          <cell r="J61">
            <v>8079989</v>
          </cell>
          <cell r="K61">
            <v>72719903</v>
          </cell>
          <cell r="L61">
            <v>13</v>
          </cell>
          <cell r="M61">
            <v>6.4102564102564109E-3</v>
          </cell>
          <cell r="N61">
            <v>24706109</v>
          </cell>
          <cell r="O61">
            <v>466153</v>
          </cell>
          <cell r="P61">
            <v>25172262</v>
          </cell>
          <cell r="Q61">
            <v>55627630</v>
          </cell>
        </row>
        <row r="62">
          <cell r="A62">
            <v>58</v>
          </cell>
          <cell r="B62" t="str">
            <v>중앙감시반</v>
          </cell>
          <cell r="C62" t="str">
            <v>1991. 12</v>
          </cell>
          <cell r="D62" t="str">
            <v>1 식</v>
          </cell>
          <cell r="E62">
            <v>400168029</v>
          </cell>
          <cell r="F62" t="str">
            <v>공무</v>
          </cell>
          <cell r="I62">
            <v>400168029</v>
          </cell>
          <cell r="J62">
            <v>40016802</v>
          </cell>
          <cell r="K62">
            <v>360151227</v>
          </cell>
          <cell r="L62">
            <v>13</v>
          </cell>
          <cell r="M62">
            <v>6.4102564102564109E-3</v>
          </cell>
          <cell r="N62">
            <v>122359033</v>
          </cell>
          <cell r="O62">
            <v>2308661</v>
          </cell>
          <cell r="P62">
            <v>124667694</v>
          </cell>
          <cell r="Q62">
            <v>275500335</v>
          </cell>
        </row>
        <row r="63">
          <cell r="A63">
            <v>59</v>
          </cell>
          <cell r="B63" t="str">
            <v>공장기계실 설비</v>
          </cell>
          <cell r="C63" t="str">
            <v>1991. 12</v>
          </cell>
          <cell r="D63" t="str">
            <v>1 식</v>
          </cell>
          <cell r="E63">
            <v>80024321</v>
          </cell>
          <cell r="F63" t="str">
            <v>공무</v>
          </cell>
          <cell r="I63">
            <v>80024321</v>
          </cell>
          <cell r="J63">
            <v>8002432</v>
          </cell>
          <cell r="K63">
            <v>72021889</v>
          </cell>
          <cell r="L63">
            <v>13</v>
          </cell>
          <cell r="M63">
            <v>6.4102564102564109E-3</v>
          </cell>
          <cell r="N63">
            <v>24468934</v>
          </cell>
          <cell r="O63">
            <v>461678</v>
          </cell>
          <cell r="P63">
            <v>24930612</v>
          </cell>
          <cell r="Q63">
            <v>55093709</v>
          </cell>
        </row>
        <row r="64">
          <cell r="A64">
            <v>60</v>
          </cell>
          <cell r="B64" t="str">
            <v>공장기계실 배수설비</v>
          </cell>
          <cell r="C64" t="str">
            <v>1991. 12</v>
          </cell>
          <cell r="D64" t="str">
            <v>1 식</v>
          </cell>
          <cell r="E64">
            <v>50898696</v>
          </cell>
          <cell r="F64" t="str">
            <v>공무</v>
          </cell>
          <cell r="I64">
            <v>50898696</v>
          </cell>
          <cell r="J64">
            <v>5089869</v>
          </cell>
          <cell r="K64">
            <v>45808827</v>
          </cell>
          <cell r="L64">
            <v>13</v>
          </cell>
          <cell r="M64">
            <v>6.4102564102564109E-3</v>
          </cell>
          <cell r="N64">
            <v>15563238</v>
          </cell>
          <cell r="O64">
            <v>293646</v>
          </cell>
          <cell r="P64">
            <v>15856884</v>
          </cell>
          <cell r="Q64">
            <v>35041812</v>
          </cell>
        </row>
        <row r="65">
          <cell r="A65">
            <v>61</v>
          </cell>
          <cell r="B65" t="str">
            <v>냉  동  기</v>
          </cell>
          <cell r="C65" t="str">
            <v>1991. 12</v>
          </cell>
          <cell r="D65" t="str">
            <v>1 식</v>
          </cell>
          <cell r="E65">
            <v>7781651</v>
          </cell>
          <cell r="F65" t="str">
            <v>공무</v>
          </cell>
          <cell r="I65">
            <v>7781651</v>
          </cell>
          <cell r="J65">
            <v>778165</v>
          </cell>
          <cell r="K65">
            <v>7003486</v>
          </cell>
          <cell r="L65">
            <v>13</v>
          </cell>
          <cell r="M65">
            <v>6.4102564102564109E-3</v>
          </cell>
          <cell r="N65">
            <v>2379382</v>
          </cell>
          <cell r="O65">
            <v>44894</v>
          </cell>
          <cell r="P65">
            <v>2424276</v>
          </cell>
          <cell r="Q65">
            <v>5357375</v>
          </cell>
        </row>
        <row r="66">
          <cell r="A66">
            <v>62</v>
          </cell>
          <cell r="B66" t="str">
            <v>냉  동  기</v>
          </cell>
          <cell r="C66" t="str">
            <v>1991. 12</v>
          </cell>
          <cell r="D66" t="str">
            <v>1 식</v>
          </cell>
          <cell r="E66">
            <v>37077271</v>
          </cell>
          <cell r="F66" t="str">
            <v>공무</v>
          </cell>
          <cell r="I66">
            <v>37077271</v>
          </cell>
          <cell r="J66">
            <v>3707727</v>
          </cell>
          <cell r="K66">
            <v>33369544</v>
          </cell>
          <cell r="L66">
            <v>13</v>
          </cell>
          <cell r="M66">
            <v>6.4102564102564109E-3</v>
          </cell>
          <cell r="N66">
            <v>11337071</v>
          </cell>
          <cell r="O66">
            <v>213907</v>
          </cell>
          <cell r="P66">
            <v>11550978</v>
          </cell>
          <cell r="Q66">
            <v>25526293</v>
          </cell>
        </row>
        <row r="67">
          <cell r="A67">
            <v>63</v>
          </cell>
          <cell r="B67" t="str">
            <v>냉  각  탑</v>
          </cell>
          <cell r="C67" t="str">
            <v>1991. 12</v>
          </cell>
          <cell r="D67" t="str">
            <v>2 식</v>
          </cell>
          <cell r="E67">
            <v>10068412</v>
          </cell>
          <cell r="F67" t="str">
            <v>공무</v>
          </cell>
          <cell r="I67">
            <v>10068412</v>
          </cell>
          <cell r="J67">
            <v>1006841</v>
          </cell>
          <cell r="K67">
            <v>9061571</v>
          </cell>
          <cell r="L67">
            <v>13</v>
          </cell>
          <cell r="M67">
            <v>6.4102564102564109E-3</v>
          </cell>
          <cell r="N67">
            <v>3078558</v>
          </cell>
          <cell r="O67">
            <v>58086</v>
          </cell>
          <cell r="P67">
            <v>3136644</v>
          </cell>
          <cell r="Q67">
            <v>6931768</v>
          </cell>
        </row>
        <row r="68">
          <cell r="A68">
            <v>64</v>
          </cell>
          <cell r="B68" t="str">
            <v>냉각수순환펌프</v>
          </cell>
          <cell r="C68" t="str">
            <v>1991. 12</v>
          </cell>
          <cell r="D68" t="str">
            <v>4 기</v>
          </cell>
          <cell r="E68">
            <v>5585176</v>
          </cell>
          <cell r="F68" t="str">
            <v>공무</v>
          </cell>
          <cell r="I68">
            <v>5585176</v>
          </cell>
          <cell r="J68">
            <v>558517</v>
          </cell>
          <cell r="K68">
            <v>5026659</v>
          </cell>
          <cell r="L68">
            <v>13</v>
          </cell>
          <cell r="M68">
            <v>6.4102564102564109E-3</v>
          </cell>
          <cell r="N68">
            <v>1707766</v>
          </cell>
          <cell r="O68">
            <v>32222</v>
          </cell>
          <cell r="P68">
            <v>1739988</v>
          </cell>
          <cell r="Q68">
            <v>3845188</v>
          </cell>
        </row>
        <row r="69">
          <cell r="A69">
            <v>65</v>
          </cell>
          <cell r="B69" t="str">
            <v>PRESS용 순환펌프</v>
          </cell>
          <cell r="C69" t="str">
            <v>1991. 12</v>
          </cell>
          <cell r="D69" t="str">
            <v>6 기</v>
          </cell>
          <cell r="E69">
            <v>7004113</v>
          </cell>
          <cell r="F69" t="str">
            <v>공무</v>
          </cell>
          <cell r="I69">
            <v>7004113</v>
          </cell>
          <cell r="J69">
            <v>700411</v>
          </cell>
          <cell r="K69">
            <v>6303702</v>
          </cell>
          <cell r="L69">
            <v>13</v>
          </cell>
          <cell r="M69">
            <v>6.4102564102564109E-3</v>
          </cell>
          <cell r="N69">
            <v>2141624</v>
          </cell>
          <cell r="O69">
            <v>40408</v>
          </cell>
          <cell r="P69">
            <v>2182032</v>
          </cell>
          <cell r="Q69">
            <v>4822081</v>
          </cell>
        </row>
        <row r="70">
          <cell r="A70">
            <v>66</v>
          </cell>
          <cell r="B70" t="str">
            <v>열 교 환 기</v>
          </cell>
          <cell r="C70" t="str">
            <v>1991. 12</v>
          </cell>
          <cell r="D70" t="str">
            <v>1 식</v>
          </cell>
          <cell r="E70">
            <v>3019014</v>
          </cell>
          <cell r="F70" t="str">
            <v>공무</v>
          </cell>
          <cell r="I70">
            <v>3019014</v>
          </cell>
          <cell r="J70">
            <v>301901</v>
          </cell>
          <cell r="K70">
            <v>2717113</v>
          </cell>
          <cell r="L70">
            <v>13</v>
          </cell>
          <cell r="M70">
            <v>6.4102564102564109E-3</v>
          </cell>
          <cell r="N70">
            <v>923101</v>
          </cell>
          <cell r="O70">
            <v>17417</v>
          </cell>
          <cell r="P70">
            <v>940518</v>
          </cell>
          <cell r="Q70">
            <v>2078496</v>
          </cell>
        </row>
        <row r="71">
          <cell r="A71">
            <v>67</v>
          </cell>
          <cell r="B71" t="str">
            <v>소 화 설 비</v>
          </cell>
          <cell r="C71" t="str">
            <v>1991. 12</v>
          </cell>
          <cell r="D71" t="str">
            <v>28개</v>
          </cell>
          <cell r="E71">
            <v>1130490</v>
          </cell>
          <cell r="F71" t="str">
            <v>공무</v>
          </cell>
          <cell r="I71">
            <v>1130490</v>
          </cell>
          <cell r="J71">
            <v>113049</v>
          </cell>
          <cell r="K71">
            <v>1017441</v>
          </cell>
          <cell r="L71">
            <v>13</v>
          </cell>
          <cell r="M71">
            <v>6.4102564102564109E-3</v>
          </cell>
          <cell r="N71">
            <v>345666</v>
          </cell>
          <cell r="O71">
            <v>6522</v>
          </cell>
          <cell r="P71">
            <v>352188</v>
          </cell>
          <cell r="Q71">
            <v>778302</v>
          </cell>
        </row>
        <row r="72">
          <cell r="A72">
            <v>68</v>
          </cell>
          <cell r="B72" t="str">
            <v>DOUBLE V-TYPE MIXER</v>
          </cell>
          <cell r="C72" t="str">
            <v>1992.  1</v>
          </cell>
          <cell r="D72" t="str">
            <v>1 식</v>
          </cell>
          <cell r="E72">
            <v>600000</v>
          </cell>
          <cell r="F72" t="str">
            <v>전처리</v>
          </cell>
          <cell r="I72">
            <v>600000</v>
          </cell>
          <cell r="J72">
            <v>60000</v>
          </cell>
          <cell r="K72">
            <v>540000</v>
          </cell>
          <cell r="L72">
            <v>13</v>
          </cell>
          <cell r="M72">
            <v>6.4102564102564109E-3</v>
          </cell>
          <cell r="N72">
            <v>183433</v>
          </cell>
          <cell r="O72">
            <v>3461</v>
          </cell>
          <cell r="P72">
            <v>186894</v>
          </cell>
          <cell r="Q72">
            <v>413106</v>
          </cell>
        </row>
        <row r="73">
          <cell r="A73">
            <v>69</v>
          </cell>
          <cell r="B73" t="str">
            <v>DUST COLLECT</v>
          </cell>
          <cell r="C73" t="str">
            <v>1992.  4</v>
          </cell>
          <cell r="D73" t="str">
            <v>1 식</v>
          </cell>
          <cell r="E73">
            <v>6300000</v>
          </cell>
          <cell r="F73" t="str">
            <v>전처리</v>
          </cell>
          <cell r="I73">
            <v>6300000</v>
          </cell>
          <cell r="J73">
            <v>630000</v>
          </cell>
          <cell r="K73">
            <v>5670000</v>
          </cell>
          <cell r="L73">
            <v>13</v>
          </cell>
          <cell r="M73">
            <v>6.4102564102564109E-3</v>
          </cell>
          <cell r="N73">
            <v>1780954</v>
          </cell>
          <cell r="O73">
            <v>36346</v>
          </cell>
          <cell r="P73">
            <v>1817300</v>
          </cell>
          <cell r="Q73">
            <v>4482700</v>
          </cell>
        </row>
        <row r="74">
          <cell r="A74">
            <v>70</v>
          </cell>
          <cell r="B74" t="str">
            <v>반 전 기</v>
          </cell>
          <cell r="C74" t="str">
            <v>1992.  4</v>
          </cell>
          <cell r="D74" t="str">
            <v>1 식</v>
          </cell>
          <cell r="E74">
            <v>3000000</v>
          </cell>
          <cell r="F74" t="str">
            <v>공무</v>
          </cell>
          <cell r="I74">
            <v>3000000</v>
          </cell>
          <cell r="J74">
            <v>300000</v>
          </cell>
          <cell r="K74">
            <v>2700000</v>
          </cell>
          <cell r="L74">
            <v>13</v>
          </cell>
          <cell r="M74">
            <v>6.4102564102564109E-3</v>
          </cell>
          <cell r="N74">
            <v>848043</v>
          </cell>
          <cell r="O74">
            <v>17307</v>
          </cell>
          <cell r="P74">
            <v>865350</v>
          </cell>
          <cell r="Q74">
            <v>2134650</v>
          </cell>
        </row>
        <row r="75">
          <cell r="A75">
            <v>71</v>
          </cell>
          <cell r="B75" t="str">
            <v>제 습 기</v>
          </cell>
          <cell r="C75" t="str">
            <v>1992.  6</v>
          </cell>
          <cell r="D75" t="str">
            <v>1 식</v>
          </cell>
          <cell r="E75">
            <v>43000000</v>
          </cell>
          <cell r="F75" t="str">
            <v>전처리</v>
          </cell>
          <cell r="I75">
            <v>43000000</v>
          </cell>
          <cell r="J75">
            <v>4300000</v>
          </cell>
          <cell r="K75">
            <v>38700000</v>
          </cell>
          <cell r="L75">
            <v>13</v>
          </cell>
          <cell r="M75">
            <v>6.4102564102564109E-3</v>
          </cell>
          <cell r="N75">
            <v>11659572</v>
          </cell>
          <cell r="O75">
            <v>248076</v>
          </cell>
          <cell r="P75">
            <v>11907648</v>
          </cell>
          <cell r="Q75">
            <v>31092352</v>
          </cell>
        </row>
        <row r="76">
          <cell r="A76">
            <v>72</v>
          </cell>
          <cell r="B76" t="str">
            <v>DC SPORT WELDER</v>
          </cell>
          <cell r="C76" t="str">
            <v>1992.  6</v>
          </cell>
          <cell r="D76" t="str">
            <v>1 식</v>
          </cell>
          <cell r="E76">
            <v>2500000</v>
          </cell>
          <cell r="F76" t="str">
            <v>전처리</v>
          </cell>
          <cell r="I76">
            <v>2500000</v>
          </cell>
          <cell r="J76">
            <v>250000</v>
          </cell>
          <cell r="K76">
            <v>2250000</v>
          </cell>
          <cell r="L76">
            <v>13</v>
          </cell>
          <cell r="M76">
            <v>6.4102564102564109E-3</v>
          </cell>
          <cell r="N76">
            <v>677881</v>
          </cell>
          <cell r="O76">
            <v>14423</v>
          </cell>
          <cell r="P76">
            <v>692304</v>
          </cell>
          <cell r="Q76">
            <v>1807696</v>
          </cell>
        </row>
        <row r="77">
          <cell r="A77">
            <v>73</v>
          </cell>
          <cell r="B77" t="str">
            <v>SIEVE SHAKER</v>
          </cell>
          <cell r="C77" t="str">
            <v>1992.  7</v>
          </cell>
          <cell r="D77" t="str">
            <v>1 식</v>
          </cell>
          <cell r="E77">
            <v>350000</v>
          </cell>
          <cell r="F77" t="str">
            <v>품보</v>
          </cell>
          <cell r="I77">
            <v>350000</v>
          </cell>
          <cell r="J77">
            <v>35000</v>
          </cell>
          <cell r="K77">
            <v>315000</v>
          </cell>
          <cell r="L77">
            <v>13</v>
          </cell>
          <cell r="M77">
            <v>6.4102564102564109E-3</v>
          </cell>
          <cell r="N77">
            <v>92874</v>
          </cell>
          <cell r="O77">
            <v>2019</v>
          </cell>
          <cell r="P77">
            <v>94893</v>
          </cell>
          <cell r="Q77">
            <v>255107</v>
          </cell>
        </row>
        <row r="78">
          <cell r="A78">
            <v>74</v>
          </cell>
          <cell r="B78" t="str">
            <v>냉 방 기</v>
          </cell>
          <cell r="C78" t="str">
            <v>1992.  8</v>
          </cell>
          <cell r="D78" t="str">
            <v>1 식</v>
          </cell>
          <cell r="E78">
            <v>21000000</v>
          </cell>
          <cell r="F78" t="str">
            <v>합성</v>
          </cell>
          <cell r="I78">
            <v>21000000</v>
          </cell>
          <cell r="J78">
            <v>2100000</v>
          </cell>
          <cell r="K78">
            <v>18900000</v>
          </cell>
          <cell r="L78">
            <v>13</v>
          </cell>
          <cell r="M78">
            <v>6.4102564102564109E-3</v>
          </cell>
          <cell r="N78">
            <v>5451885</v>
          </cell>
          <cell r="O78">
            <v>121153</v>
          </cell>
          <cell r="P78">
            <v>5573038</v>
          </cell>
          <cell r="Q78">
            <v>15426962</v>
          </cell>
        </row>
        <row r="79">
          <cell r="A79">
            <v>75</v>
          </cell>
          <cell r="B79" t="str">
            <v xml:space="preserve"> LASER</v>
          </cell>
          <cell r="C79" t="str">
            <v>1993.  4</v>
          </cell>
          <cell r="D79" t="str">
            <v>1 식</v>
          </cell>
          <cell r="E79">
            <v>7000000</v>
          </cell>
          <cell r="F79" t="str">
            <v>품보</v>
          </cell>
          <cell r="G79" t="str">
            <v xml:space="preserve"> </v>
          </cell>
          <cell r="I79">
            <v>7000000</v>
          </cell>
          <cell r="J79">
            <v>700000</v>
          </cell>
          <cell r="K79">
            <v>6300000</v>
          </cell>
          <cell r="L79">
            <v>13</v>
          </cell>
          <cell r="M79">
            <v>6.4102564102564109E-3</v>
          </cell>
          <cell r="N79">
            <v>1494208</v>
          </cell>
          <cell r="O79">
            <v>40384</v>
          </cell>
          <cell r="P79">
            <v>1534592</v>
          </cell>
          <cell r="Q79">
            <v>5465408</v>
          </cell>
        </row>
        <row r="80">
          <cell r="A80">
            <v>76</v>
          </cell>
          <cell r="B80" t="str">
            <v>AUTOWELDER M/C</v>
          </cell>
          <cell r="C80" t="str">
            <v>1993.  5</v>
          </cell>
          <cell r="D80" t="str">
            <v>1 식</v>
          </cell>
          <cell r="E80">
            <v>27200000</v>
          </cell>
          <cell r="F80" t="str">
            <v>전처리</v>
          </cell>
          <cell r="I80">
            <v>27200000</v>
          </cell>
          <cell r="J80">
            <v>2720000</v>
          </cell>
          <cell r="K80">
            <v>24480000</v>
          </cell>
          <cell r="L80">
            <v>13</v>
          </cell>
          <cell r="M80">
            <v>6.4102564102564109E-3</v>
          </cell>
          <cell r="N80">
            <v>5631918</v>
          </cell>
          <cell r="O80">
            <v>156923</v>
          </cell>
          <cell r="P80">
            <v>5788841</v>
          </cell>
          <cell r="Q80">
            <v>21411159</v>
          </cell>
        </row>
        <row r="81">
          <cell r="A81">
            <v>77</v>
          </cell>
          <cell r="B81" t="str">
            <v>VIBRATING SCREEN M/C</v>
          </cell>
          <cell r="C81" t="str">
            <v>1993.  5</v>
          </cell>
          <cell r="D81" t="str">
            <v>1 식</v>
          </cell>
          <cell r="E81">
            <v>2700000</v>
          </cell>
          <cell r="F81" t="str">
            <v>후처리</v>
          </cell>
          <cell r="G81" t="str">
            <v xml:space="preserve"> </v>
          </cell>
          <cell r="I81">
            <v>2700000</v>
          </cell>
          <cell r="J81">
            <v>270000</v>
          </cell>
          <cell r="K81">
            <v>2430000</v>
          </cell>
          <cell r="L81">
            <v>13</v>
          </cell>
          <cell r="M81">
            <v>6.4102564102564109E-3</v>
          </cell>
          <cell r="N81">
            <v>560736</v>
          </cell>
          <cell r="O81">
            <v>15576</v>
          </cell>
          <cell r="P81">
            <v>576312</v>
          </cell>
          <cell r="Q81">
            <v>2123688</v>
          </cell>
        </row>
        <row r="82">
          <cell r="A82">
            <v>78</v>
          </cell>
          <cell r="B82" t="str">
            <v>선     반</v>
          </cell>
          <cell r="C82" t="str">
            <v>1993.  6</v>
          </cell>
          <cell r="D82" t="str">
            <v>1 식</v>
          </cell>
          <cell r="E82">
            <v>6180000</v>
          </cell>
          <cell r="F82" t="str">
            <v>공무</v>
          </cell>
          <cell r="I82">
            <v>6180000</v>
          </cell>
          <cell r="J82">
            <v>618000</v>
          </cell>
          <cell r="K82">
            <v>5562000</v>
          </cell>
          <cell r="L82">
            <v>13</v>
          </cell>
          <cell r="M82">
            <v>6.4102564102564109E-3</v>
          </cell>
          <cell r="N82">
            <v>1247855</v>
          </cell>
          <cell r="O82">
            <v>35653</v>
          </cell>
          <cell r="P82">
            <v>1283508</v>
          </cell>
          <cell r="Q82">
            <v>4896492</v>
          </cell>
        </row>
        <row r="83">
          <cell r="A83">
            <v>79</v>
          </cell>
          <cell r="B83" t="str">
            <v>집  진  기</v>
          </cell>
          <cell r="C83" t="str">
            <v>1993.  7</v>
          </cell>
          <cell r="D83" t="str">
            <v>2 식</v>
          </cell>
          <cell r="E83">
            <v>3200000</v>
          </cell>
          <cell r="F83" t="str">
            <v>전처리</v>
          </cell>
          <cell r="I83">
            <v>3200000</v>
          </cell>
          <cell r="J83">
            <v>320000</v>
          </cell>
          <cell r="K83">
            <v>2880000</v>
          </cell>
          <cell r="L83">
            <v>13</v>
          </cell>
          <cell r="M83">
            <v>6.4102564102564109E-3</v>
          </cell>
          <cell r="N83">
            <v>627674</v>
          </cell>
          <cell r="O83">
            <v>18461</v>
          </cell>
          <cell r="P83">
            <v>646135</v>
          </cell>
          <cell r="Q83">
            <v>2553865</v>
          </cell>
        </row>
        <row r="84">
          <cell r="A84">
            <v>80</v>
          </cell>
          <cell r="B84" t="str">
            <v>lapping m/c</v>
          </cell>
          <cell r="C84" t="str">
            <v>1993. 11</v>
          </cell>
          <cell r="D84" t="str">
            <v>1 식</v>
          </cell>
          <cell r="E84">
            <v>38000000</v>
          </cell>
          <cell r="F84" t="str">
            <v>PCD가공</v>
          </cell>
          <cell r="I84">
            <v>38000000</v>
          </cell>
          <cell r="J84">
            <v>3800000</v>
          </cell>
          <cell r="K84">
            <v>34200000</v>
          </cell>
          <cell r="L84">
            <v>13</v>
          </cell>
          <cell r="M84">
            <v>6.4102564102564109E-3</v>
          </cell>
          <cell r="N84">
            <v>6576900</v>
          </cell>
          <cell r="O84">
            <v>219230</v>
          </cell>
          <cell r="P84">
            <v>6796130</v>
          </cell>
          <cell r="Q84">
            <v>31203870</v>
          </cell>
        </row>
        <row r="85">
          <cell r="A85">
            <v>81</v>
          </cell>
          <cell r="B85" t="str">
            <v>surface grinder</v>
          </cell>
          <cell r="C85" t="str">
            <v>1993. 11</v>
          </cell>
          <cell r="D85" t="str">
            <v>1 식</v>
          </cell>
          <cell r="E85">
            <v>14300000</v>
          </cell>
          <cell r="F85" t="str">
            <v>PCD가공</v>
          </cell>
          <cell r="I85">
            <v>14300000</v>
          </cell>
          <cell r="J85">
            <v>1430000</v>
          </cell>
          <cell r="K85">
            <v>12870000</v>
          </cell>
          <cell r="L85">
            <v>13</v>
          </cell>
          <cell r="M85">
            <v>6.4102564102564109E-3</v>
          </cell>
          <cell r="N85">
            <v>2475000</v>
          </cell>
          <cell r="O85">
            <v>82500</v>
          </cell>
          <cell r="P85">
            <v>2557500</v>
          </cell>
          <cell r="Q85">
            <v>11742500</v>
          </cell>
        </row>
        <row r="86">
          <cell r="A86">
            <v>82</v>
          </cell>
          <cell r="B86" t="str">
            <v>centerless grinder</v>
          </cell>
          <cell r="C86" t="str">
            <v>1993. 11</v>
          </cell>
          <cell r="D86" t="str">
            <v>1 식</v>
          </cell>
          <cell r="E86">
            <v>26500000</v>
          </cell>
          <cell r="F86" t="str">
            <v>PCD가공</v>
          </cell>
          <cell r="I86">
            <v>26500000</v>
          </cell>
          <cell r="J86">
            <v>2650000</v>
          </cell>
          <cell r="K86">
            <v>23850000</v>
          </cell>
          <cell r="L86">
            <v>13</v>
          </cell>
          <cell r="M86">
            <v>6.4102564102564109E-3</v>
          </cell>
          <cell r="N86">
            <v>4586520</v>
          </cell>
          <cell r="O86">
            <v>152884</v>
          </cell>
          <cell r="P86">
            <v>4739404</v>
          </cell>
          <cell r="Q86">
            <v>21760596</v>
          </cell>
        </row>
        <row r="87">
          <cell r="A87">
            <v>83</v>
          </cell>
          <cell r="B87" t="str">
            <v>Tube furnace</v>
          </cell>
          <cell r="C87" t="str">
            <v>1993. 12</v>
          </cell>
          <cell r="D87" t="str">
            <v>1 식</v>
          </cell>
          <cell r="E87">
            <v>4602094</v>
          </cell>
          <cell r="F87" t="str">
            <v>품보</v>
          </cell>
          <cell r="I87">
            <v>4602094</v>
          </cell>
          <cell r="J87">
            <v>460209</v>
          </cell>
          <cell r="K87">
            <v>4141885</v>
          </cell>
          <cell r="L87">
            <v>8</v>
          </cell>
          <cell r="M87">
            <v>1.0416666666666666E-2</v>
          </cell>
          <cell r="N87">
            <v>1251176</v>
          </cell>
          <cell r="O87">
            <v>43144</v>
          </cell>
          <cell r="P87">
            <v>1294320</v>
          </cell>
          <cell r="Q87">
            <v>3307774</v>
          </cell>
        </row>
        <row r="88">
          <cell r="A88">
            <v>84</v>
          </cell>
          <cell r="B88" t="str">
            <v>Box furnace</v>
          </cell>
          <cell r="C88" t="str">
            <v>1993. 12</v>
          </cell>
          <cell r="D88" t="str">
            <v>1 식</v>
          </cell>
          <cell r="E88">
            <v>13296453</v>
          </cell>
          <cell r="F88" t="str">
            <v>연구소</v>
          </cell>
          <cell r="I88">
            <v>13296453</v>
          </cell>
          <cell r="J88">
            <v>1329645</v>
          </cell>
          <cell r="K88">
            <v>11966808</v>
          </cell>
          <cell r="L88">
            <v>8</v>
          </cell>
          <cell r="M88">
            <v>1.0416666666666666E-2</v>
          </cell>
          <cell r="N88">
            <v>3614966</v>
          </cell>
          <cell r="O88">
            <v>124654</v>
          </cell>
          <cell r="P88">
            <v>3739620</v>
          </cell>
          <cell r="Q88">
            <v>9556833</v>
          </cell>
        </row>
        <row r="89">
          <cell r="A89">
            <v>87</v>
          </cell>
          <cell r="B89" t="str">
            <v>powder press</v>
          </cell>
          <cell r="C89" t="str">
            <v>1994.  2</v>
          </cell>
          <cell r="D89">
            <v>1</v>
          </cell>
          <cell r="E89">
            <v>46000000</v>
          </cell>
          <cell r="F89" t="str">
            <v>연구소</v>
          </cell>
          <cell r="I89">
            <v>46000000</v>
          </cell>
          <cell r="J89">
            <v>4600000</v>
          </cell>
          <cell r="K89">
            <v>41400000</v>
          </cell>
          <cell r="L89">
            <v>13</v>
          </cell>
          <cell r="M89">
            <v>6.4102564102564109E-3</v>
          </cell>
          <cell r="N89">
            <v>7165368</v>
          </cell>
          <cell r="O89">
            <v>265384</v>
          </cell>
          <cell r="P89">
            <v>7430752</v>
          </cell>
          <cell r="Q89">
            <v>38569248</v>
          </cell>
        </row>
        <row r="90">
          <cell r="A90">
            <v>88</v>
          </cell>
          <cell r="B90" t="str">
            <v>attrition mill</v>
          </cell>
          <cell r="C90" t="str">
            <v>1994.  2</v>
          </cell>
          <cell r="D90">
            <v>1</v>
          </cell>
          <cell r="E90">
            <v>3500000</v>
          </cell>
          <cell r="F90" t="str">
            <v>연구소</v>
          </cell>
          <cell r="I90">
            <v>3500000</v>
          </cell>
          <cell r="J90">
            <v>350000</v>
          </cell>
          <cell r="K90">
            <v>3150000</v>
          </cell>
          <cell r="L90">
            <v>13</v>
          </cell>
          <cell r="M90">
            <v>6.4102564102564109E-3</v>
          </cell>
          <cell r="N90">
            <v>545184</v>
          </cell>
          <cell r="O90">
            <v>20192</v>
          </cell>
          <cell r="P90">
            <v>565376</v>
          </cell>
          <cell r="Q90">
            <v>2934624</v>
          </cell>
        </row>
        <row r="91">
          <cell r="A91">
            <v>89</v>
          </cell>
          <cell r="B91" t="str">
            <v>만능재료시험기</v>
          </cell>
          <cell r="C91" t="str">
            <v>1994.  3</v>
          </cell>
          <cell r="D91">
            <v>1</v>
          </cell>
          <cell r="E91">
            <v>9000000</v>
          </cell>
          <cell r="F91" t="str">
            <v>품보</v>
          </cell>
          <cell r="I91">
            <v>9000000</v>
          </cell>
          <cell r="J91">
            <v>900000</v>
          </cell>
          <cell r="K91">
            <v>8100000</v>
          </cell>
          <cell r="L91">
            <v>13</v>
          </cell>
          <cell r="M91">
            <v>6.4102564102564109E-3</v>
          </cell>
          <cell r="N91">
            <v>1298075</v>
          </cell>
          <cell r="O91">
            <v>51923</v>
          </cell>
          <cell r="P91">
            <v>1349998</v>
          </cell>
          <cell r="Q91">
            <v>7650002</v>
          </cell>
        </row>
        <row r="92">
          <cell r="A92">
            <v>90</v>
          </cell>
          <cell r="B92" t="str">
            <v>HOLDER 외1종</v>
          </cell>
          <cell r="C92" t="str">
            <v>1994.  7</v>
          </cell>
          <cell r="E92">
            <v>2100000</v>
          </cell>
          <cell r="F92" t="str">
            <v>품보</v>
          </cell>
          <cell r="I92">
            <v>2100000</v>
          </cell>
          <cell r="J92">
            <v>210000</v>
          </cell>
          <cell r="K92">
            <v>1890000</v>
          </cell>
          <cell r="L92">
            <v>5</v>
          </cell>
          <cell r="M92">
            <v>1.6666666666666666E-2</v>
          </cell>
          <cell r="N92">
            <v>693000</v>
          </cell>
          <cell r="O92">
            <v>31500</v>
          </cell>
          <cell r="P92">
            <v>724500</v>
          </cell>
          <cell r="Q92">
            <v>1375500</v>
          </cell>
        </row>
        <row r="93">
          <cell r="A93">
            <v>91</v>
          </cell>
          <cell r="B93" t="str">
            <v>BOWL FEEDER 외 1종</v>
          </cell>
          <cell r="C93" t="str">
            <v>1994.  7</v>
          </cell>
          <cell r="E93">
            <v>1000000</v>
          </cell>
          <cell r="F93" t="str">
            <v>품보</v>
          </cell>
          <cell r="I93">
            <v>1000000</v>
          </cell>
          <cell r="J93">
            <v>100000</v>
          </cell>
          <cell r="K93">
            <v>900000</v>
          </cell>
          <cell r="L93">
            <v>5</v>
          </cell>
          <cell r="M93">
            <v>1.6666666666666666E-2</v>
          </cell>
          <cell r="N93">
            <v>330000</v>
          </cell>
          <cell r="O93">
            <v>15000</v>
          </cell>
          <cell r="P93">
            <v>345000</v>
          </cell>
          <cell r="Q93">
            <v>655000</v>
          </cell>
        </row>
        <row r="94">
          <cell r="A94">
            <v>92</v>
          </cell>
          <cell r="B94" t="str">
            <v>DISOLVING REACTOR</v>
          </cell>
          <cell r="C94" t="str">
            <v>1994.  9</v>
          </cell>
          <cell r="D94" t="str">
            <v>1 식</v>
          </cell>
          <cell r="E94">
            <v>2000000</v>
          </cell>
          <cell r="F94" t="str">
            <v>후처리</v>
          </cell>
          <cell r="I94">
            <v>2000000</v>
          </cell>
          <cell r="J94">
            <v>200000</v>
          </cell>
          <cell r="K94">
            <v>1800000</v>
          </cell>
          <cell r="L94">
            <v>9</v>
          </cell>
          <cell r="M94">
            <v>9.2592592592592587E-3</v>
          </cell>
          <cell r="N94">
            <v>319862</v>
          </cell>
          <cell r="O94">
            <v>16666</v>
          </cell>
          <cell r="P94">
            <v>336528</v>
          </cell>
          <cell r="Q94">
            <v>1663472</v>
          </cell>
        </row>
        <row r="95">
          <cell r="A95">
            <v>93</v>
          </cell>
          <cell r="B95" t="str">
            <v>MT-EQUIPMENT</v>
          </cell>
          <cell r="C95" t="str">
            <v>1994.  9</v>
          </cell>
          <cell r="D95" t="str">
            <v>1SET</v>
          </cell>
          <cell r="E95">
            <v>1100000</v>
          </cell>
          <cell r="F95" t="str">
            <v>합성</v>
          </cell>
          <cell r="I95">
            <v>1100000</v>
          </cell>
          <cell r="J95">
            <v>110000</v>
          </cell>
          <cell r="K95">
            <v>990000</v>
          </cell>
          <cell r="L95">
            <v>8</v>
          </cell>
          <cell r="M95">
            <v>1.0416666666666666E-2</v>
          </cell>
          <cell r="N95">
            <v>206240</v>
          </cell>
          <cell r="O95">
            <v>10312</v>
          </cell>
          <cell r="P95">
            <v>216552</v>
          </cell>
          <cell r="Q95">
            <v>883448</v>
          </cell>
        </row>
        <row r="96">
          <cell r="A96">
            <v>94</v>
          </cell>
          <cell r="B96" t="str">
            <v>VIBRATOR</v>
          </cell>
          <cell r="C96" t="str">
            <v>1994. 10</v>
          </cell>
          <cell r="D96">
            <v>1</v>
          </cell>
          <cell r="E96">
            <v>398902</v>
          </cell>
          <cell r="F96" t="str">
            <v>품보</v>
          </cell>
          <cell r="I96">
            <v>398902</v>
          </cell>
          <cell r="J96">
            <v>39890</v>
          </cell>
          <cell r="K96">
            <v>359012</v>
          </cell>
          <cell r="L96">
            <v>7</v>
          </cell>
          <cell r="M96">
            <v>1.1904761904761904E-2</v>
          </cell>
          <cell r="N96">
            <v>81187</v>
          </cell>
          <cell r="O96">
            <v>4273</v>
          </cell>
          <cell r="P96">
            <v>85460</v>
          </cell>
          <cell r="Q96">
            <v>313442</v>
          </cell>
        </row>
        <row r="97">
          <cell r="A97">
            <v>95</v>
          </cell>
          <cell r="B97" t="str">
            <v xml:space="preserve">DIA COM. STRENGTH </v>
          </cell>
          <cell r="C97" t="str">
            <v>1994. 12</v>
          </cell>
          <cell r="D97">
            <v>1</v>
          </cell>
          <cell r="E97">
            <v>2118817</v>
          </cell>
          <cell r="F97" t="str">
            <v>전처리</v>
          </cell>
          <cell r="I97">
            <v>2118817</v>
          </cell>
          <cell r="J97">
            <v>211881</v>
          </cell>
          <cell r="K97">
            <v>1906936</v>
          </cell>
          <cell r="L97">
            <v>7</v>
          </cell>
          <cell r="M97">
            <v>1.1904761904761904E-2</v>
          </cell>
          <cell r="N97">
            <v>385917</v>
          </cell>
          <cell r="O97">
            <v>22701</v>
          </cell>
          <cell r="P97">
            <v>408618</v>
          </cell>
          <cell r="Q97">
            <v>1710199</v>
          </cell>
        </row>
        <row r="98">
          <cell r="A98">
            <v>96</v>
          </cell>
          <cell r="B98" t="str">
            <v>DIA CUT MACHING</v>
          </cell>
          <cell r="C98" t="str">
            <v>1994. 12</v>
          </cell>
          <cell r="D98">
            <v>1</v>
          </cell>
          <cell r="E98">
            <v>11511653</v>
          </cell>
          <cell r="F98" t="str">
            <v>전처리</v>
          </cell>
          <cell r="I98">
            <v>11511653</v>
          </cell>
          <cell r="J98">
            <v>1151165</v>
          </cell>
          <cell r="K98">
            <v>10360488</v>
          </cell>
          <cell r="L98">
            <v>7</v>
          </cell>
          <cell r="M98">
            <v>1.1904761904761904E-2</v>
          </cell>
          <cell r="N98">
            <v>2096763</v>
          </cell>
          <cell r="O98">
            <v>123339</v>
          </cell>
          <cell r="P98">
            <v>2220102</v>
          </cell>
          <cell r="Q98">
            <v>9291551</v>
          </cell>
        </row>
        <row r="99">
          <cell r="A99">
            <v>97</v>
          </cell>
          <cell r="B99" t="str">
            <v>SLICING SAW</v>
          </cell>
          <cell r="C99" t="str">
            <v>1994. 12</v>
          </cell>
          <cell r="D99">
            <v>1</v>
          </cell>
          <cell r="E99">
            <v>1338665</v>
          </cell>
          <cell r="F99" t="str">
            <v>전처리</v>
          </cell>
          <cell r="I99">
            <v>1338665</v>
          </cell>
          <cell r="J99">
            <v>133866</v>
          </cell>
          <cell r="K99">
            <v>1204799</v>
          </cell>
          <cell r="L99">
            <v>7</v>
          </cell>
          <cell r="M99">
            <v>1.1904761904761904E-2</v>
          </cell>
          <cell r="N99">
            <v>243814</v>
          </cell>
          <cell r="O99">
            <v>14342</v>
          </cell>
          <cell r="P99">
            <v>258156</v>
          </cell>
          <cell r="Q99">
            <v>1080509</v>
          </cell>
        </row>
        <row r="100">
          <cell r="A100">
            <v>98</v>
          </cell>
          <cell r="B100" t="str">
            <v>DRYING OVEN</v>
          </cell>
          <cell r="C100" t="str">
            <v>1995.  1</v>
          </cell>
          <cell r="D100" t="str">
            <v>1식</v>
          </cell>
          <cell r="E100">
            <v>850000</v>
          </cell>
          <cell r="F100" t="str">
            <v>품보</v>
          </cell>
          <cell r="I100">
            <v>850000</v>
          </cell>
          <cell r="K100">
            <v>850000</v>
          </cell>
          <cell r="L100">
            <v>7</v>
          </cell>
          <cell r="M100">
            <v>1.1904761904761904E-2</v>
          </cell>
          <cell r="N100">
            <v>161904</v>
          </cell>
          <cell r="O100">
            <v>10119</v>
          </cell>
          <cell r="P100">
            <v>172023</v>
          </cell>
          <cell r="Q100">
            <v>677977</v>
          </cell>
        </row>
        <row r="101">
          <cell r="A101">
            <v>99</v>
          </cell>
          <cell r="B101" t="str">
            <v>BALL MILL 분쇄기</v>
          </cell>
          <cell r="C101">
            <v>34700</v>
          </cell>
          <cell r="D101" t="str">
            <v>1EA</v>
          </cell>
          <cell r="E101">
            <v>600000</v>
          </cell>
          <cell r="F101" t="str">
            <v>연구소</v>
          </cell>
          <cell r="I101">
            <v>600000</v>
          </cell>
          <cell r="K101">
            <v>600000</v>
          </cell>
          <cell r="L101">
            <v>7</v>
          </cell>
          <cell r="M101">
            <v>1.1904761904761904E-2</v>
          </cell>
          <cell r="N101">
            <v>114272</v>
          </cell>
          <cell r="O101">
            <v>7142</v>
          </cell>
          <cell r="P101">
            <v>121414</v>
          </cell>
          <cell r="Q101">
            <v>478586</v>
          </cell>
        </row>
        <row r="102">
          <cell r="A102">
            <v>100</v>
          </cell>
          <cell r="B102" t="str">
            <v>PS/PT 관련 압력용기</v>
          </cell>
          <cell r="C102">
            <v>34820</v>
          </cell>
          <cell r="D102" t="str">
            <v>1EA</v>
          </cell>
          <cell r="E102">
            <v>2100000</v>
          </cell>
          <cell r="F102" t="str">
            <v>전처리</v>
          </cell>
          <cell r="I102">
            <v>2100000</v>
          </cell>
          <cell r="K102">
            <v>2100000</v>
          </cell>
          <cell r="L102">
            <v>8</v>
          </cell>
          <cell r="M102">
            <v>1.0416666666666666E-2</v>
          </cell>
          <cell r="N102">
            <v>262500</v>
          </cell>
          <cell r="O102">
            <v>21875</v>
          </cell>
          <cell r="P102">
            <v>284375</v>
          </cell>
          <cell r="Q102">
            <v>1815625</v>
          </cell>
        </row>
        <row r="103">
          <cell r="A103">
            <v>101</v>
          </cell>
          <cell r="B103" t="str">
            <v>IMAGE ANDLYZER</v>
          </cell>
          <cell r="C103">
            <v>34943</v>
          </cell>
          <cell r="D103" t="str">
            <v>1EA</v>
          </cell>
          <cell r="E103">
            <v>1400000</v>
          </cell>
          <cell r="F103" t="str">
            <v>연구소</v>
          </cell>
          <cell r="I103">
            <v>1400000</v>
          </cell>
          <cell r="K103">
            <v>1400000</v>
          </cell>
          <cell r="L103">
            <v>5</v>
          </cell>
          <cell r="M103">
            <v>1.6666666666666666E-2</v>
          </cell>
          <cell r="N103">
            <v>186664</v>
          </cell>
          <cell r="O103">
            <v>23333</v>
          </cell>
          <cell r="P103">
            <v>209997</v>
          </cell>
          <cell r="Q103">
            <v>1190003</v>
          </cell>
        </row>
        <row r="104">
          <cell r="A104">
            <v>102</v>
          </cell>
          <cell r="B104" t="str">
            <v>SIEVE SHAKER</v>
          </cell>
          <cell r="C104">
            <v>34973</v>
          </cell>
          <cell r="D104" t="str">
            <v>1식</v>
          </cell>
          <cell r="E104">
            <v>900000</v>
          </cell>
          <cell r="F104" t="str">
            <v>품보</v>
          </cell>
          <cell r="I104">
            <v>900000</v>
          </cell>
          <cell r="K104">
            <v>900000</v>
          </cell>
          <cell r="L104">
            <v>5</v>
          </cell>
          <cell r="M104">
            <v>1.6666666666666666E-2</v>
          </cell>
          <cell r="N104">
            <v>105000</v>
          </cell>
          <cell r="O104">
            <v>15000</v>
          </cell>
          <cell r="P104">
            <v>120000</v>
          </cell>
          <cell r="Q104">
            <v>780000</v>
          </cell>
        </row>
        <row r="105">
          <cell r="A105">
            <v>103</v>
          </cell>
          <cell r="B105" t="str">
            <v>MONITER(101번용)</v>
          </cell>
          <cell r="C105">
            <v>34973</v>
          </cell>
          <cell r="D105" t="str">
            <v>1EA</v>
          </cell>
          <cell r="E105">
            <v>290000</v>
          </cell>
          <cell r="F105" t="str">
            <v>합성</v>
          </cell>
          <cell r="I105">
            <v>290000</v>
          </cell>
          <cell r="K105">
            <v>290000</v>
          </cell>
          <cell r="L105">
            <v>5</v>
          </cell>
          <cell r="M105">
            <v>1.6666666666666666E-2</v>
          </cell>
          <cell r="N105">
            <v>33831</v>
          </cell>
          <cell r="O105">
            <v>4833</v>
          </cell>
          <cell r="P105">
            <v>38664</v>
          </cell>
          <cell r="Q105">
            <v>251336</v>
          </cell>
        </row>
        <row r="106">
          <cell r="A106">
            <v>104</v>
          </cell>
          <cell r="B106" t="str">
            <v>CAM S/W</v>
          </cell>
          <cell r="C106">
            <v>34973</v>
          </cell>
          <cell r="D106" t="str">
            <v>1EA</v>
          </cell>
          <cell r="E106">
            <v>2800000</v>
          </cell>
          <cell r="F106" t="str">
            <v>연구소</v>
          </cell>
          <cell r="I106">
            <v>2800000</v>
          </cell>
          <cell r="K106">
            <v>2800000</v>
          </cell>
          <cell r="L106">
            <v>4</v>
          </cell>
          <cell r="M106">
            <v>2.0833333333333332E-2</v>
          </cell>
          <cell r="N106">
            <v>408331</v>
          </cell>
          <cell r="O106">
            <v>58333</v>
          </cell>
          <cell r="P106">
            <v>466664</v>
          </cell>
          <cell r="Q106">
            <v>2333336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>
            <v>0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>
            <v>0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>
            <v>0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>
            <v>0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>
            <v>0</v>
          </cell>
        </row>
        <row r="1412">
          <cell r="A1412">
            <v>0</v>
          </cell>
        </row>
        <row r="1413">
          <cell r="A1413">
            <v>0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>
            <v>0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>
            <v>0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>
            <v>0</v>
          </cell>
        </row>
        <row r="1529">
          <cell r="A1529">
            <v>0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크라운"/>
      <sheetName val="92해태"/>
      <sheetName val="해태"/>
      <sheetName val="동양"/>
      <sheetName val="롯데"/>
      <sheetName val="94크라운"/>
      <sheetName val="93크라운"/>
      <sheetName val="Sheet4"/>
      <sheetName val="캔디순위"/>
      <sheetName val="쵸코렛순위"/>
      <sheetName val="비스켓순위"/>
      <sheetName val="주단위보고양식"/>
      <sheetName val="짱구가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2"/>
      <sheetName val="Index"/>
      <sheetName val="2002결산명세서-담당자별"/>
      <sheetName val="http___www_paycentero_com_Doc_2"/>
      <sheetName val="http___www_paycentero_com_Doc_3"/>
      <sheetName val="http___www_paycentero_com_Doc_4"/>
      <sheetName val="http___www_paycentero_com_Doc_5"/>
    </sheetNames>
    <definedNames>
      <definedName name="건물"/>
      <definedName name="구축물"/>
      <definedName name="기계장치"/>
      <definedName name="집기비품"/>
      <definedName name="차량운반구"/>
      <definedName name="총괄"/>
    </definedNames>
    <sheetDataSet>
      <sheetData sheetId="0"/>
      <sheetData sheetId="1" refreshError="1">
        <row r="2">
          <cell r="B2" t="str">
            <v>명세서</v>
          </cell>
          <cell r="C2" t="str">
            <v>번호</v>
          </cell>
          <cell r="D2" t="str">
            <v>명세서</v>
          </cell>
        </row>
        <row r="3">
          <cell r="B3" t="str">
            <v>대차대조표</v>
          </cell>
          <cell r="C3">
            <v>23</v>
          </cell>
          <cell r="D3" t="str">
            <v>관계회사매입채무명세서</v>
          </cell>
        </row>
        <row r="4">
          <cell r="B4" t="str">
            <v>손익계산서</v>
          </cell>
          <cell r="C4">
            <v>24</v>
          </cell>
          <cell r="D4" t="str">
            <v>지급어음명세서</v>
          </cell>
        </row>
        <row r="5">
          <cell r="B5" t="str">
            <v>현금및예금명세서</v>
          </cell>
          <cell r="C5">
            <v>25</v>
          </cell>
          <cell r="D5" t="str">
            <v>단기차입금명세서</v>
          </cell>
        </row>
        <row r="6">
          <cell r="B6" t="str">
            <v>유가증권명세서</v>
          </cell>
          <cell r="C6">
            <v>26</v>
          </cell>
          <cell r="D6" t="str">
            <v>장기차입금명세서</v>
          </cell>
        </row>
        <row r="7">
          <cell r="B7" t="str">
            <v>매출채권명세서</v>
          </cell>
          <cell r="C7">
            <v>27</v>
          </cell>
          <cell r="D7" t="str">
            <v>미지급금명세서</v>
          </cell>
        </row>
        <row r="8">
          <cell r="B8" t="str">
            <v>단기대여금명세서</v>
          </cell>
          <cell r="C8">
            <v>28</v>
          </cell>
          <cell r="D8" t="str">
            <v>관계회사미지급금명세서</v>
          </cell>
        </row>
        <row r="9">
          <cell r="B9" t="str">
            <v>미수금명세서</v>
          </cell>
          <cell r="C9">
            <v>29</v>
          </cell>
          <cell r="D9" t="str">
            <v>선수금명세서</v>
          </cell>
        </row>
        <row r="10">
          <cell r="B10" t="str">
            <v>관계회사미수금명세서</v>
          </cell>
          <cell r="C10">
            <v>30</v>
          </cell>
          <cell r="D10" t="str">
            <v>예수금명세서</v>
          </cell>
        </row>
        <row r="11">
          <cell r="B11" t="str">
            <v>미수수익명세서</v>
          </cell>
          <cell r="C11">
            <v>31</v>
          </cell>
          <cell r="D11" t="str">
            <v>예수보증금명세서</v>
          </cell>
        </row>
        <row r="12">
          <cell r="B12" t="str">
            <v>재고자산명세서</v>
          </cell>
          <cell r="C12">
            <v>32</v>
          </cell>
          <cell r="D12" t="str">
            <v>미지급비용명세서</v>
          </cell>
        </row>
        <row r="13">
          <cell r="B13" t="str">
            <v>미착원료및미착상품명세서</v>
          </cell>
          <cell r="C13">
            <v>33</v>
          </cell>
          <cell r="D13" t="str">
            <v>퇴충 및 단퇴충 명세서</v>
          </cell>
        </row>
        <row r="14">
          <cell r="B14" t="str">
            <v>선급금명세서</v>
          </cell>
          <cell r="C14">
            <v>34</v>
          </cell>
          <cell r="D14" t="str">
            <v>제조원가명세서</v>
          </cell>
        </row>
        <row r="15">
          <cell r="B15" t="str">
            <v>장,단기선급비용명세서</v>
          </cell>
          <cell r="C15">
            <v>35</v>
          </cell>
          <cell r="D15" t="str">
            <v>경비배부액명세서</v>
          </cell>
        </row>
        <row r="16">
          <cell r="B16" t="str">
            <v>특정현금과예금명세서</v>
          </cell>
          <cell r="C16">
            <v>36</v>
          </cell>
          <cell r="D16" t="str">
            <v>수입이자와할인료명세서</v>
          </cell>
        </row>
        <row r="17">
          <cell r="B17" t="str">
            <v>임차보증금명세서</v>
          </cell>
          <cell r="C17">
            <v>37</v>
          </cell>
          <cell r="D17" t="str">
            <v>잡이익명세서</v>
          </cell>
        </row>
        <row r="18">
          <cell r="B18" t="str">
            <v>종업원퇴직보험예치금명세서</v>
          </cell>
          <cell r="C18">
            <v>38</v>
          </cell>
          <cell r="D18" t="str">
            <v>지급이자및사채이자명세서</v>
          </cell>
        </row>
        <row r="19">
          <cell r="B19" t="str">
            <v>기타보증금명세서</v>
          </cell>
          <cell r="C19">
            <v>39</v>
          </cell>
          <cell r="D19" t="str">
            <v>잡손실명세서</v>
          </cell>
        </row>
        <row r="20">
          <cell r="B20" t="str">
            <v>부도어음명세서</v>
          </cell>
          <cell r="C20">
            <v>40</v>
          </cell>
          <cell r="D20" t="str">
            <v>타계정대체액명세서</v>
          </cell>
        </row>
        <row r="21">
          <cell r="B21" t="str">
            <v>유형고정자산명세서</v>
          </cell>
        </row>
        <row r="22">
          <cell r="B22" t="str">
            <v>미착기계명세서</v>
          </cell>
        </row>
        <row r="23">
          <cell r="B23" t="str">
            <v>건설가계정명세서</v>
          </cell>
        </row>
        <row r="24">
          <cell r="B24" t="str">
            <v>매입채무명세서</v>
          </cell>
        </row>
        <row r="27">
          <cell r="B27" t="str">
            <v>명세서</v>
          </cell>
          <cell r="C27" t="str">
            <v>번호</v>
          </cell>
          <cell r="D27" t="str">
            <v>명세서</v>
          </cell>
        </row>
        <row r="28">
          <cell r="B28" t="str">
            <v>지급이자및적수계산</v>
          </cell>
          <cell r="C28">
            <v>4</v>
          </cell>
          <cell r="D28" t="str">
            <v>원천납부세액명세서</v>
          </cell>
        </row>
        <row r="29">
          <cell r="B29" t="str">
            <v>지정기부금명세서</v>
          </cell>
          <cell r="C29">
            <v>5</v>
          </cell>
          <cell r="D29" t="str">
            <v>세금공과금명세서</v>
          </cell>
        </row>
        <row r="30">
          <cell r="B30" t="str">
            <v>연구요원급여지급현황</v>
          </cell>
          <cell r="C30">
            <v>6</v>
          </cell>
          <cell r="D30" t="str">
            <v>퇴직금지급명세서</v>
          </cell>
        </row>
        <row r="32">
          <cell r="B32" t="str">
            <v>명세서</v>
          </cell>
          <cell r="C32" t="str">
            <v>번호</v>
          </cell>
          <cell r="D32" t="str">
            <v>명세서</v>
          </cell>
        </row>
        <row r="33">
          <cell r="B33" t="str">
            <v>기타충당금명세서</v>
          </cell>
          <cell r="C33">
            <v>3</v>
          </cell>
          <cell r="D33" t="str">
            <v>오파수수료 미수명세</v>
          </cell>
        </row>
        <row r="34">
          <cell r="B34" t="str">
            <v>국민연금전환금명세서</v>
          </cell>
          <cell r="C34">
            <v>4</v>
          </cell>
          <cell r="D34" t="str">
            <v>유가증권 증감명세</v>
          </cell>
        </row>
      </sheetData>
      <sheetData sheetId="2" refreshError="1"/>
      <sheetData sheetId="3"/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2"/>
      <sheetName val="B2BERP"/>
      <sheetName val="HARDWARE"/>
      <sheetName val="1.설계설명서"/>
      <sheetName val="I一般比"/>
      <sheetName val="N賃率-職"/>
    </sheetNames>
    <sheetDataSet>
      <sheetData sheetId="0" refreshError="1"/>
      <sheetData sheetId="1">
        <row r="24">
          <cell r="I24">
            <v>19019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"/>
      <sheetName val="BASIC (2)"/>
      <sheetName val="수량집계"/>
      <sheetName val="수량집계(2)"/>
      <sheetName val="수량산출"/>
      <sheetName val="수량산출 (2)"/>
      <sheetName val="철거수량"/>
      <sheetName val="철거발생"/>
      <sheetName val="piece"/>
      <sheetName val="piece (2)"/>
      <sheetName val="입찰안"/>
      <sheetName val="전차선로 물량표"/>
      <sheetName val="총괄표"/>
      <sheetName val="일위산출근거"/>
      <sheetName val="일위산출"/>
      <sheetName val="교각1"/>
      <sheetName val="1.설계설명서"/>
      <sheetName val="한강운반비"/>
      <sheetName val="총물량표"/>
      <sheetName val="일위대가"/>
      <sheetName val="esc"/>
      <sheetName val="간선계산"/>
      <sheetName val="DATA"/>
      <sheetName val="동원인원"/>
      <sheetName val="¿Á¿Üµî½Å¼³"/>
      <sheetName val="전선"/>
      <sheetName val="역T형"/>
      <sheetName val="노임이"/>
      <sheetName val="94B"/>
      <sheetName val="준검 내역서"/>
      <sheetName val="부서현황"/>
      <sheetName val="단면 (2)"/>
      <sheetName val="5.공량산출서"/>
      <sheetName val="1196-수량"/>
      <sheetName val="예정공정표"/>
      <sheetName val="설계예산서"/>
      <sheetName val="총계"/>
      <sheetName val="예산내역서"/>
      <sheetName val="케이블및전선관규격표"/>
      <sheetName val="경비_원본"/>
      <sheetName val="노임단가"/>
    </sheetNames>
    <sheetDataSet>
      <sheetData sheetId="0" refreshError="1"/>
      <sheetData sheetId="1" refreshError="1">
        <row r="1">
          <cell r="A1">
            <v>1</v>
          </cell>
          <cell r="B1" t="str">
            <v>42. 전신및전화장치</v>
          </cell>
        </row>
        <row r="2">
          <cell r="A2">
            <v>2</v>
          </cell>
          <cell r="B2" t="str">
            <v xml:space="preserve">    가) 전송설비</v>
          </cell>
        </row>
        <row r="3">
          <cell r="A3">
            <v>3</v>
          </cell>
          <cell r="B3" t="str">
            <v xml:space="preserve"> 광가입자장치신설</v>
          </cell>
          <cell r="C3" t="str">
            <v>FLC-B TYPE(정류기,BATT포함)</v>
          </cell>
          <cell r="D3" t="str">
            <v>대</v>
          </cell>
        </row>
        <row r="4">
          <cell r="A4">
            <v>4</v>
          </cell>
          <cell r="B4" t="str">
            <v xml:space="preserve"> MDF 신설</v>
          </cell>
          <cell r="C4" t="str">
            <v>600P D형</v>
          </cell>
          <cell r="D4" t="str">
            <v>대</v>
          </cell>
        </row>
        <row r="5">
          <cell r="A5">
            <v>5</v>
          </cell>
          <cell r="B5" t="str">
            <v xml:space="preserve"> OFD 신설</v>
          </cell>
          <cell r="C5" t="str">
            <v>72core</v>
          </cell>
          <cell r="D5" t="str">
            <v>대</v>
          </cell>
        </row>
        <row r="6">
          <cell r="A6">
            <v>6</v>
          </cell>
          <cell r="B6" t="str">
            <v xml:space="preserve"> 써지보호기설치</v>
          </cell>
          <cell r="C6" t="str">
            <v>전원용</v>
          </cell>
          <cell r="D6" t="str">
            <v>개</v>
          </cell>
        </row>
        <row r="7">
          <cell r="A7">
            <v>7</v>
          </cell>
          <cell r="B7" t="str">
            <v xml:space="preserve"> 써지보호기설치</v>
          </cell>
          <cell r="C7" t="str">
            <v>데이타용</v>
          </cell>
          <cell r="D7" t="str">
            <v>개</v>
          </cell>
        </row>
        <row r="8">
          <cell r="A8">
            <v>8</v>
          </cell>
          <cell r="B8" t="str">
            <v xml:space="preserve"> 자동전화기신설</v>
          </cell>
          <cell r="C8" t="str">
            <v>MFC</v>
          </cell>
          <cell r="D8" t="str">
            <v>대</v>
          </cell>
        </row>
        <row r="9">
          <cell r="A9">
            <v>9</v>
          </cell>
          <cell r="B9" t="str">
            <v xml:space="preserve"> NMS 장비신설</v>
          </cell>
          <cell r="C9" t="str">
            <v>FLC, EMS</v>
          </cell>
          <cell r="D9" t="str">
            <v>대</v>
          </cell>
        </row>
        <row r="10">
          <cell r="A10">
            <v>10</v>
          </cell>
          <cell r="B10" t="str">
            <v xml:space="preserve"> 교환기신설</v>
          </cell>
          <cell r="C10" t="str">
            <v>300회선(정류기,축전지,유지보수장비포함)</v>
          </cell>
          <cell r="D10" t="str">
            <v>식</v>
          </cell>
        </row>
        <row r="11">
          <cell r="A11">
            <v>11</v>
          </cell>
          <cell r="B11" t="str">
            <v xml:space="preserve"> 케이블트레이신설</v>
          </cell>
          <cell r="C11" t="str">
            <v>W : 300</v>
          </cell>
          <cell r="D11" t="str">
            <v>m</v>
          </cell>
        </row>
        <row r="12">
          <cell r="A12">
            <v>12</v>
          </cell>
          <cell r="B12" t="str">
            <v xml:space="preserve"> 벽체구멍뚫기</v>
          </cell>
          <cell r="C12" t="str">
            <v>350×150</v>
          </cell>
          <cell r="D12" t="str">
            <v>개소</v>
          </cell>
        </row>
        <row r="13">
          <cell r="A13">
            <v>13</v>
          </cell>
          <cell r="B13" t="str">
            <v xml:space="preserve"> 다중화장치신설</v>
          </cell>
          <cell r="C13" t="str">
            <v>P-MUX</v>
          </cell>
          <cell r="D13" t="str">
            <v>대</v>
          </cell>
        </row>
        <row r="14">
          <cell r="A14">
            <v>14</v>
          </cell>
          <cell r="B14" t="str">
            <v xml:space="preserve"> OFD 설치</v>
          </cell>
          <cell r="C14" t="str">
            <v>12core</v>
          </cell>
          <cell r="D14" t="str">
            <v>대</v>
          </cell>
        </row>
        <row r="15">
          <cell r="A15">
            <v>15</v>
          </cell>
          <cell r="B15" t="str">
            <v xml:space="preserve"> 광가입자 전원장치신설</v>
          </cell>
          <cell r="C15" t="str">
            <v>정류기 48V 50A(BATT 포함)</v>
          </cell>
          <cell r="D15" t="str">
            <v>대</v>
          </cell>
        </row>
        <row r="16">
          <cell r="A16">
            <v>16</v>
          </cell>
          <cell r="B16" t="str">
            <v xml:space="preserve"> 항온항습기신설</v>
          </cell>
          <cell r="C16" t="str">
            <v>5HP</v>
          </cell>
          <cell r="D16" t="str">
            <v>대</v>
          </cell>
        </row>
        <row r="17">
          <cell r="A17">
            <v>17</v>
          </cell>
          <cell r="B17" t="str">
            <v xml:space="preserve"> 국내케이블 포설,포박</v>
          </cell>
          <cell r="C17" t="str">
            <v>100Ⅱ</v>
          </cell>
          <cell r="D17" t="str">
            <v>m</v>
          </cell>
        </row>
        <row r="18">
          <cell r="A18">
            <v>18</v>
          </cell>
          <cell r="B18" t="str">
            <v xml:space="preserve"> PCM 국내케이블 포설포박</v>
          </cell>
          <cell r="C18" t="str">
            <v>6P×1조</v>
          </cell>
          <cell r="D18" t="str">
            <v>m</v>
          </cell>
        </row>
        <row r="19">
          <cell r="A19">
            <v>19</v>
          </cell>
          <cell r="B19" t="str">
            <v xml:space="preserve"> 심선성단및수용</v>
          </cell>
          <cell r="C19" t="str">
            <v>단자</v>
          </cell>
          <cell r="D19" t="str">
            <v>단자</v>
          </cell>
        </row>
        <row r="20">
          <cell r="A20">
            <v>20</v>
          </cell>
          <cell r="B20" t="str">
            <v xml:space="preserve"> 전원케이블신설</v>
          </cell>
          <cell r="C20" t="str">
            <v>CV 2C/22㎟</v>
          </cell>
          <cell r="D20" t="str">
            <v>m</v>
          </cell>
        </row>
        <row r="21">
          <cell r="A21">
            <v>21</v>
          </cell>
          <cell r="B21" t="str">
            <v xml:space="preserve"> 전원케이블신설</v>
          </cell>
          <cell r="C21" t="str">
            <v>CV 2C/5.5㎟</v>
          </cell>
          <cell r="D21" t="str">
            <v>m</v>
          </cell>
        </row>
        <row r="22">
          <cell r="A22">
            <v>22</v>
          </cell>
          <cell r="B22" t="str">
            <v xml:space="preserve"> 접지선신설</v>
          </cell>
          <cell r="C22" t="str">
            <v>GV 14㎟</v>
          </cell>
          <cell r="D22" t="str">
            <v>m</v>
          </cell>
        </row>
        <row r="23">
          <cell r="A23">
            <v>23</v>
          </cell>
          <cell r="B23" t="str">
            <v xml:space="preserve"> 접지선신설</v>
          </cell>
          <cell r="C23" t="str">
            <v>GV 22㎟</v>
          </cell>
          <cell r="D23" t="str">
            <v>m</v>
          </cell>
        </row>
        <row r="24">
          <cell r="A24">
            <v>24</v>
          </cell>
          <cell r="B24" t="str">
            <v xml:space="preserve"> 에어콘신설</v>
          </cell>
          <cell r="C24" t="str">
            <v>10평형</v>
          </cell>
          <cell r="D24" t="str">
            <v>대</v>
          </cell>
        </row>
        <row r="25">
          <cell r="A25">
            <v>25</v>
          </cell>
          <cell r="B25" t="str">
            <v xml:space="preserve"> 전원케이블 단말처리</v>
          </cell>
          <cell r="C25" t="str">
            <v>22㎟</v>
          </cell>
          <cell r="D25" t="str">
            <v>개소</v>
          </cell>
        </row>
        <row r="26">
          <cell r="A26">
            <v>26</v>
          </cell>
          <cell r="B26" t="str">
            <v xml:space="preserve"> 디지틀회선 분배장치신설(DOTS 포함)</v>
          </cell>
          <cell r="C26" t="str">
            <v>DCS -ISX</v>
          </cell>
          <cell r="D26" t="str">
            <v>대</v>
          </cell>
        </row>
        <row r="27">
          <cell r="A27">
            <v>27</v>
          </cell>
          <cell r="B27" t="str">
            <v xml:space="preserve"> 광가입자 설비용접지신설</v>
          </cell>
          <cell r="C27" t="str">
            <v>10Ω(대지비저항100Ω)</v>
          </cell>
          <cell r="D27" t="str">
            <v>개소</v>
          </cell>
        </row>
        <row r="28">
          <cell r="A28">
            <v>28</v>
          </cell>
          <cell r="B28" t="str">
            <v xml:space="preserve"> 광가입자 설비용접지신설</v>
          </cell>
          <cell r="C28" t="str">
            <v>10Ω(대지비저항200Ω)</v>
          </cell>
          <cell r="D28" t="str">
            <v>개소</v>
          </cell>
        </row>
        <row r="29">
          <cell r="A29">
            <v>29</v>
          </cell>
          <cell r="B29" t="str">
            <v xml:space="preserve"> 광가입자 설비용접지신설</v>
          </cell>
          <cell r="C29" t="str">
            <v>10Ω(대지비저항300Ω)</v>
          </cell>
          <cell r="D29" t="str">
            <v>개소</v>
          </cell>
        </row>
        <row r="30">
          <cell r="A30">
            <v>30</v>
          </cell>
          <cell r="B30" t="str">
            <v xml:space="preserve"> MDF접지신설</v>
          </cell>
          <cell r="C30" t="str">
            <v>10Ω(대지비저항100Ω)</v>
          </cell>
          <cell r="D30" t="str">
            <v>개소</v>
          </cell>
        </row>
        <row r="31">
          <cell r="A31">
            <v>31</v>
          </cell>
          <cell r="B31" t="str">
            <v xml:space="preserve"> MDF접지신설</v>
          </cell>
          <cell r="C31" t="str">
            <v>10Ω(대지비저항200Ω)</v>
          </cell>
          <cell r="D31" t="str">
            <v>개소</v>
          </cell>
        </row>
        <row r="32">
          <cell r="A32">
            <v>32</v>
          </cell>
          <cell r="B32" t="str">
            <v xml:space="preserve"> MDF접지신설</v>
          </cell>
          <cell r="C32" t="str">
            <v>10Ω(대지비저항300Ω)</v>
          </cell>
          <cell r="D32" t="str">
            <v>개소</v>
          </cell>
        </row>
        <row r="33">
          <cell r="A33">
            <v>36</v>
          </cell>
          <cell r="B33" t="str">
            <v xml:space="preserve"> 교환기접지신설</v>
          </cell>
          <cell r="C33" t="str">
            <v>10Ω(대지비저항100Ω)</v>
          </cell>
          <cell r="D33" t="str">
            <v>개소</v>
          </cell>
        </row>
        <row r="34">
          <cell r="A34">
            <v>37</v>
          </cell>
          <cell r="B34" t="str">
            <v xml:space="preserve"> 교환기접지신설</v>
          </cell>
          <cell r="C34" t="str">
            <v>10Ω(대지비저항200Ω)</v>
          </cell>
          <cell r="D34" t="str">
            <v>개소</v>
          </cell>
        </row>
        <row r="35">
          <cell r="A35">
            <v>38</v>
          </cell>
          <cell r="B35" t="str">
            <v xml:space="preserve"> 기기외함접지신설</v>
          </cell>
          <cell r="C35" t="str">
            <v>50Ω(대지비저항100Ω)</v>
          </cell>
          <cell r="D35" t="str">
            <v>개소</v>
          </cell>
        </row>
        <row r="36">
          <cell r="A36">
            <v>39</v>
          </cell>
          <cell r="B36" t="str">
            <v xml:space="preserve"> 기기외함접지신설</v>
          </cell>
          <cell r="C36" t="str">
            <v>50Ω(대지비저항200Ω)</v>
          </cell>
          <cell r="D36" t="str">
            <v>개소</v>
          </cell>
        </row>
        <row r="37">
          <cell r="A37">
            <v>40</v>
          </cell>
          <cell r="B37" t="str">
            <v xml:space="preserve"> 기기외함접지신설</v>
          </cell>
          <cell r="C37" t="str">
            <v>50Ω(대지비저항300Ω)</v>
          </cell>
          <cell r="D37" t="str">
            <v>개소</v>
          </cell>
        </row>
        <row r="38">
          <cell r="A38">
            <v>41</v>
          </cell>
          <cell r="B38" t="str">
            <v xml:space="preserve"> 가입자보안 접지신설</v>
          </cell>
          <cell r="C38" t="str">
            <v>50Ω(대지비저항100Ω)</v>
          </cell>
          <cell r="D38" t="str">
            <v>개소</v>
          </cell>
        </row>
        <row r="39">
          <cell r="A39">
            <v>42</v>
          </cell>
          <cell r="B39" t="str">
            <v xml:space="preserve"> 가입자보안 접지신설</v>
          </cell>
          <cell r="C39" t="str">
            <v>50Ω(대지비저항200Ω)</v>
          </cell>
          <cell r="D39" t="str">
            <v>개소</v>
          </cell>
        </row>
        <row r="40">
          <cell r="A40">
            <v>43</v>
          </cell>
          <cell r="B40" t="str">
            <v xml:space="preserve"> 가입자보안 접지신설</v>
          </cell>
          <cell r="C40" t="str">
            <v>50Ω(대지비저항300Ω)</v>
          </cell>
          <cell r="D40" t="str">
            <v>개소</v>
          </cell>
        </row>
        <row r="41">
          <cell r="A41">
            <v>44</v>
          </cell>
          <cell r="B41" t="str">
            <v xml:space="preserve"> 케이블DUCT신설</v>
          </cell>
          <cell r="C41" t="str">
            <v>W300×H100×2.0t</v>
          </cell>
          <cell r="D41" t="str">
            <v>m</v>
          </cell>
        </row>
        <row r="42">
          <cell r="A42">
            <v>45</v>
          </cell>
          <cell r="B42" t="str">
            <v xml:space="preserve"> 교환기중계선 카드설치</v>
          </cell>
          <cell r="C42" t="str">
            <v>E1 DTI</v>
          </cell>
          <cell r="D42" t="str">
            <v>매</v>
          </cell>
        </row>
        <row r="43">
          <cell r="A43">
            <v>46</v>
          </cell>
          <cell r="B43" t="str">
            <v xml:space="preserve"> 교환기내선 카드설치</v>
          </cell>
          <cell r="C43" t="str">
            <v>500L/C</v>
          </cell>
          <cell r="D43" t="str">
            <v>매</v>
          </cell>
        </row>
        <row r="44">
          <cell r="A44">
            <v>47</v>
          </cell>
          <cell r="B44" t="str">
            <v xml:space="preserve"> 광섬유접속손실 측정기(OTDR)</v>
          </cell>
          <cell r="D44" t="str">
            <v>대</v>
          </cell>
        </row>
        <row r="45">
          <cell r="A45">
            <v>48</v>
          </cell>
          <cell r="B45" t="str">
            <v xml:space="preserve"> 광섬유융착접속기</v>
          </cell>
          <cell r="D45" t="str">
            <v>대</v>
          </cell>
        </row>
        <row r="46">
          <cell r="A46">
            <v>49</v>
          </cell>
          <cell r="B46" t="str">
            <v xml:space="preserve"> 광멀티메타</v>
          </cell>
          <cell r="D46" t="str">
            <v>대</v>
          </cell>
        </row>
        <row r="47">
          <cell r="A47">
            <v>50</v>
          </cell>
          <cell r="B47" t="str">
            <v xml:space="preserve"> 대역폭측정기</v>
          </cell>
          <cell r="D47" t="str">
            <v>대</v>
          </cell>
        </row>
        <row r="48">
          <cell r="A48">
            <v>51</v>
          </cell>
          <cell r="B48" t="str">
            <v xml:space="preserve"> 광가변감쇄기</v>
          </cell>
          <cell r="D48" t="str">
            <v>대</v>
          </cell>
        </row>
        <row r="49">
          <cell r="A49">
            <v>52</v>
          </cell>
          <cell r="B49" t="str">
            <v xml:space="preserve"> SDH/PDH분석기</v>
          </cell>
          <cell r="D49" t="str">
            <v>대</v>
          </cell>
        </row>
        <row r="50">
          <cell r="A50">
            <v>53</v>
          </cell>
          <cell r="B50" t="str">
            <v xml:space="preserve">    나) TALK-BACK설비</v>
          </cell>
        </row>
        <row r="51">
          <cell r="A51">
            <v>54</v>
          </cell>
          <cell r="B51" t="str">
            <v xml:space="preserve"> 토크백모장치신설</v>
          </cell>
          <cell r="C51" t="str">
            <v>6회로</v>
          </cell>
          <cell r="D51" t="str">
            <v>대</v>
          </cell>
        </row>
        <row r="52">
          <cell r="A52">
            <v>55</v>
          </cell>
          <cell r="B52" t="str">
            <v xml:space="preserve"> 토크백모장치신설</v>
          </cell>
          <cell r="C52" t="str">
            <v>12회로</v>
          </cell>
          <cell r="D52" t="str">
            <v>대</v>
          </cell>
        </row>
        <row r="53">
          <cell r="A53">
            <v>56</v>
          </cell>
          <cell r="B53" t="str">
            <v xml:space="preserve"> 토크백모장치신설</v>
          </cell>
          <cell r="C53" t="str">
            <v>18회로</v>
          </cell>
          <cell r="D53" t="str">
            <v>대</v>
          </cell>
        </row>
        <row r="54">
          <cell r="A54">
            <v>57</v>
          </cell>
          <cell r="B54" t="str">
            <v xml:space="preserve"> 토크백모장치신설</v>
          </cell>
          <cell r="C54" t="str">
            <v>24회로</v>
          </cell>
          <cell r="D54" t="str">
            <v>대</v>
          </cell>
        </row>
        <row r="55">
          <cell r="A55">
            <v>58</v>
          </cell>
          <cell r="B55" t="str">
            <v xml:space="preserve"> 토크백자장치신설</v>
          </cell>
          <cell r="C55" t="str">
            <v>기초대형(5W)</v>
          </cell>
          <cell r="D55" t="str">
            <v>대</v>
          </cell>
        </row>
        <row r="56">
          <cell r="A56">
            <v>59</v>
          </cell>
          <cell r="B56" t="str">
            <v xml:space="preserve"> 토크백자장치신설</v>
          </cell>
          <cell r="C56" t="str">
            <v>탁상형(3W)</v>
          </cell>
          <cell r="D56" t="str">
            <v>대</v>
          </cell>
        </row>
        <row r="57">
          <cell r="A57">
            <v>60</v>
          </cell>
          <cell r="B57" t="str">
            <v xml:space="preserve"> 옥외제어케이블신설</v>
          </cell>
          <cell r="C57" t="str">
            <v>CTC 2P</v>
          </cell>
          <cell r="D57" t="str">
            <v>m</v>
          </cell>
        </row>
        <row r="58">
          <cell r="A58">
            <v>61</v>
          </cell>
          <cell r="B58" t="str">
            <v xml:space="preserve"> 토크백자장치 접지신설</v>
          </cell>
          <cell r="C58" t="str">
            <v>50Ω(대지비저항100Ω)</v>
          </cell>
          <cell r="D58" t="str">
            <v>개소</v>
          </cell>
        </row>
        <row r="59">
          <cell r="A59">
            <v>62</v>
          </cell>
          <cell r="B59" t="str">
            <v xml:space="preserve"> 토크백자장치 접지신설</v>
          </cell>
          <cell r="C59" t="str">
            <v>50Ω(대지비저항200Ω)</v>
          </cell>
          <cell r="D59" t="str">
            <v>개소</v>
          </cell>
        </row>
        <row r="60">
          <cell r="A60">
            <v>63</v>
          </cell>
          <cell r="B60" t="str">
            <v xml:space="preserve"> 토크백자장치 접지신설</v>
          </cell>
          <cell r="C60" t="str">
            <v>50Ω(대지비저항300Ω)</v>
          </cell>
          <cell r="D60" t="str">
            <v>개소</v>
          </cell>
        </row>
        <row r="61">
          <cell r="A61">
            <v>64</v>
          </cell>
          <cell r="B61" t="str">
            <v xml:space="preserve"> 방송용AMP신설</v>
          </cell>
          <cell r="C61" t="str">
            <v>120W(Rack Type)</v>
          </cell>
          <cell r="D61" t="str">
            <v>대</v>
          </cell>
        </row>
        <row r="62">
          <cell r="A62">
            <v>65</v>
          </cell>
          <cell r="B62" t="str">
            <v xml:space="preserve"> 방송용고성기신설</v>
          </cell>
          <cell r="C62" t="str">
            <v>25W×2대(기초대형)</v>
          </cell>
          <cell r="D62" t="str">
            <v>식</v>
          </cell>
        </row>
        <row r="63">
          <cell r="A63">
            <v>66</v>
          </cell>
          <cell r="B63" t="str">
            <v xml:space="preserve"> 트라프뚜껑 열고닫기</v>
          </cell>
          <cell r="C63" t="str">
            <v>T-120</v>
          </cell>
          <cell r="D63" t="str">
            <v>m</v>
          </cell>
        </row>
        <row r="64">
          <cell r="A64">
            <v>67</v>
          </cell>
          <cell r="B64" t="str">
            <v xml:space="preserve"> 백관부설</v>
          </cell>
          <cell r="C64" t="str">
            <v>Φ100mm</v>
          </cell>
          <cell r="D64" t="str">
            <v>m</v>
          </cell>
        </row>
        <row r="65">
          <cell r="A65">
            <v>68</v>
          </cell>
          <cell r="B65" t="str">
            <v xml:space="preserve"> 토크백모장치 접지신설</v>
          </cell>
          <cell r="C65" t="str">
            <v>10Ω(대지비저항100Ω)</v>
          </cell>
          <cell r="D65" t="str">
            <v>개소</v>
          </cell>
        </row>
        <row r="66">
          <cell r="A66">
            <v>69</v>
          </cell>
          <cell r="B66" t="str">
            <v xml:space="preserve"> 토크백모장치 접지신설</v>
          </cell>
          <cell r="C66" t="str">
            <v>10Ω(대지비저항200Ω)</v>
          </cell>
          <cell r="D66" t="str">
            <v>개소</v>
          </cell>
        </row>
        <row r="67">
          <cell r="A67">
            <v>70</v>
          </cell>
          <cell r="B67" t="str">
            <v xml:space="preserve"> 토크백모장치 접지신설</v>
          </cell>
          <cell r="C67" t="str">
            <v>10Ω(대지비저항300Ω)</v>
          </cell>
          <cell r="D67" t="str">
            <v>개소</v>
          </cell>
        </row>
        <row r="68">
          <cell r="A68">
            <v>71</v>
          </cell>
          <cell r="B68" t="str">
            <v xml:space="preserve">    다) 사령전화설비</v>
          </cell>
        </row>
        <row r="69">
          <cell r="A69">
            <v>72</v>
          </cell>
          <cell r="B69" t="str">
            <v xml:space="preserve"> 사령전화기 자장치신설</v>
          </cell>
          <cell r="C69" t="str">
            <v>DTMF식</v>
          </cell>
          <cell r="D69" t="str">
            <v>대</v>
          </cell>
        </row>
        <row r="70">
          <cell r="A70">
            <v>73</v>
          </cell>
          <cell r="B70" t="str">
            <v xml:space="preserve"> 사령전화기 운용장치신설</v>
          </cell>
          <cell r="C70" t="str">
            <v>DTMF식</v>
          </cell>
          <cell r="D70" t="str">
            <v>대</v>
          </cell>
        </row>
        <row r="71">
          <cell r="A71">
            <v>74</v>
          </cell>
          <cell r="B71" t="str">
            <v xml:space="preserve">    라) 모사전송설비</v>
          </cell>
        </row>
        <row r="72">
          <cell r="A72">
            <v>75</v>
          </cell>
          <cell r="B72" t="str">
            <v xml:space="preserve"> 모사전송장치신설</v>
          </cell>
          <cell r="C72" t="str">
            <v>GⅢ급</v>
          </cell>
          <cell r="D72" t="str">
            <v>대</v>
          </cell>
        </row>
        <row r="73">
          <cell r="A73">
            <v>76</v>
          </cell>
          <cell r="B73" t="str">
            <v xml:space="preserve"> 모사전송동보장치신설</v>
          </cell>
          <cell r="C73" t="str">
            <v>64회선용</v>
          </cell>
          <cell r="D73" t="str">
            <v>대</v>
          </cell>
        </row>
        <row r="74">
          <cell r="A74">
            <v>77</v>
          </cell>
          <cell r="B74" t="str">
            <v xml:space="preserve">    마) 직통전화설비</v>
          </cell>
        </row>
        <row r="75">
          <cell r="A75">
            <v>78</v>
          </cell>
          <cell r="B75" t="str">
            <v xml:space="preserve"> 직통전화기신설</v>
          </cell>
          <cell r="C75" t="str">
            <v>주파수식</v>
          </cell>
          <cell r="D75" t="str">
            <v>대</v>
          </cell>
        </row>
        <row r="76">
          <cell r="A76">
            <v>79</v>
          </cell>
          <cell r="B76" t="str">
            <v xml:space="preserve">    바) 사령원격        방송설비</v>
          </cell>
        </row>
        <row r="77">
          <cell r="A77">
            <v>80</v>
          </cell>
          <cell r="B77" t="str">
            <v xml:space="preserve"> 사령원격방송 주장치설치</v>
          </cell>
          <cell r="C77" t="str">
            <v>2회선용</v>
          </cell>
          <cell r="D77" t="str">
            <v>대</v>
          </cell>
        </row>
        <row r="78">
          <cell r="A78">
            <v>81</v>
          </cell>
          <cell r="B78" t="str">
            <v xml:space="preserve"> 사령원격방송모장치 설치(운용대포함)</v>
          </cell>
          <cell r="C78" t="str">
            <v>200회선용</v>
          </cell>
          <cell r="D78" t="str">
            <v>대</v>
          </cell>
        </row>
        <row r="79">
          <cell r="A79">
            <v>82</v>
          </cell>
          <cell r="B79" t="str">
            <v xml:space="preserve"> 사령원격방송 자장치설치</v>
          </cell>
          <cell r="C79" t="str">
            <v>자장치</v>
          </cell>
          <cell r="D79" t="str">
            <v>대</v>
          </cell>
        </row>
        <row r="80">
          <cell r="A80">
            <v>83</v>
          </cell>
          <cell r="B80" t="str">
            <v xml:space="preserve">    사) 이동화상설비</v>
          </cell>
        </row>
        <row r="81">
          <cell r="A81">
            <v>84</v>
          </cell>
          <cell r="B81" t="str">
            <v xml:space="preserve"> ENG CAMERA</v>
          </cell>
          <cell r="C81" t="str">
            <v>3CCD(렌즈및발전기,cable포함)</v>
          </cell>
          <cell r="D81" t="str">
            <v>SET</v>
          </cell>
        </row>
        <row r="82">
          <cell r="A82">
            <v>85</v>
          </cell>
          <cell r="B82" t="str">
            <v xml:space="preserve"> TRIPOO</v>
          </cell>
          <cell r="C82" t="str">
            <v>삼각대</v>
          </cell>
          <cell r="D82" t="str">
            <v>SET</v>
          </cell>
        </row>
        <row r="83">
          <cell r="A83">
            <v>86</v>
          </cell>
          <cell r="B83" t="str">
            <v xml:space="preserve"> 무선마이크</v>
          </cell>
          <cell r="C83" t="str">
            <v>중계용</v>
          </cell>
          <cell r="D83" t="str">
            <v>SET</v>
          </cell>
        </row>
        <row r="84">
          <cell r="A84">
            <v>87</v>
          </cell>
          <cell r="B84" t="str">
            <v xml:space="preserve"> 광송신기(OTX)</v>
          </cell>
          <cell r="C84" t="str">
            <v>이동화상전송용</v>
          </cell>
          <cell r="D84" t="str">
            <v>대</v>
          </cell>
        </row>
        <row r="85">
          <cell r="A85">
            <v>88</v>
          </cell>
          <cell r="B85" t="str">
            <v xml:space="preserve"> 광수신기(ORX)</v>
          </cell>
          <cell r="C85" t="str">
            <v>이동화상전송용</v>
          </cell>
          <cell r="D85" t="str">
            <v>대</v>
          </cell>
        </row>
        <row r="86">
          <cell r="A86">
            <v>89</v>
          </cell>
          <cell r="B86" t="str">
            <v xml:space="preserve"> V.D.A</v>
          </cell>
          <cell r="C86" t="str">
            <v>1 IN 3 OUT</v>
          </cell>
          <cell r="D86" t="str">
            <v>개</v>
          </cell>
        </row>
        <row r="87">
          <cell r="A87">
            <v>90</v>
          </cell>
          <cell r="B87" t="str">
            <v xml:space="preserve"> MONITOR</v>
          </cell>
          <cell r="C87" t="str">
            <v>10인치</v>
          </cell>
          <cell r="D87" t="str">
            <v>대</v>
          </cell>
        </row>
        <row r="88">
          <cell r="A88">
            <v>91</v>
          </cell>
          <cell r="B88" t="str">
            <v xml:space="preserve"> 이동형 RACK</v>
          </cell>
          <cell r="C88" t="str">
            <v>Special</v>
          </cell>
          <cell r="D88" t="str">
            <v>SET</v>
          </cell>
        </row>
        <row r="89">
          <cell r="A89">
            <v>92</v>
          </cell>
          <cell r="B89" t="str">
            <v xml:space="preserve"> 이동형 OFD</v>
          </cell>
          <cell r="C89" t="str">
            <v>1Core용</v>
          </cell>
          <cell r="D89" t="str">
            <v>개</v>
          </cell>
        </row>
        <row r="90">
          <cell r="A90">
            <v>93</v>
          </cell>
          <cell r="B90" t="str">
            <v xml:space="preserve">    아) 화상전송설비</v>
          </cell>
        </row>
        <row r="91">
          <cell r="A91">
            <v>94</v>
          </cell>
          <cell r="B91" t="str">
            <v xml:space="preserve"> Encoder신설</v>
          </cell>
          <cell r="C91" t="str">
            <v>4CH</v>
          </cell>
          <cell r="D91" t="str">
            <v>대</v>
          </cell>
        </row>
        <row r="92">
          <cell r="A92">
            <v>95</v>
          </cell>
          <cell r="B92" t="str">
            <v xml:space="preserve"> Decoder신설</v>
          </cell>
          <cell r="C92" t="str">
            <v>4CH</v>
          </cell>
          <cell r="D92" t="str">
            <v>대</v>
          </cell>
        </row>
        <row r="93">
          <cell r="A93">
            <v>96</v>
          </cell>
          <cell r="B93" t="str">
            <v xml:space="preserve"> 광송신기신설 (OTX)</v>
          </cell>
          <cell r="C93" t="str">
            <v>화상전송용</v>
          </cell>
          <cell r="D93" t="str">
            <v>대</v>
          </cell>
        </row>
        <row r="94">
          <cell r="A94">
            <v>97</v>
          </cell>
          <cell r="B94" t="str">
            <v xml:space="preserve"> 광수신기신설 (ORX)</v>
          </cell>
          <cell r="C94" t="str">
            <v>화상전송용</v>
          </cell>
          <cell r="D94" t="str">
            <v>대</v>
          </cell>
        </row>
        <row r="95">
          <cell r="A95">
            <v>98</v>
          </cell>
          <cell r="B95" t="str">
            <v xml:space="preserve"> 광중계기신설</v>
          </cell>
          <cell r="C95" t="str">
            <v>화상전송용</v>
          </cell>
          <cell r="D95" t="str">
            <v>대</v>
          </cell>
        </row>
        <row r="96">
          <cell r="A96">
            <v>99</v>
          </cell>
          <cell r="B96" t="str">
            <v xml:space="preserve"> NMS소프트웨어</v>
          </cell>
          <cell r="C96" t="str">
            <v>화상전송용</v>
          </cell>
          <cell r="D96" t="str">
            <v>식</v>
          </cell>
        </row>
        <row r="97">
          <cell r="A97">
            <v>100</v>
          </cell>
          <cell r="B97" t="str">
            <v xml:space="preserve"> 통신실감시용 광송신기신설</v>
          </cell>
          <cell r="C97" t="str">
            <v>화상전송용</v>
          </cell>
          <cell r="D97" t="str">
            <v>대</v>
          </cell>
        </row>
        <row r="98">
          <cell r="A98">
            <v>101</v>
          </cell>
          <cell r="B98" t="str">
            <v>45. 무선장치</v>
          </cell>
        </row>
        <row r="99">
          <cell r="A99">
            <v>102</v>
          </cell>
          <cell r="B99" t="str">
            <v xml:space="preserve">    가) 역용열차무선설비</v>
          </cell>
        </row>
        <row r="100">
          <cell r="A100">
            <v>103</v>
          </cell>
          <cell r="B100" t="str">
            <v xml:space="preserve"> 열차무선원격 조정반신설</v>
          </cell>
          <cell r="C100" t="str">
            <v>열차무선용</v>
          </cell>
          <cell r="D100" t="str">
            <v>대</v>
          </cell>
        </row>
        <row r="101">
          <cell r="A101">
            <v>104</v>
          </cell>
          <cell r="B101" t="str">
            <v xml:space="preserve"> 열차무선 송,수신기신설</v>
          </cell>
          <cell r="C101" t="str">
            <v>15W 역용(유무선결합기포함)</v>
          </cell>
          <cell r="D101" t="str">
            <v>대</v>
          </cell>
        </row>
        <row r="102">
          <cell r="A102">
            <v>105</v>
          </cell>
          <cell r="B102" t="str">
            <v xml:space="preserve"> 열차무선 수신기신설</v>
          </cell>
          <cell r="C102" t="str">
            <v>감청용</v>
          </cell>
          <cell r="D102" t="str">
            <v>대</v>
          </cell>
        </row>
        <row r="103">
          <cell r="A103">
            <v>106</v>
          </cell>
          <cell r="B103" t="str">
            <v xml:space="preserve"> 열차무선 안테나신설</v>
          </cell>
          <cell r="C103" t="str">
            <v>다이폴1호</v>
          </cell>
          <cell r="D103" t="str">
            <v>기</v>
          </cell>
        </row>
        <row r="104">
          <cell r="A104">
            <v>107</v>
          </cell>
          <cell r="B104" t="str">
            <v xml:space="preserve"> 열차무선 안테나신설</v>
          </cell>
          <cell r="C104" t="str">
            <v>다이폴2호</v>
          </cell>
          <cell r="D104" t="str">
            <v>기</v>
          </cell>
        </row>
        <row r="105">
          <cell r="A105">
            <v>108</v>
          </cell>
          <cell r="B105" t="str">
            <v xml:space="preserve"> 열차무선전원 장치함신설</v>
          </cell>
          <cell r="C105" t="str">
            <v>12V 10A(RT, BATT 포함)</v>
          </cell>
          <cell r="D105" t="str">
            <v>대</v>
          </cell>
        </row>
        <row r="106">
          <cell r="A106">
            <v>109</v>
          </cell>
          <cell r="B106" t="str">
            <v xml:space="preserve"> 급전선신설</v>
          </cell>
          <cell r="C106" t="str">
            <v>RG-8U</v>
          </cell>
          <cell r="D106" t="str">
            <v>m</v>
          </cell>
        </row>
        <row r="107">
          <cell r="A107">
            <v>110</v>
          </cell>
          <cell r="B107" t="str">
            <v xml:space="preserve"> 열차무선송수신기 및철탑접지신설</v>
          </cell>
          <cell r="C107" t="str">
            <v>20Ω(대지비저항100Ω)</v>
          </cell>
          <cell r="D107" t="str">
            <v>개소</v>
          </cell>
        </row>
        <row r="108">
          <cell r="A108">
            <v>111</v>
          </cell>
          <cell r="B108" t="str">
            <v xml:space="preserve"> 열차무선송수신기 및철탑접지신설</v>
          </cell>
          <cell r="C108" t="str">
            <v>20Ω(대지비저항200Ω)</v>
          </cell>
          <cell r="D108" t="str">
            <v>개소</v>
          </cell>
        </row>
        <row r="109">
          <cell r="A109">
            <v>112</v>
          </cell>
          <cell r="B109" t="str">
            <v xml:space="preserve"> 열차무선송수신기 및철탑접지신설</v>
          </cell>
          <cell r="C109" t="str">
            <v>20Ω(대지비저항300Ω)</v>
          </cell>
          <cell r="D109" t="str">
            <v>개소</v>
          </cell>
        </row>
        <row r="110">
          <cell r="A110">
            <v>113</v>
          </cell>
          <cell r="B110" t="str">
            <v xml:space="preserve"> 사령실Master Control장비신설</v>
          </cell>
          <cell r="C110" t="str">
            <v>10회선용</v>
          </cell>
          <cell r="D110" t="str">
            <v>식</v>
          </cell>
        </row>
        <row r="111">
          <cell r="A111">
            <v>114</v>
          </cell>
          <cell r="B111" t="str">
            <v xml:space="preserve"> 사령실원격 제어장치신설</v>
          </cell>
          <cell r="C111" t="str">
            <v>10회선용</v>
          </cell>
          <cell r="D111" t="str">
            <v>식</v>
          </cell>
        </row>
        <row r="112">
          <cell r="A112">
            <v>115</v>
          </cell>
          <cell r="B112" t="str">
            <v>45. 역무자동장치</v>
          </cell>
        </row>
        <row r="113">
          <cell r="A113">
            <v>116</v>
          </cell>
          <cell r="B113" t="str">
            <v xml:space="preserve"> 자동개,집표기신설</v>
          </cell>
          <cell r="C113" t="str">
            <v>FLAP</v>
          </cell>
          <cell r="D113" t="str">
            <v>대</v>
          </cell>
        </row>
        <row r="114">
          <cell r="A114">
            <v>117</v>
          </cell>
          <cell r="B114" t="str">
            <v xml:space="preserve"> 자동발매기신설</v>
          </cell>
          <cell r="C114" t="str">
            <v>POM(보통권)</v>
          </cell>
          <cell r="D114" t="str">
            <v>대</v>
          </cell>
        </row>
        <row r="115">
          <cell r="A115">
            <v>118</v>
          </cell>
          <cell r="B115" t="str">
            <v xml:space="preserve"> 자동발권기신설</v>
          </cell>
          <cell r="C115" t="str">
            <v>TOM</v>
          </cell>
          <cell r="D115" t="str">
            <v>대</v>
          </cell>
        </row>
        <row r="116">
          <cell r="A116">
            <v>119</v>
          </cell>
          <cell r="B116" t="str">
            <v xml:space="preserve"> 자동판독기신설</v>
          </cell>
          <cell r="D116" t="str">
            <v>대</v>
          </cell>
        </row>
        <row r="117">
          <cell r="A117">
            <v>120</v>
          </cell>
          <cell r="B117" t="str">
            <v xml:space="preserve"> 중앙전산기신설 (OWS,MWS,FSP포함)</v>
          </cell>
          <cell r="C117" t="str">
            <v>MFC</v>
          </cell>
          <cell r="D117" t="str">
            <v>식</v>
          </cell>
        </row>
        <row r="118">
          <cell r="A118">
            <v>121</v>
          </cell>
          <cell r="B118" t="str">
            <v xml:space="preserve"> 역단위전산기신설</v>
          </cell>
          <cell r="C118" t="str">
            <v>SACU</v>
          </cell>
          <cell r="D118" t="str">
            <v>식</v>
          </cell>
        </row>
        <row r="119">
          <cell r="A119">
            <v>122</v>
          </cell>
          <cell r="B119" t="str">
            <v xml:space="preserve"> 운용자용전산기신설</v>
          </cell>
          <cell r="C119" t="str">
            <v>OWS</v>
          </cell>
          <cell r="D119" t="str">
            <v>식</v>
          </cell>
        </row>
        <row r="120">
          <cell r="A120">
            <v>123</v>
          </cell>
          <cell r="B120" t="str">
            <v xml:space="preserve"> 유지보수용전산기신설</v>
          </cell>
          <cell r="C120" t="str">
            <v>LMWS</v>
          </cell>
          <cell r="D120" t="str">
            <v>식</v>
          </cell>
        </row>
        <row r="121">
          <cell r="A121">
            <v>124</v>
          </cell>
          <cell r="B121" t="str">
            <v xml:space="preserve"> Test-Bench및 시험장비</v>
          </cell>
          <cell r="C121" t="str">
            <v>교육및시험용</v>
          </cell>
          <cell r="D121" t="str">
            <v>식</v>
          </cell>
        </row>
        <row r="122">
          <cell r="A122">
            <v>125</v>
          </cell>
          <cell r="B122" t="str">
            <v xml:space="preserve"> UPS설치</v>
          </cell>
          <cell r="C122" t="str">
            <v>10KVA</v>
          </cell>
          <cell r="D122" t="str">
            <v>대</v>
          </cell>
        </row>
        <row r="123">
          <cell r="A123">
            <v>126</v>
          </cell>
          <cell r="B123" t="str">
            <v xml:space="preserve"> 항온항습기설치</v>
          </cell>
          <cell r="C123" t="str">
            <v>5HP</v>
          </cell>
          <cell r="D123" t="str">
            <v>대</v>
          </cell>
        </row>
        <row r="124">
          <cell r="A124">
            <v>127</v>
          </cell>
          <cell r="B124" t="str">
            <v xml:space="preserve"> 역무자동화 접지신설</v>
          </cell>
          <cell r="C124" t="str">
            <v>10Ω(대지비저항100Ω)</v>
          </cell>
          <cell r="D124" t="str">
            <v>개소</v>
          </cell>
        </row>
        <row r="125">
          <cell r="A125">
            <v>128</v>
          </cell>
          <cell r="B125" t="str">
            <v xml:space="preserve"> 역무자동화 접지신설</v>
          </cell>
          <cell r="C125" t="str">
            <v>10Ω(대지비저항200Ω)</v>
          </cell>
          <cell r="D125" t="str">
            <v>개소</v>
          </cell>
        </row>
        <row r="126">
          <cell r="A126">
            <v>129</v>
          </cell>
          <cell r="B126" t="str">
            <v xml:space="preserve"> 역무자동화 접지신설</v>
          </cell>
          <cell r="C126" t="str">
            <v>10Ω(대지비저항300Ω)</v>
          </cell>
          <cell r="D126" t="str">
            <v>개소</v>
          </cell>
        </row>
        <row r="127">
          <cell r="A127">
            <v>130</v>
          </cell>
          <cell r="B127" t="str">
            <v xml:space="preserve"> 이동형카메라신설</v>
          </cell>
          <cell r="C127" t="str">
            <v>2LUX</v>
          </cell>
          <cell r="D127" t="str">
            <v>대</v>
          </cell>
        </row>
        <row r="128">
          <cell r="A128">
            <v>131</v>
          </cell>
          <cell r="B128" t="str">
            <v xml:space="preserve"> AUTO IRIS LENS</v>
          </cell>
          <cell r="C128" t="str">
            <v>8mm</v>
          </cell>
          <cell r="D128" t="str">
            <v>대</v>
          </cell>
        </row>
        <row r="129">
          <cell r="A129">
            <v>132</v>
          </cell>
          <cell r="B129" t="str">
            <v xml:space="preserve"> 사령실화상전송 CONSOLE신설</v>
          </cell>
          <cell r="C129" t="str">
            <v>화상전송용</v>
          </cell>
          <cell r="D129" t="str">
            <v>식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"/>
      <sheetName val="BASIC (2)"/>
      <sheetName val="수량집계"/>
      <sheetName val="수량집계(2)"/>
      <sheetName val="수량산출"/>
      <sheetName val="수량산출 (2)"/>
      <sheetName val="철거수량"/>
      <sheetName val="철거발생"/>
      <sheetName val="piece"/>
      <sheetName val="piece (2)"/>
      <sheetName val="전차선로 물량표"/>
      <sheetName val="총괄표"/>
      <sheetName val="일위산출근거"/>
      <sheetName val="간선계산"/>
      <sheetName val="단면 (2)"/>
      <sheetName val="교각1"/>
      <sheetName val="I一般比"/>
      <sheetName val="N賃率-職"/>
    </sheetNames>
    <sheetDataSet>
      <sheetData sheetId="0"/>
      <sheetData sheetId="1" refreshError="1">
        <row r="1">
          <cell r="A1">
            <v>1</v>
          </cell>
          <cell r="B1" t="str">
            <v>42. 전신및전화장치</v>
          </cell>
        </row>
        <row r="2">
          <cell r="A2">
            <v>2</v>
          </cell>
          <cell r="B2" t="str">
            <v xml:space="preserve">    가) 전송설비</v>
          </cell>
        </row>
        <row r="3">
          <cell r="A3">
            <v>3</v>
          </cell>
          <cell r="B3" t="str">
            <v xml:space="preserve"> 광가입자장치신설</v>
          </cell>
          <cell r="C3" t="str">
            <v>FLC-B TYPE(정류기,BATT포함)</v>
          </cell>
          <cell r="D3" t="str">
            <v>대</v>
          </cell>
        </row>
        <row r="4">
          <cell r="A4">
            <v>4</v>
          </cell>
          <cell r="B4" t="str">
            <v xml:space="preserve"> MDF 신설</v>
          </cell>
          <cell r="C4" t="str">
            <v>600P D형</v>
          </cell>
          <cell r="D4" t="str">
            <v>대</v>
          </cell>
        </row>
        <row r="5">
          <cell r="A5">
            <v>5</v>
          </cell>
          <cell r="B5" t="str">
            <v xml:space="preserve"> OFD 신설</v>
          </cell>
          <cell r="C5" t="str">
            <v>72core</v>
          </cell>
          <cell r="D5" t="str">
            <v>대</v>
          </cell>
        </row>
        <row r="6">
          <cell r="A6">
            <v>6</v>
          </cell>
          <cell r="B6" t="str">
            <v xml:space="preserve"> 써지보호기설치</v>
          </cell>
          <cell r="C6" t="str">
            <v>전원용</v>
          </cell>
          <cell r="D6" t="str">
            <v>개</v>
          </cell>
        </row>
        <row r="7">
          <cell r="A7">
            <v>7</v>
          </cell>
          <cell r="B7" t="str">
            <v xml:space="preserve"> 써지보호기설치</v>
          </cell>
          <cell r="C7" t="str">
            <v>데이타용</v>
          </cell>
          <cell r="D7" t="str">
            <v>개</v>
          </cell>
        </row>
        <row r="8">
          <cell r="A8">
            <v>8</v>
          </cell>
          <cell r="B8" t="str">
            <v xml:space="preserve"> 자동전화기신설</v>
          </cell>
          <cell r="C8" t="str">
            <v>MFC</v>
          </cell>
          <cell r="D8" t="str">
            <v>대</v>
          </cell>
        </row>
        <row r="9">
          <cell r="A9">
            <v>9</v>
          </cell>
          <cell r="B9" t="str">
            <v xml:space="preserve"> NMS 장비신설</v>
          </cell>
          <cell r="C9" t="str">
            <v>FLC, EMS</v>
          </cell>
          <cell r="D9" t="str">
            <v>대</v>
          </cell>
        </row>
        <row r="10">
          <cell r="A10">
            <v>10</v>
          </cell>
          <cell r="B10" t="str">
            <v xml:space="preserve"> 교환기신설</v>
          </cell>
          <cell r="C10" t="str">
            <v>300회선(정류기,축전지,유지보수장비포함)</v>
          </cell>
          <cell r="D10" t="str">
            <v>식</v>
          </cell>
        </row>
        <row r="11">
          <cell r="A11">
            <v>11</v>
          </cell>
          <cell r="B11" t="str">
            <v xml:space="preserve"> 케이블트레이신설</v>
          </cell>
          <cell r="C11" t="str">
            <v>W : 300</v>
          </cell>
          <cell r="D11" t="str">
            <v>m</v>
          </cell>
        </row>
        <row r="12">
          <cell r="A12">
            <v>12</v>
          </cell>
          <cell r="B12" t="str">
            <v xml:space="preserve"> 벽체구멍뚫기</v>
          </cell>
          <cell r="C12" t="str">
            <v>350×150</v>
          </cell>
          <cell r="D12" t="str">
            <v>개소</v>
          </cell>
        </row>
        <row r="13">
          <cell r="A13">
            <v>13</v>
          </cell>
          <cell r="B13" t="str">
            <v xml:space="preserve"> 다중화장치신설</v>
          </cell>
          <cell r="C13" t="str">
            <v>P-MUX</v>
          </cell>
          <cell r="D13" t="str">
            <v>대</v>
          </cell>
        </row>
        <row r="14">
          <cell r="A14">
            <v>14</v>
          </cell>
          <cell r="B14" t="str">
            <v xml:space="preserve"> OFD 설치</v>
          </cell>
          <cell r="C14" t="str">
            <v>12core</v>
          </cell>
          <cell r="D14" t="str">
            <v>대</v>
          </cell>
        </row>
        <row r="15">
          <cell r="A15">
            <v>15</v>
          </cell>
          <cell r="B15" t="str">
            <v xml:space="preserve"> 광가입자 전원장치신설</v>
          </cell>
          <cell r="C15" t="str">
            <v>정류기 48V 50A(BATT 포함)</v>
          </cell>
          <cell r="D15" t="str">
            <v>대</v>
          </cell>
        </row>
        <row r="16">
          <cell r="A16">
            <v>16</v>
          </cell>
          <cell r="B16" t="str">
            <v xml:space="preserve"> 항온항습기신설</v>
          </cell>
          <cell r="C16" t="str">
            <v>5HP</v>
          </cell>
          <cell r="D16" t="str">
            <v>대</v>
          </cell>
        </row>
        <row r="17">
          <cell r="A17">
            <v>17</v>
          </cell>
          <cell r="B17" t="str">
            <v xml:space="preserve"> 국내케이블 포설,포박</v>
          </cell>
          <cell r="C17" t="str">
            <v>100Ⅱ</v>
          </cell>
          <cell r="D17" t="str">
            <v>m</v>
          </cell>
        </row>
        <row r="18">
          <cell r="A18">
            <v>18</v>
          </cell>
          <cell r="B18" t="str">
            <v xml:space="preserve"> PCM 국내케이블 포설포박</v>
          </cell>
          <cell r="C18" t="str">
            <v>6P×1조</v>
          </cell>
          <cell r="D18" t="str">
            <v>m</v>
          </cell>
        </row>
        <row r="19">
          <cell r="A19">
            <v>19</v>
          </cell>
          <cell r="B19" t="str">
            <v xml:space="preserve"> 심선성단및수용</v>
          </cell>
          <cell r="C19" t="str">
            <v>단자</v>
          </cell>
          <cell r="D19" t="str">
            <v>단자</v>
          </cell>
        </row>
        <row r="20">
          <cell r="A20">
            <v>20</v>
          </cell>
          <cell r="B20" t="str">
            <v xml:space="preserve"> 전원케이블신설</v>
          </cell>
          <cell r="C20" t="str">
            <v>CV 2C/22㎟</v>
          </cell>
          <cell r="D20" t="str">
            <v>m</v>
          </cell>
        </row>
        <row r="21">
          <cell r="A21">
            <v>21</v>
          </cell>
          <cell r="B21" t="str">
            <v xml:space="preserve"> 전원케이블신설</v>
          </cell>
          <cell r="C21" t="str">
            <v>CV 2C/5.5㎟</v>
          </cell>
          <cell r="D21" t="str">
            <v>m</v>
          </cell>
        </row>
        <row r="22">
          <cell r="A22">
            <v>22</v>
          </cell>
          <cell r="B22" t="str">
            <v xml:space="preserve"> 접지선신설</v>
          </cell>
          <cell r="C22" t="str">
            <v>GV 14㎟</v>
          </cell>
          <cell r="D22" t="str">
            <v>m</v>
          </cell>
        </row>
        <row r="23">
          <cell r="A23">
            <v>23</v>
          </cell>
          <cell r="B23" t="str">
            <v xml:space="preserve"> 접지선신설</v>
          </cell>
          <cell r="C23" t="str">
            <v>GV 22㎟</v>
          </cell>
          <cell r="D23" t="str">
            <v>m</v>
          </cell>
        </row>
        <row r="24">
          <cell r="A24">
            <v>24</v>
          </cell>
          <cell r="B24" t="str">
            <v xml:space="preserve"> 에어콘신설</v>
          </cell>
          <cell r="C24" t="str">
            <v>10평형</v>
          </cell>
          <cell r="D24" t="str">
            <v>대</v>
          </cell>
        </row>
        <row r="25">
          <cell r="A25">
            <v>25</v>
          </cell>
          <cell r="B25" t="str">
            <v xml:space="preserve"> 전원케이블 단말처리</v>
          </cell>
          <cell r="C25" t="str">
            <v>22㎟</v>
          </cell>
          <cell r="D25" t="str">
            <v>개소</v>
          </cell>
        </row>
        <row r="26">
          <cell r="A26">
            <v>26</v>
          </cell>
          <cell r="B26" t="str">
            <v xml:space="preserve"> 디지틀회선 분배장치신설(DOTS 포함)</v>
          </cell>
          <cell r="C26" t="str">
            <v>DCS -ISX</v>
          </cell>
          <cell r="D26" t="str">
            <v>대</v>
          </cell>
        </row>
        <row r="27">
          <cell r="A27">
            <v>27</v>
          </cell>
          <cell r="B27" t="str">
            <v xml:space="preserve"> 광가입자 설비용접지신설</v>
          </cell>
          <cell r="C27" t="str">
            <v>10Ω(대지비저항100Ω)</v>
          </cell>
          <cell r="D27" t="str">
            <v>개소</v>
          </cell>
        </row>
        <row r="28">
          <cell r="A28">
            <v>28</v>
          </cell>
          <cell r="B28" t="str">
            <v xml:space="preserve"> 광가입자 설비용접지신설</v>
          </cell>
          <cell r="C28" t="str">
            <v>10Ω(대지비저항200Ω)</v>
          </cell>
          <cell r="D28" t="str">
            <v>개소</v>
          </cell>
        </row>
        <row r="29">
          <cell r="A29">
            <v>29</v>
          </cell>
          <cell r="B29" t="str">
            <v xml:space="preserve"> 광가입자 설비용접지신설</v>
          </cell>
          <cell r="C29" t="str">
            <v>10Ω(대지비저항300Ω)</v>
          </cell>
          <cell r="D29" t="str">
            <v>개소</v>
          </cell>
        </row>
        <row r="30">
          <cell r="A30">
            <v>30</v>
          </cell>
          <cell r="B30" t="str">
            <v xml:space="preserve"> MDF접지신설</v>
          </cell>
          <cell r="C30" t="str">
            <v>10Ω(대지비저항100Ω)</v>
          </cell>
          <cell r="D30" t="str">
            <v>개소</v>
          </cell>
        </row>
        <row r="31">
          <cell r="A31">
            <v>31</v>
          </cell>
          <cell r="B31" t="str">
            <v xml:space="preserve"> MDF접지신설</v>
          </cell>
          <cell r="C31" t="str">
            <v>10Ω(대지비저항200Ω)</v>
          </cell>
          <cell r="D31" t="str">
            <v>개소</v>
          </cell>
        </row>
        <row r="32">
          <cell r="A32">
            <v>32</v>
          </cell>
          <cell r="B32" t="str">
            <v xml:space="preserve"> MDF접지신설</v>
          </cell>
          <cell r="C32" t="str">
            <v>10Ω(대지비저항300Ω)</v>
          </cell>
          <cell r="D32" t="str">
            <v>개소</v>
          </cell>
        </row>
        <row r="33">
          <cell r="A33">
            <v>36</v>
          </cell>
          <cell r="B33" t="str">
            <v xml:space="preserve"> 교환기접지신설</v>
          </cell>
          <cell r="C33" t="str">
            <v>10Ω(대지비저항100Ω)</v>
          </cell>
          <cell r="D33" t="str">
            <v>개소</v>
          </cell>
        </row>
        <row r="34">
          <cell r="A34">
            <v>37</v>
          </cell>
          <cell r="B34" t="str">
            <v xml:space="preserve"> 교환기접지신설</v>
          </cell>
          <cell r="C34" t="str">
            <v>10Ω(대지비저항200Ω)</v>
          </cell>
          <cell r="D34" t="str">
            <v>개소</v>
          </cell>
        </row>
        <row r="35">
          <cell r="A35">
            <v>38</v>
          </cell>
          <cell r="B35" t="str">
            <v xml:space="preserve"> 기기외함접지신설</v>
          </cell>
          <cell r="C35" t="str">
            <v>50Ω(대지비저항100Ω)</v>
          </cell>
          <cell r="D35" t="str">
            <v>개소</v>
          </cell>
        </row>
        <row r="36">
          <cell r="A36">
            <v>39</v>
          </cell>
          <cell r="B36" t="str">
            <v xml:space="preserve"> 기기외함접지신설</v>
          </cell>
          <cell r="C36" t="str">
            <v>50Ω(대지비저항200Ω)</v>
          </cell>
          <cell r="D36" t="str">
            <v>개소</v>
          </cell>
        </row>
        <row r="37">
          <cell r="A37">
            <v>40</v>
          </cell>
          <cell r="B37" t="str">
            <v xml:space="preserve"> 기기외함접지신설</v>
          </cell>
          <cell r="C37" t="str">
            <v>50Ω(대지비저항300Ω)</v>
          </cell>
          <cell r="D37" t="str">
            <v>개소</v>
          </cell>
        </row>
        <row r="38">
          <cell r="A38">
            <v>41</v>
          </cell>
          <cell r="B38" t="str">
            <v xml:space="preserve"> 가입자보안 접지신설</v>
          </cell>
          <cell r="C38" t="str">
            <v>50Ω(대지비저항100Ω)</v>
          </cell>
          <cell r="D38" t="str">
            <v>개소</v>
          </cell>
        </row>
        <row r="39">
          <cell r="A39">
            <v>42</v>
          </cell>
          <cell r="B39" t="str">
            <v xml:space="preserve"> 가입자보안 접지신설</v>
          </cell>
          <cell r="C39" t="str">
            <v>50Ω(대지비저항200Ω)</v>
          </cell>
          <cell r="D39" t="str">
            <v>개소</v>
          </cell>
        </row>
        <row r="40">
          <cell r="A40">
            <v>43</v>
          </cell>
          <cell r="B40" t="str">
            <v xml:space="preserve"> 가입자보안 접지신설</v>
          </cell>
          <cell r="C40" t="str">
            <v>50Ω(대지비저항300Ω)</v>
          </cell>
          <cell r="D40" t="str">
            <v>개소</v>
          </cell>
        </row>
        <row r="41">
          <cell r="A41">
            <v>44</v>
          </cell>
          <cell r="B41" t="str">
            <v xml:space="preserve"> 케이블DUCT신설</v>
          </cell>
          <cell r="C41" t="str">
            <v>W300×H100×2.0t</v>
          </cell>
          <cell r="D41" t="str">
            <v>m</v>
          </cell>
        </row>
        <row r="42">
          <cell r="A42">
            <v>45</v>
          </cell>
          <cell r="B42" t="str">
            <v xml:space="preserve"> 교환기중계선 카드설치</v>
          </cell>
          <cell r="C42" t="str">
            <v>E1 DTI</v>
          </cell>
          <cell r="D42" t="str">
            <v>매</v>
          </cell>
        </row>
        <row r="43">
          <cell r="A43">
            <v>46</v>
          </cell>
          <cell r="B43" t="str">
            <v xml:space="preserve"> 교환기내선 카드설치</v>
          </cell>
          <cell r="C43" t="str">
            <v>500L/C</v>
          </cell>
          <cell r="D43" t="str">
            <v>매</v>
          </cell>
        </row>
        <row r="44">
          <cell r="A44">
            <v>47</v>
          </cell>
          <cell r="B44" t="str">
            <v xml:space="preserve"> 광섬유접속손실 측정기(OTDR)</v>
          </cell>
          <cell r="D44" t="str">
            <v>대</v>
          </cell>
        </row>
        <row r="45">
          <cell r="A45">
            <v>48</v>
          </cell>
          <cell r="B45" t="str">
            <v xml:space="preserve"> 광섬유융착접속기</v>
          </cell>
          <cell r="D45" t="str">
            <v>대</v>
          </cell>
        </row>
        <row r="46">
          <cell r="A46">
            <v>49</v>
          </cell>
          <cell r="B46" t="str">
            <v xml:space="preserve"> 광멀티메타</v>
          </cell>
          <cell r="D46" t="str">
            <v>대</v>
          </cell>
        </row>
        <row r="47">
          <cell r="A47">
            <v>50</v>
          </cell>
          <cell r="B47" t="str">
            <v xml:space="preserve"> 대역폭측정기</v>
          </cell>
          <cell r="D47" t="str">
            <v>대</v>
          </cell>
        </row>
        <row r="48">
          <cell r="A48">
            <v>51</v>
          </cell>
          <cell r="B48" t="str">
            <v xml:space="preserve"> 광가변감쇄기</v>
          </cell>
          <cell r="D48" t="str">
            <v>대</v>
          </cell>
        </row>
        <row r="49">
          <cell r="A49">
            <v>52</v>
          </cell>
          <cell r="B49" t="str">
            <v xml:space="preserve"> SDH/PDH분석기</v>
          </cell>
          <cell r="D49" t="str">
            <v>대</v>
          </cell>
        </row>
        <row r="50">
          <cell r="A50">
            <v>53</v>
          </cell>
          <cell r="B50" t="str">
            <v xml:space="preserve">    나) TALK-BACK설비</v>
          </cell>
        </row>
        <row r="51">
          <cell r="A51">
            <v>54</v>
          </cell>
          <cell r="B51" t="str">
            <v xml:space="preserve"> 토크백모장치신설</v>
          </cell>
          <cell r="C51" t="str">
            <v>6회로</v>
          </cell>
          <cell r="D51" t="str">
            <v>대</v>
          </cell>
        </row>
        <row r="52">
          <cell r="A52">
            <v>55</v>
          </cell>
          <cell r="B52" t="str">
            <v xml:space="preserve"> 토크백모장치신설</v>
          </cell>
          <cell r="C52" t="str">
            <v>12회로</v>
          </cell>
          <cell r="D52" t="str">
            <v>대</v>
          </cell>
        </row>
        <row r="53">
          <cell r="A53">
            <v>56</v>
          </cell>
          <cell r="B53" t="str">
            <v xml:space="preserve"> 토크백모장치신설</v>
          </cell>
          <cell r="C53" t="str">
            <v>18회로</v>
          </cell>
          <cell r="D53" t="str">
            <v>대</v>
          </cell>
        </row>
        <row r="54">
          <cell r="A54">
            <v>57</v>
          </cell>
          <cell r="B54" t="str">
            <v xml:space="preserve"> 토크백모장치신설</v>
          </cell>
          <cell r="C54" t="str">
            <v>24회로</v>
          </cell>
          <cell r="D54" t="str">
            <v>대</v>
          </cell>
        </row>
        <row r="55">
          <cell r="A55">
            <v>58</v>
          </cell>
          <cell r="B55" t="str">
            <v xml:space="preserve"> 토크백자장치신설</v>
          </cell>
          <cell r="C55" t="str">
            <v>기초대형(5W)</v>
          </cell>
          <cell r="D55" t="str">
            <v>대</v>
          </cell>
        </row>
        <row r="56">
          <cell r="A56">
            <v>59</v>
          </cell>
          <cell r="B56" t="str">
            <v xml:space="preserve"> 토크백자장치신설</v>
          </cell>
          <cell r="C56" t="str">
            <v>탁상형(3W)</v>
          </cell>
          <cell r="D56" t="str">
            <v>대</v>
          </cell>
        </row>
        <row r="57">
          <cell r="A57">
            <v>60</v>
          </cell>
          <cell r="B57" t="str">
            <v xml:space="preserve"> 옥외제어케이블신설</v>
          </cell>
          <cell r="C57" t="str">
            <v>CTC 2P</v>
          </cell>
          <cell r="D57" t="str">
            <v>m</v>
          </cell>
        </row>
        <row r="58">
          <cell r="A58">
            <v>61</v>
          </cell>
          <cell r="B58" t="str">
            <v xml:space="preserve"> 토크백자장치 접지신설</v>
          </cell>
          <cell r="C58" t="str">
            <v>50Ω(대지비저항100Ω)</v>
          </cell>
          <cell r="D58" t="str">
            <v>개소</v>
          </cell>
        </row>
        <row r="59">
          <cell r="A59">
            <v>62</v>
          </cell>
          <cell r="B59" t="str">
            <v xml:space="preserve"> 토크백자장치 접지신설</v>
          </cell>
          <cell r="C59" t="str">
            <v>50Ω(대지비저항200Ω)</v>
          </cell>
          <cell r="D59" t="str">
            <v>개소</v>
          </cell>
        </row>
        <row r="60">
          <cell r="A60">
            <v>63</v>
          </cell>
          <cell r="B60" t="str">
            <v xml:space="preserve"> 토크백자장치 접지신설</v>
          </cell>
          <cell r="C60" t="str">
            <v>50Ω(대지비저항300Ω)</v>
          </cell>
          <cell r="D60" t="str">
            <v>개소</v>
          </cell>
        </row>
        <row r="61">
          <cell r="A61">
            <v>64</v>
          </cell>
          <cell r="B61" t="str">
            <v xml:space="preserve"> 방송용AMP신설</v>
          </cell>
          <cell r="C61" t="str">
            <v>120W(Rack Type)</v>
          </cell>
          <cell r="D61" t="str">
            <v>대</v>
          </cell>
        </row>
        <row r="62">
          <cell r="A62">
            <v>65</v>
          </cell>
          <cell r="B62" t="str">
            <v xml:space="preserve"> 방송용고성기신설</v>
          </cell>
          <cell r="C62" t="str">
            <v>25W×2대(기초대형)</v>
          </cell>
          <cell r="D62" t="str">
            <v>식</v>
          </cell>
        </row>
        <row r="63">
          <cell r="A63">
            <v>66</v>
          </cell>
          <cell r="B63" t="str">
            <v xml:space="preserve"> 트라프뚜껑 열고닫기</v>
          </cell>
          <cell r="C63" t="str">
            <v>T-120</v>
          </cell>
          <cell r="D63" t="str">
            <v>m</v>
          </cell>
        </row>
        <row r="64">
          <cell r="A64">
            <v>67</v>
          </cell>
          <cell r="B64" t="str">
            <v xml:space="preserve"> 백관부설</v>
          </cell>
          <cell r="C64" t="str">
            <v>Φ100mm</v>
          </cell>
          <cell r="D64" t="str">
            <v>m</v>
          </cell>
        </row>
        <row r="65">
          <cell r="A65">
            <v>68</v>
          </cell>
          <cell r="B65" t="str">
            <v xml:space="preserve"> 토크백모장치 접지신설</v>
          </cell>
          <cell r="C65" t="str">
            <v>10Ω(대지비저항100Ω)</v>
          </cell>
          <cell r="D65" t="str">
            <v>개소</v>
          </cell>
        </row>
        <row r="66">
          <cell r="A66">
            <v>69</v>
          </cell>
          <cell r="B66" t="str">
            <v xml:space="preserve"> 토크백모장치 접지신설</v>
          </cell>
          <cell r="C66" t="str">
            <v>10Ω(대지비저항200Ω)</v>
          </cell>
          <cell r="D66" t="str">
            <v>개소</v>
          </cell>
        </row>
        <row r="67">
          <cell r="A67">
            <v>70</v>
          </cell>
          <cell r="B67" t="str">
            <v xml:space="preserve"> 토크백모장치 접지신설</v>
          </cell>
          <cell r="C67" t="str">
            <v>10Ω(대지비저항300Ω)</v>
          </cell>
          <cell r="D67" t="str">
            <v>개소</v>
          </cell>
        </row>
        <row r="68">
          <cell r="A68">
            <v>71</v>
          </cell>
          <cell r="B68" t="str">
            <v xml:space="preserve">    다) 사령전화설비</v>
          </cell>
        </row>
        <row r="69">
          <cell r="A69">
            <v>72</v>
          </cell>
          <cell r="B69" t="str">
            <v xml:space="preserve"> 사령전화기 자장치신설</v>
          </cell>
          <cell r="C69" t="str">
            <v>DTMF식</v>
          </cell>
          <cell r="D69" t="str">
            <v>대</v>
          </cell>
        </row>
        <row r="70">
          <cell r="A70">
            <v>73</v>
          </cell>
          <cell r="B70" t="str">
            <v xml:space="preserve"> 사령전화기 운용장치신설</v>
          </cell>
          <cell r="C70" t="str">
            <v>DTMF식</v>
          </cell>
          <cell r="D70" t="str">
            <v>대</v>
          </cell>
        </row>
        <row r="71">
          <cell r="A71">
            <v>74</v>
          </cell>
          <cell r="B71" t="str">
            <v xml:space="preserve">    라) 모사전송설비</v>
          </cell>
        </row>
        <row r="72">
          <cell r="A72">
            <v>75</v>
          </cell>
          <cell r="B72" t="str">
            <v xml:space="preserve"> 모사전송장치신설</v>
          </cell>
          <cell r="C72" t="str">
            <v>GⅢ급</v>
          </cell>
          <cell r="D72" t="str">
            <v>대</v>
          </cell>
        </row>
        <row r="73">
          <cell r="A73">
            <v>76</v>
          </cell>
          <cell r="B73" t="str">
            <v xml:space="preserve"> 모사전송동보장치신설</v>
          </cell>
          <cell r="C73" t="str">
            <v>64회선용</v>
          </cell>
          <cell r="D73" t="str">
            <v>대</v>
          </cell>
        </row>
        <row r="74">
          <cell r="A74">
            <v>77</v>
          </cell>
          <cell r="B74" t="str">
            <v xml:space="preserve">    마) 직통전화설비</v>
          </cell>
        </row>
        <row r="75">
          <cell r="A75">
            <v>78</v>
          </cell>
          <cell r="B75" t="str">
            <v xml:space="preserve"> 직통전화기신설</v>
          </cell>
          <cell r="C75" t="str">
            <v>주파수식</v>
          </cell>
          <cell r="D75" t="str">
            <v>대</v>
          </cell>
        </row>
        <row r="76">
          <cell r="A76">
            <v>79</v>
          </cell>
          <cell r="B76" t="str">
            <v xml:space="preserve">    바) 사령원격        방송설비</v>
          </cell>
        </row>
        <row r="77">
          <cell r="A77">
            <v>80</v>
          </cell>
          <cell r="B77" t="str">
            <v xml:space="preserve"> 사령원격방송 주장치설치</v>
          </cell>
          <cell r="C77" t="str">
            <v>2회선용</v>
          </cell>
          <cell r="D77" t="str">
            <v>대</v>
          </cell>
        </row>
        <row r="78">
          <cell r="A78">
            <v>81</v>
          </cell>
          <cell r="B78" t="str">
            <v xml:space="preserve"> 사령원격방송모장치 설치(운용대포함)</v>
          </cell>
          <cell r="C78" t="str">
            <v>200회선용</v>
          </cell>
          <cell r="D78" t="str">
            <v>대</v>
          </cell>
        </row>
        <row r="79">
          <cell r="A79">
            <v>82</v>
          </cell>
          <cell r="B79" t="str">
            <v xml:space="preserve"> 사령원격방송 자장치설치</v>
          </cell>
          <cell r="C79" t="str">
            <v>자장치</v>
          </cell>
          <cell r="D79" t="str">
            <v>대</v>
          </cell>
        </row>
        <row r="80">
          <cell r="A80">
            <v>83</v>
          </cell>
          <cell r="B80" t="str">
            <v xml:space="preserve">    사) 이동화상설비</v>
          </cell>
        </row>
        <row r="81">
          <cell r="A81">
            <v>84</v>
          </cell>
          <cell r="B81" t="str">
            <v xml:space="preserve"> ENG CAMERA</v>
          </cell>
          <cell r="C81" t="str">
            <v>3CCD(렌즈및발전기,cable포함)</v>
          </cell>
          <cell r="D81" t="str">
            <v>SET</v>
          </cell>
        </row>
        <row r="82">
          <cell r="A82">
            <v>85</v>
          </cell>
          <cell r="B82" t="str">
            <v xml:space="preserve"> TRIPOO</v>
          </cell>
          <cell r="C82" t="str">
            <v>삼각대</v>
          </cell>
          <cell r="D82" t="str">
            <v>SET</v>
          </cell>
        </row>
        <row r="83">
          <cell r="A83">
            <v>86</v>
          </cell>
          <cell r="B83" t="str">
            <v xml:space="preserve"> 무선마이크</v>
          </cell>
          <cell r="C83" t="str">
            <v>중계용</v>
          </cell>
          <cell r="D83" t="str">
            <v>SET</v>
          </cell>
        </row>
        <row r="84">
          <cell r="A84">
            <v>87</v>
          </cell>
          <cell r="B84" t="str">
            <v xml:space="preserve"> 광송신기(OTX)</v>
          </cell>
          <cell r="C84" t="str">
            <v>이동화상전송용</v>
          </cell>
          <cell r="D84" t="str">
            <v>대</v>
          </cell>
        </row>
        <row r="85">
          <cell r="A85">
            <v>88</v>
          </cell>
          <cell r="B85" t="str">
            <v xml:space="preserve"> 광수신기(ORX)</v>
          </cell>
          <cell r="C85" t="str">
            <v>이동화상전송용</v>
          </cell>
          <cell r="D85" t="str">
            <v>대</v>
          </cell>
        </row>
        <row r="86">
          <cell r="A86">
            <v>89</v>
          </cell>
          <cell r="B86" t="str">
            <v xml:space="preserve"> V.D.A</v>
          </cell>
          <cell r="C86" t="str">
            <v>1 IN 3 OUT</v>
          </cell>
          <cell r="D86" t="str">
            <v>개</v>
          </cell>
        </row>
        <row r="87">
          <cell r="A87">
            <v>90</v>
          </cell>
          <cell r="B87" t="str">
            <v xml:space="preserve"> MONITOR</v>
          </cell>
          <cell r="C87" t="str">
            <v>10인치</v>
          </cell>
          <cell r="D87" t="str">
            <v>대</v>
          </cell>
        </row>
        <row r="88">
          <cell r="A88">
            <v>91</v>
          </cell>
          <cell r="B88" t="str">
            <v xml:space="preserve"> 이동형 RACK</v>
          </cell>
          <cell r="C88" t="str">
            <v>Special</v>
          </cell>
          <cell r="D88" t="str">
            <v>SET</v>
          </cell>
        </row>
        <row r="89">
          <cell r="A89">
            <v>92</v>
          </cell>
          <cell r="B89" t="str">
            <v xml:space="preserve"> 이동형 OFD</v>
          </cell>
          <cell r="C89" t="str">
            <v>1Core용</v>
          </cell>
          <cell r="D89" t="str">
            <v>개</v>
          </cell>
        </row>
        <row r="90">
          <cell r="A90">
            <v>93</v>
          </cell>
          <cell r="B90" t="str">
            <v xml:space="preserve">    아) 화상전송설비</v>
          </cell>
        </row>
        <row r="91">
          <cell r="A91">
            <v>94</v>
          </cell>
          <cell r="B91" t="str">
            <v xml:space="preserve"> Encoder신설</v>
          </cell>
          <cell r="C91" t="str">
            <v>4CH</v>
          </cell>
          <cell r="D91" t="str">
            <v>대</v>
          </cell>
        </row>
        <row r="92">
          <cell r="A92">
            <v>95</v>
          </cell>
          <cell r="B92" t="str">
            <v xml:space="preserve"> Decoder신설</v>
          </cell>
          <cell r="C92" t="str">
            <v>4CH</v>
          </cell>
          <cell r="D92" t="str">
            <v>대</v>
          </cell>
        </row>
        <row r="93">
          <cell r="A93">
            <v>96</v>
          </cell>
          <cell r="B93" t="str">
            <v xml:space="preserve"> 광송신기신설 (OTX)</v>
          </cell>
          <cell r="C93" t="str">
            <v>화상전송용</v>
          </cell>
          <cell r="D93" t="str">
            <v>대</v>
          </cell>
        </row>
        <row r="94">
          <cell r="A94">
            <v>97</v>
          </cell>
          <cell r="B94" t="str">
            <v xml:space="preserve"> 광수신기신설 (ORX)</v>
          </cell>
          <cell r="C94" t="str">
            <v>화상전송용</v>
          </cell>
          <cell r="D94" t="str">
            <v>대</v>
          </cell>
        </row>
        <row r="95">
          <cell r="A95">
            <v>98</v>
          </cell>
          <cell r="B95" t="str">
            <v xml:space="preserve"> 광중계기신설</v>
          </cell>
          <cell r="C95" t="str">
            <v>화상전송용</v>
          </cell>
          <cell r="D95" t="str">
            <v>대</v>
          </cell>
        </row>
        <row r="96">
          <cell r="A96">
            <v>99</v>
          </cell>
          <cell r="B96" t="str">
            <v xml:space="preserve"> NMS소프트웨어</v>
          </cell>
          <cell r="C96" t="str">
            <v>화상전송용</v>
          </cell>
          <cell r="D96" t="str">
            <v>식</v>
          </cell>
        </row>
        <row r="97">
          <cell r="A97">
            <v>100</v>
          </cell>
          <cell r="B97" t="str">
            <v xml:space="preserve"> 통신실감시용 광송신기신설</v>
          </cell>
          <cell r="C97" t="str">
            <v>화상전송용</v>
          </cell>
          <cell r="D97" t="str">
            <v>대</v>
          </cell>
        </row>
        <row r="98">
          <cell r="A98">
            <v>101</v>
          </cell>
          <cell r="B98" t="str">
            <v>45. 무선장치</v>
          </cell>
        </row>
        <row r="99">
          <cell r="A99">
            <v>102</v>
          </cell>
          <cell r="B99" t="str">
            <v xml:space="preserve">    가) 역용열차무선설비</v>
          </cell>
        </row>
        <row r="100">
          <cell r="A100">
            <v>103</v>
          </cell>
          <cell r="B100" t="str">
            <v xml:space="preserve"> 열차무선원격 조정반신설</v>
          </cell>
          <cell r="C100" t="str">
            <v>열차무선용</v>
          </cell>
          <cell r="D100" t="str">
            <v>대</v>
          </cell>
        </row>
        <row r="101">
          <cell r="A101">
            <v>104</v>
          </cell>
          <cell r="B101" t="str">
            <v xml:space="preserve"> 열차무선 송,수신기신설</v>
          </cell>
          <cell r="C101" t="str">
            <v>15W 역용(유무선결합기포함)</v>
          </cell>
          <cell r="D101" t="str">
            <v>대</v>
          </cell>
        </row>
        <row r="102">
          <cell r="A102">
            <v>105</v>
          </cell>
          <cell r="B102" t="str">
            <v xml:space="preserve"> 열차무선 수신기신설</v>
          </cell>
          <cell r="C102" t="str">
            <v>감청용</v>
          </cell>
          <cell r="D102" t="str">
            <v>대</v>
          </cell>
        </row>
        <row r="103">
          <cell r="A103">
            <v>106</v>
          </cell>
          <cell r="B103" t="str">
            <v xml:space="preserve"> 열차무선 안테나신설</v>
          </cell>
          <cell r="C103" t="str">
            <v>다이폴1호</v>
          </cell>
          <cell r="D103" t="str">
            <v>기</v>
          </cell>
        </row>
        <row r="104">
          <cell r="A104">
            <v>107</v>
          </cell>
          <cell r="B104" t="str">
            <v xml:space="preserve"> 열차무선 안테나신설</v>
          </cell>
          <cell r="C104" t="str">
            <v>다이폴2호</v>
          </cell>
          <cell r="D104" t="str">
            <v>기</v>
          </cell>
        </row>
        <row r="105">
          <cell r="A105">
            <v>108</v>
          </cell>
          <cell r="B105" t="str">
            <v xml:space="preserve"> 열차무선전원 장치함신설</v>
          </cell>
          <cell r="C105" t="str">
            <v>12V 10A(RT, BATT 포함)</v>
          </cell>
          <cell r="D105" t="str">
            <v>대</v>
          </cell>
        </row>
        <row r="106">
          <cell r="A106">
            <v>109</v>
          </cell>
          <cell r="B106" t="str">
            <v xml:space="preserve"> 급전선신설</v>
          </cell>
          <cell r="C106" t="str">
            <v>RG-8U</v>
          </cell>
          <cell r="D106" t="str">
            <v>m</v>
          </cell>
        </row>
        <row r="107">
          <cell r="A107">
            <v>110</v>
          </cell>
          <cell r="B107" t="str">
            <v xml:space="preserve"> 열차무선송수신기 및철탑접지신설</v>
          </cell>
          <cell r="C107" t="str">
            <v>20Ω(대지비저항100Ω)</v>
          </cell>
          <cell r="D107" t="str">
            <v>개소</v>
          </cell>
        </row>
        <row r="108">
          <cell r="A108">
            <v>111</v>
          </cell>
          <cell r="B108" t="str">
            <v xml:space="preserve"> 열차무선송수신기 및철탑접지신설</v>
          </cell>
          <cell r="C108" t="str">
            <v>20Ω(대지비저항200Ω)</v>
          </cell>
          <cell r="D108" t="str">
            <v>개소</v>
          </cell>
        </row>
        <row r="109">
          <cell r="A109">
            <v>112</v>
          </cell>
          <cell r="B109" t="str">
            <v xml:space="preserve"> 열차무선송수신기 및철탑접지신설</v>
          </cell>
          <cell r="C109" t="str">
            <v>20Ω(대지비저항300Ω)</v>
          </cell>
          <cell r="D109" t="str">
            <v>개소</v>
          </cell>
        </row>
        <row r="110">
          <cell r="A110">
            <v>113</v>
          </cell>
          <cell r="B110" t="str">
            <v xml:space="preserve"> 사령실Master Control장비신설</v>
          </cell>
          <cell r="C110" t="str">
            <v>10회선용</v>
          </cell>
          <cell r="D110" t="str">
            <v>식</v>
          </cell>
        </row>
        <row r="111">
          <cell r="A111">
            <v>114</v>
          </cell>
          <cell r="B111" t="str">
            <v xml:space="preserve"> 사령실원격 제어장치신설</v>
          </cell>
          <cell r="C111" t="str">
            <v>10회선용</v>
          </cell>
          <cell r="D111" t="str">
            <v>식</v>
          </cell>
        </row>
        <row r="112">
          <cell r="A112">
            <v>115</v>
          </cell>
          <cell r="B112" t="str">
            <v>45. 역무자동장치</v>
          </cell>
        </row>
        <row r="113">
          <cell r="A113">
            <v>116</v>
          </cell>
          <cell r="B113" t="str">
            <v xml:space="preserve"> 자동개,집표기신설</v>
          </cell>
          <cell r="C113" t="str">
            <v>FLAP</v>
          </cell>
          <cell r="D113" t="str">
            <v>대</v>
          </cell>
        </row>
        <row r="114">
          <cell r="A114">
            <v>117</v>
          </cell>
          <cell r="B114" t="str">
            <v xml:space="preserve"> 자동발매기신설</v>
          </cell>
          <cell r="C114" t="str">
            <v>POM(보통권)</v>
          </cell>
          <cell r="D114" t="str">
            <v>대</v>
          </cell>
        </row>
        <row r="115">
          <cell r="A115">
            <v>118</v>
          </cell>
          <cell r="B115" t="str">
            <v xml:space="preserve"> 자동발권기신설</v>
          </cell>
          <cell r="C115" t="str">
            <v>TOM</v>
          </cell>
          <cell r="D115" t="str">
            <v>대</v>
          </cell>
        </row>
        <row r="116">
          <cell r="A116">
            <v>119</v>
          </cell>
          <cell r="B116" t="str">
            <v xml:space="preserve"> 자동판독기신설</v>
          </cell>
          <cell r="D116" t="str">
            <v>대</v>
          </cell>
        </row>
        <row r="117">
          <cell r="A117">
            <v>120</v>
          </cell>
          <cell r="B117" t="str">
            <v xml:space="preserve"> 중앙전산기신설 (OWS,MWS,FSP포함)</v>
          </cell>
          <cell r="C117" t="str">
            <v>MFC</v>
          </cell>
          <cell r="D117" t="str">
            <v>식</v>
          </cell>
        </row>
        <row r="118">
          <cell r="A118">
            <v>121</v>
          </cell>
          <cell r="B118" t="str">
            <v xml:space="preserve"> 역단위전산기신설</v>
          </cell>
          <cell r="C118" t="str">
            <v>SACU</v>
          </cell>
          <cell r="D118" t="str">
            <v>식</v>
          </cell>
        </row>
        <row r="119">
          <cell r="A119">
            <v>122</v>
          </cell>
          <cell r="B119" t="str">
            <v xml:space="preserve"> 운용자용전산기신설</v>
          </cell>
          <cell r="C119" t="str">
            <v>OWS</v>
          </cell>
          <cell r="D119" t="str">
            <v>식</v>
          </cell>
        </row>
        <row r="120">
          <cell r="A120">
            <v>123</v>
          </cell>
          <cell r="B120" t="str">
            <v xml:space="preserve"> 유지보수용전산기신설</v>
          </cell>
          <cell r="C120" t="str">
            <v>LMWS</v>
          </cell>
          <cell r="D120" t="str">
            <v>식</v>
          </cell>
        </row>
        <row r="121">
          <cell r="A121">
            <v>124</v>
          </cell>
          <cell r="B121" t="str">
            <v xml:space="preserve"> Test-Bench및 시험장비</v>
          </cell>
          <cell r="C121" t="str">
            <v>교육및시험용</v>
          </cell>
          <cell r="D121" t="str">
            <v>식</v>
          </cell>
        </row>
        <row r="122">
          <cell r="A122">
            <v>125</v>
          </cell>
          <cell r="B122" t="str">
            <v xml:space="preserve"> UPS설치</v>
          </cell>
          <cell r="C122" t="str">
            <v>10KVA</v>
          </cell>
          <cell r="D122" t="str">
            <v>대</v>
          </cell>
        </row>
        <row r="123">
          <cell r="A123">
            <v>126</v>
          </cell>
          <cell r="B123" t="str">
            <v xml:space="preserve"> 항온항습기설치</v>
          </cell>
          <cell r="C123" t="str">
            <v>5HP</v>
          </cell>
          <cell r="D123" t="str">
            <v>대</v>
          </cell>
        </row>
        <row r="124">
          <cell r="A124">
            <v>127</v>
          </cell>
          <cell r="B124" t="str">
            <v xml:space="preserve"> 역무자동화 접지신설</v>
          </cell>
          <cell r="C124" t="str">
            <v>10Ω(대지비저항100Ω)</v>
          </cell>
          <cell r="D124" t="str">
            <v>개소</v>
          </cell>
        </row>
        <row r="125">
          <cell r="A125">
            <v>128</v>
          </cell>
          <cell r="B125" t="str">
            <v xml:space="preserve"> 역무자동화 접지신설</v>
          </cell>
          <cell r="C125" t="str">
            <v>10Ω(대지비저항200Ω)</v>
          </cell>
          <cell r="D125" t="str">
            <v>개소</v>
          </cell>
        </row>
        <row r="126">
          <cell r="A126">
            <v>129</v>
          </cell>
          <cell r="B126" t="str">
            <v xml:space="preserve"> 역무자동화 접지신설</v>
          </cell>
          <cell r="C126" t="str">
            <v>10Ω(대지비저항300Ω)</v>
          </cell>
          <cell r="D126" t="str">
            <v>개소</v>
          </cell>
        </row>
        <row r="127">
          <cell r="A127">
            <v>130</v>
          </cell>
          <cell r="B127" t="str">
            <v xml:space="preserve"> 이동형카메라신설</v>
          </cell>
          <cell r="C127" t="str">
            <v>2LUX</v>
          </cell>
          <cell r="D127" t="str">
            <v>대</v>
          </cell>
        </row>
        <row r="128">
          <cell r="A128">
            <v>131</v>
          </cell>
          <cell r="B128" t="str">
            <v xml:space="preserve"> AUTO IRIS LENS</v>
          </cell>
          <cell r="C128" t="str">
            <v>8mm</v>
          </cell>
          <cell r="D128" t="str">
            <v>대</v>
          </cell>
        </row>
        <row r="129">
          <cell r="A129">
            <v>132</v>
          </cell>
          <cell r="B129" t="str">
            <v xml:space="preserve"> 사령실화상전송 CONSOLE신설</v>
          </cell>
          <cell r="C129" t="str">
            <v>화상전송용</v>
          </cell>
          <cell r="D129" t="str">
            <v>식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ta"/>
      <sheetName val="PreCons.'03"/>
      <sheetName val="A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_지"/>
      <sheetName val="목차"/>
      <sheetName val="1."/>
      <sheetName val="1.발,수신"/>
      <sheetName val="2."/>
      <sheetName val="2_개요"/>
      <sheetName val="3."/>
      <sheetName val="3_총괄표"/>
      <sheetName val="4."/>
      <sheetName val="4_지수공식"/>
      <sheetName val="5."/>
      <sheetName val="5_변동지수"/>
      <sheetName val="6."/>
      <sheetName val="6.목차"/>
      <sheetName val="6.조정율"/>
      <sheetName val="6.물가-집"/>
      <sheetName val="표지"/>
      <sheetName val="자료"/>
      <sheetName val="경비_원본"/>
      <sheetName val="노임단가"/>
      <sheetName val="일위산출근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>
        <row r="39">
          <cell r="D39">
            <v>1993</v>
          </cell>
          <cell r="E39">
            <v>789.7</v>
          </cell>
          <cell r="J39">
            <v>1993</v>
          </cell>
          <cell r="K39">
            <v>520</v>
          </cell>
        </row>
        <row r="40">
          <cell r="D40">
            <v>1994</v>
          </cell>
          <cell r="E40">
            <v>810.4</v>
          </cell>
          <cell r="J40">
            <v>1994</v>
          </cell>
          <cell r="K40">
            <v>528</v>
          </cell>
        </row>
        <row r="41">
          <cell r="D41">
            <v>1995</v>
          </cell>
          <cell r="E41">
            <v>791.8</v>
          </cell>
          <cell r="J41">
            <v>1995</v>
          </cell>
          <cell r="K41">
            <v>529</v>
          </cell>
        </row>
        <row r="42">
          <cell r="D42">
            <v>1996</v>
          </cell>
          <cell r="E42">
            <v>870.9</v>
          </cell>
          <cell r="J42">
            <v>1996</v>
          </cell>
          <cell r="K42">
            <v>534</v>
          </cell>
        </row>
        <row r="43">
          <cell r="D43">
            <v>1997</v>
          </cell>
          <cell r="E43">
            <v>1764</v>
          </cell>
          <cell r="J43">
            <v>1997</v>
          </cell>
          <cell r="K43">
            <v>538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환율"/>
      <sheetName val="Module1"/>
      <sheetName val="산출경비"/>
      <sheetName val="기계_집계"/>
      <sheetName val="기계_집계_자료"/>
      <sheetName val="경비_원본"/>
      <sheetName val="표지"/>
      <sheetName val="---"/>
      <sheetName val="매크로단순화"/>
      <sheetName val="기계경비_보관"/>
      <sheetName val="-----"/>
      <sheetName val="적용노임"/>
      <sheetName val="노임"/>
      <sheetName val="노임단가"/>
      <sheetName val="휴지계수"/>
      <sheetName val="경비DATA"/>
      <sheetName val="내역을"/>
      <sheetName val="Sheet4"/>
      <sheetName val="대비표"/>
      <sheetName val="세부내역서"/>
      <sheetName val="Sheet6"/>
      <sheetName val="집계표"/>
      <sheetName val="Sheet6 (2)"/>
      <sheetName val="단가산출서"/>
      <sheetName val="중기"/>
      <sheetName val="Sheet2"/>
      <sheetName val="Sheet3"/>
      <sheetName val="내역서"/>
      <sheetName val="NYS"/>
      <sheetName val="수량산출서"/>
      <sheetName val="철거산출근거"/>
      <sheetName val="입찰보고"/>
      <sheetName val="일위대가"/>
      <sheetName val="평자재단가"/>
      <sheetName val="공사비총괄표"/>
      <sheetName val="단면 (2)"/>
      <sheetName val="내역"/>
      <sheetName val="sw1"/>
      <sheetName val="총물량표"/>
      <sheetName val="정렬"/>
      <sheetName val="갑지"/>
      <sheetName val="자료"/>
      <sheetName val="토공 total"/>
      <sheetName val="1.설계조건"/>
      <sheetName val="단양 00 아파트-세부내역"/>
      <sheetName val="guard(mac)"/>
      <sheetName val="견적서"/>
      <sheetName val="총괄-1"/>
      <sheetName val="인건-측정"/>
      <sheetName val="원내역서 그대로"/>
      <sheetName val="삭제금지단가"/>
      <sheetName val="삼정작업분"/>
      <sheetName val="#REF"/>
      <sheetName val="원가계산"/>
      <sheetName val="원가계산 (2)"/>
      <sheetName val="단가"/>
      <sheetName val="1.설계설명서"/>
      <sheetName val="3.내역서"/>
      <sheetName val="시설물기초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>
        <row r="4">
          <cell r="D4">
            <v>34694</v>
          </cell>
          <cell r="E4">
            <v>34935</v>
          </cell>
          <cell r="F4">
            <v>35065</v>
          </cell>
          <cell r="G4">
            <v>35309</v>
          </cell>
          <cell r="H4">
            <v>35431</v>
          </cell>
          <cell r="I4">
            <v>35674</v>
          </cell>
        </row>
        <row r="5">
          <cell r="D5">
            <v>29977</v>
          </cell>
          <cell r="E5">
            <v>47737</v>
          </cell>
          <cell r="F5">
            <v>52762</v>
          </cell>
          <cell r="G5">
            <v>53965</v>
          </cell>
          <cell r="H5">
            <v>56477</v>
          </cell>
          <cell r="I5">
            <v>62028</v>
          </cell>
        </row>
        <row r="6">
          <cell r="D6">
            <v>73539</v>
          </cell>
          <cell r="E6">
            <v>71191</v>
          </cell>
          <cell r="F6">
            <v>83905</v>
          </cell>
          <cell r="G6">
            <v>78123</v>
          </cell>
          <cell r="H6">
            <v>78097</v>
          </cell>
          <cell r="I6">
            <v>80541</v>
          </cell>
        </row>
        <row r="7">
          <cell r="D7">
            <v>57199</v>
          </cell>
          <cell r="E7">
            <v>60339</v>
          </cell>
          <cell r="F7">
            <v>63706</v>
          </cell>
          <cell r="G7">
            <v>63220</v>
          </cell>
          <cell r="H7">
            <v>67285</v>
          </cell>
          <cell r="I7">
            <v>69710</v>
          </cell>
        </row>
        <row r="8">
          <cell r="D8">
            <v>57260</v>
          </cell>
          <cell r="E8">
            <v>61835</v>
          </cell>
          <cell r="F8">
            <v>67246</v>
          </cell>
          <cell r="G8">
            <v>65580</v>
          </cell>
          <cell r="H8">
            <v>70616</v>
          </cell>
          <cell r="I8">
            <v>72515</v>
          </cell>
        </row>
        <row r="9">
          <cell r="D9">
            <v>47393</v>
          </cell>
          <cell r="E9">
            <v>58232</v>
          </cell>
          <cell r="F9">
            <v>63841</v>
          </cell>
          <cell r="G9">
            <v>64898</v>
          </cell>
          <cell r="H9">
            <v>64829</v>
          </cell>
          <cell r="I9">
            <v>65138</v>
          </cell>
        </row>
        <row r="10">
          <cell r="D10">
            <v>57701</v>
          </cell>
          <cell r="E10">
            <v>58845</v>
          </cell>
          <cell r="F10">
            <v>64832</v>
          </cell>
          <cell r="G10">
            <v>65054</v>
          </cell>
          <cell r="H10">
            <v>66046</v>
          </cell>
          <cell r="I10">
            <v>72992</v>
          </cell>
        </row>
        <row r="11">
          <cell r="D11">
            <v>52635</v>
          </cell>
          <cell r="E11">
            <v>58947</v>
          </cell>
          <cell r="F11">
            <v>66655</v>
          </cell>
          <cell r="G11">
            <v>66194</v>
          </cell>
          <cell r="H11">
            <v>67900</v>
          </cell>
          <cell r="I11">
            <v>73156</v>
          </cell>
        </row>
        <row r="12">
          <cell r="D12">
            <v>58024</v>
          </cell>
          <cell r="E12">
            <v>65510</v>
          </cell>
          <cell r="F12">
            <v>66050</v>
          </cell>
          <cell r="G12">
            <v>69452</v>
          </cell>
          <cell r="H12">
            <v>70979</v>
          </cell>
          <cell r="I12">
            <v>75509</v>
          </cell>
        </row>
        <row r="13">
          <cell r="D13">
            <v>45810</v>
          </cell>
          <cell r="E13">
            <v>59563</v>
          </cell>
          <cell r="F13">
            <v>63685</v>
          </cell>
          <cell r="G13">
            <v>66869</v>
          </cell>
          <cell r="H13">
            <v>69932</v>
          </cell>
          <cell r="I13">
            <v>70072</v>
          </cell>
        </row>
        <row r="14">
          <cell r="D14">
            <v>48189</v>
          </cell>
          <cell r="E14">
            <v>51949</v>
          </cell>
          <cell r="F14">
            <v>52989</v>
          </cell>
          <cell r="G14">
            <v>58987</v>
          </cell>
          <cell r="H14">
            <v>62226</v>
          </cell>
          <cell r="I14">
            <v>69166</v>
          </cell>
        </row>
        <row r="15">
          <cell r="D15">
            <v>42386</v>
          </cell>
          <cell r="E15">
            <v>50023</v>
          </cell>
          <cell r="F15">
            <v>59541</v>
          </cell>
          <cell r="G15">
            <v>57719</v>
          </cell>
          <cell r="H15">
            <v>63505</v>
          </cell>
          <cell r="I15">
            <v>62029</v>
          </cell>
        </row>
        <row r="16">
          <cell r="D16">
            <v>49310</v>
          </cell>
          <cell r="E16">
            <v>56756</v>
          </cell>
          <cell r="F16">
            <v>59963</v>
          </cell>
          <cell r="G16">
            <v>65939</v>
          </cell>
          <cell r="H16">
            <v>64162</v>
          </cell>
          <cell r="I16">
            <v>59851</v>
          </cell>
        </row>
        <row r="17">
          <cell r="D17">
            <v>59776</v>
          </cell>
          <cell r="E17">
            <v>67845</v>
          </cell>
          <cell r="F17">
            <v>70740</v>
          </cell>
          <cell r="G17">
            <v>70616</v>
          </cell>
          <cell r="H17">
            <v>71945</v>
          </cell>
          <cell r="I17">
            <v>75499</v>
          </cell>
        </row>
        <row r="18">
          <cell r="D18">
            <v>62432</v>
          </cell>
          <cell r="E18">
            <v>74315</v>
          </cell>
          <cell r="F18">
            <v>76360</v>
          </cell>
          <cell r="G18">
            <v>86144</v>
          </cell>
          <cell r="H18">
            <v>91943</v>
          </cell>
          <cell r="I18">
            <v>83352</v>
          </cell>
        </row>
        <row r="19">
          <cell r="D19">
            <v>60347</v>
          </cell>
          <cell r="E19">
            <v>65265</v>
          </cell>
          <cell r="F19">
            <v>67869</v>
          </cell>
          <cell r="G19">
            <v>74682</v>
          </cell>
          <cell r="H19">
            <v>78568</v>
          </cell>
          <cell r="I19">
            <v>77373</v>
          </cell>
        </row>
        <row r="20">
          <cell r="D20">
            <v>53164</v>
          </cell>
          <cell r="E20">
            <v>40065</v>
          </cell>
          <cell r="F20">
            <v>50282</v>
          </cell>
          <cell r="G20">
            <v>52204</v>
          </cell>
          <cell r="H20">
            <v>55773</v>
          </cell>
          <cell r="I20">
            <v>61841</v>
          </cell>
        </row>
        <row r="21">
          <cell r="D21">
            <v>54587</v>
          </cell>
          <cell r="E21">
            <v>56054</v>
          </cell>
          <cell r="F21">
            <v>61121</v>
          </cell>
          <cell r="G21">
            <v>63036</v>
          </cell>
          <cell r="H21">
            <v>62381</v>
          </cell>
          <cell r="I21">
            <v>66437</v>
          </cell>
        </row>
        <row r="22">
          <cell r="D22">
            <v>60827</v>
          </cell>
          <cell r="E22">
            <v>65912</v>
          </cell>
          <cell r="F22">
            <v>71899</v>
          </cell>
          <cell r="G22">
            <v>69294</v>
          </cell>
          <cell r="H22">
            <v>71541</v>
          </cell>
          <cell r="I22">
            <v>73827</v>
          </cell>
        </row>
        <row r="23">
          <cell r="D23">
            <v>49754</v>
          </cell>
          <cell r="E23">
            <v>56372</v>
          </cell>
          <cell r="F23">
            <v>63854</v>
          </cell>
          <cell r="G23">
            <v>64323</v>
          </cell>
          <cell r="H23">
            <v>62112</v>
          </cell>
          <cell r="I23">
            <v>70848</v>
          </cell>
        </row>
        <row r="24">
          <cell r="D24">
            <v>46756</v>
          </cell>
          <cell r="E24">
            <v>54103</v>
          </cell>
          <cell r="F24">
            <v>55661</v>
          </cell>
          <cell r="G24">
            <v>55361</v>
          </cell>
          <cell r="H24">
            <v>61895</v>
          </cell>
          <cell r="I24">
            <v>64279</v>
          </cell>
        </row>
        <row r="25">
          <cell r="D25">
            <v>57497</v>
          </cell>
          <cell r="E25">
            <v>60814</v>
          </cell>
          <cell r="F25">
            <v>65070</v>
          </cell>
          <cell r="G25">
            <v>65740</v>
          </cell>
          <cell r="H25">
            <v>67466</v>
          </cell>
          <cell r="I25">
            <v>69194</v>
          </cell>
        </row>
        <row r="26">
          <cell r="D26">
            <v>46795</v>
          </cell>
          <cell r="E26">
            <v>47192</v>
          </cell>
          <cell r="F26">
            <v>53953</v>
          </cell>
          <cell r="G26">
            <v>54255</v>
          </cell>
          <cell r="H26">
            <v>55579</v>
          </cell>
          <cell r="I26">
            <v>57209</v>
          </cell>
        </row>
        <row r="27">
          <cell r="D27">
            <v>57146</v>
          </cell>
          <cell r="E27">
            <v>57466</v>
          </cell>
          <cell r="F27">
            <v>64202</v>
          </cell>
          <cell r="G27">
            <v>66101</v>
          </cell>
          <cell r="H27">
            <v>65646</v>
          </cell>
          <cell r="I27">
            <v>66528</v>
          </cell>
        </row>
        <row r="28">
          <cell r="D28">
            <v>50364</v>
          </cell>
          <cell r="E28">
            <v>53274</v>
          </cell>
          <cell r="F28">
            <v>56412</v>
          </cell>
          <cell r="G28">
            <v>63278</v>
          </cell>
          <cell r="H28">
            <v>69425</v>
          </cell>
          <cell r="I28">
            <v>56155</v>
          </cell>
        </row>
        <row r="29">
          <cell r="D29">
            <v>56549</v>
          </cell>
          <cell r="E29">
            <v>51430</v>
          </cell>
          <cell r="F29">
            <v>55251</v>
          </cell>
          <cell r="G29">
            <v>56906</v>
          </cell>
          <cell r="H29">
            <v>57426</v>
          </cell>
          <cell r="I29">
            <v>63517</v>
          </cell>
        </row>
        <row r="30">
          <cell r="D30">
            <v>51306</v>
          </cell>
          <cell r="E30">
            <v>57135</v>
          </cell>
          <cell r="F30">
            <v>59988</v>
          </cell>
          <cell r="G30">
            <v>61538</v>
          </cell>
          <cell r="H30">
            <v>64591</v>
          </cell>
          <cell r="I30">
            <v>67783</v>
          </cell>
        </row>
        <row r="31">
          <cell r="D31">
            <v>53280</v>
          </cell>
          <cell r="E31">
            <v>49465</v>
          </cell>
          <cell r="F31">
            <v>58110</v>
          </cell>
          <cell r="G31">
            <v>61317</v>
          </cell>
          <cell r="H31">
            <v>65146</v>
          </cell>
          <cell r="I31">
            <v>63032</v>
          </cell>
        </row>
        <row r="32">
          <cell r="D32">
            <v>46595</v>
          </cell>
          <cell r="E32">
            <v>51076</v>
          </cell>
          <cell r="F32">
            <v>51610</v>
          </cell>
          <cell r="G32">
            <v>56911</v>
          </cell>
          <cell r="H32">
            <v>57708</v>
          </cell>
          <cell r="I32">
            <v>59920</v>
          </cell>
        </row>
        <row r="33">
          <cell r="D33">
            <v>42008</v>
          </cell>
          <cell r="E33">
            <v>45096</v>
          </cell>
          <cell r="F33">
            <v>48933</v>
          </cell>
          <cell r="G33">
            <v>51160</v>
          </cell>
          <cell r="H33">
            <v>53408</v>
          </cell>
          <cell r="I33">
            <v>56402</v>
          </cell>
        </row>
        <row r="34">
          <cell r="D34">
            <v>44297</v>
          </cell>
          <cell r="E34">
            <v>47875</v>
          </cell>
          <cell r="F34">
            <v>50126</v>
          </cell>
          <cell r="G34">
            <v>53989</v>
          </cell>
          <cell r="H34">
            <v>58907</v>
          </cell>
          <cell r="I34">
            <v>60000</v>
          </cell>
        </row>
        <row r="35">
          <cell r="D35">
            <v>42960</v>
          </cell>
          <cell r="E35">
            <v>44120</v>
          </cell>
          <cell r="F35">
            <v>49667</v>
          </cell>
          <cell r="G35">
            <v>50341</v>
          </cell>
          <cell r="H35">
            <v>52401</v>
          </cell>
          <cell r="I35">
            <v>57768</v>
          </cell>
        </row>
        <row r="36">
          <cell r="D36">
            <v>43313</v>
          </cell>
          <cell r="E36">
            <v>46747</v>
          </cell>
          <cell r="F36">
            <v>51545</v>
          </cell>
          <cell r="G36">
            <v>60859</v>
          </cell>
          <cell r="H36">
            <v>61630</v>
          </cell>
          <cell r="I36">
            <v>58460</v>
          </cell>
        </row>
        <row r="37">
          <cell r="D37">
            <v>53419</v>
          </cell>
          <cell r="E37">
            <v>49493</v>
          </cell>
          <cell r="F37">
            <v>55408</v>
          </cell>
          <cell r="G37">
            <v>60159</v>
          </cell>
          <cell r="H37">
            <v>59569</v>
          </cell>
          <cell r="I37">
            <v>60299</v>
          </cell>
        </row>
        <row r="38">
          <cell r="D38">
            <v>55882</v>
          </cell>
          <cell r="E38">
            <v>59064</v>
          </cell>
          <cell r="F38">
            <v>64991</v>
          </cell>
          <cell r="G38">
            <v>64540</v>
          </cell>
          <cell r="H38">
            <v>66457</v>
          </cell>
          <cell r="I38">
            <v>69893</v>
          </cell>
        </row>
        <row r="39">
          <cell r="D39">
            <v>47742</v>
          </cell>
          <cell r="E39">
            <v>47968</v>
          </cell>
          <cell r="F39">
            <v>54852</v>
          </cell>
          <cell r="G39">
            <v>59238</v>
          </cell>
          <cell r="H39">
            <v>55228</v>
          </cell>
          <cell r="I39">
            <v>56356</v>
          </cell>
        </row>
        <row r="40">
          <cell r="D40">
            <v>46029</v>
          </cell>
          <cell r="E40">
            <v>55469</v>
          </cell>
          <cell r="F40">
            <v>56750</v>
          </cell>
          <cell r="G40">
            <v>60592</v>
          </cell>
          <cell r="H40">
            <v>62199</v>
          </cell>
          <cell r="I40">
            <v>67874</v>
          </cell>
        </row>
        <row r="41">
          <cell r="D41">
            <v>68249</v>
          </cell>
          <cell r="E41">
            <v>64584</v>
          </cell>
          <cell r="F41">
            <v>66473</v>
          </cell>
          <cell r="G41">
            <v>68801</v>
          </cell>
          <cell r="H41">
            <v>72101</v>
          </cell>
          <cell r="I41">
            <v>78724</v>
          </cell>
        </row>
        <row r="42">
          <cell r="D42">
            <v>84693</v>
          </cell>
          <cell r="E42">
            <v>61145</v>
          </cell>
          <cell r="F42">
            <v>76515</v>
          </cell>
          <cell r="G42">
            <v>73049</v>
          </cell>
          <cell r="H42">
            <v>75895</v>
          </cell>
          <cell r="I42">
            <v>74212</v>
          </cell>
        </row>
        <row r="43">
          <cell r="D43">
            <v>60299</v>
          </cell>
          <cell r="E43">
            <v>56904</v>
          </cell>
          <cell r="F43">
            <v>64371</v>
          </cell>
          <cell r="G43">
            <v>63146</v>
          </cell>
          <cell r="H43">
            <v>65568</v>
          </cell>
          <cell r="I43">
            <v>66262</v>
          </cell>
        </row>
        <row r="44">
          <cell r="D44">
            <v>44064</v>
          </cell>
          <cell r="E44">
            <v>49548</v>
          </cell>
          <cell r="F44">
            <v>56255</v>
          </cell>
          <cell r="G44">
            <v>53477</v>
          </cell>
          <cell r="H44">
            <v>52686</v>
          </cell>
          <cell r="I44">
            <v>54443</v>
          </cell>
        </row>
        <row r="45">
          <cell r="D45">
            <v>33895</v>
          </cell>
          <cell r="E45">
            <v>32868</v>
          </cell>
          <cell r="F45">
            <v>32352</v>
          </cell>
          <cell r="G45">
            <v>34873</v>
          </cell>
          <cell r="H45">
            <v>39804</v>
          </cell>
          <cell r="I45">
            <v>38773</v>
          </cell>
        </row>
        <row r="46">
          <cell r="D46">
            <v>42095</v>
          </cell>
          <cell r="E46">
            <v>56260</v>
          </cell>
          <cell r="F46">
            <v>71104</v>
          </cell>
          <cell r="G46">
            <v>70037</v>
          </cell>
          <cell r="H46">
            <v>68240</v>
          </cell>
          <cell r="I46">
            <v>64804</v>
          </cell>
        </row>
        <row r="47">
          <cell r="D47">
            <v>49005</v>
          </cell>
          <cell r="E47">
            <v>62709</v>
          </cell>
          <cell r="F47">
            <v>67418</v>
          </cell>
          <cell r="G47">
            <v>69371</v>
          </cell>
          <cell r="H47">
            <v>66328</v>
          </cell>
          <cell r="I47">
            <v>65376</v>
          </cell>
        </row>
        <row r="48">
          <cell r="D48">
            <v>34708</v>
          </cell>
          <cell r="E48">
            <v>40389</v>
          </cell>
          <cell r="F48">
            <v>43063</v>
          </cell>
          <cell r="G48">
            <v>47906</v>
          </cell>
          <cell r="H48">
            <v>0</v>
          </cell>
          <cell r="I48">
            <v>76255</v>
          </cell>
        </row>
        <row r="49">
          <cell r="D49">
            <v>58557</v>
          </cell>
          <cell r="E49">
            <v>55714</v>
          </cell>
          <cell r="F49">
            <v>56717</v>
          </cell>
          <cell r="G49">
            <v>54676</v>
          </cell>
          <cell r="H49">
            <v>58149</v>
          </cell>
          <cell r="I49">
            <v>65104</v>
          </cell>
        </row>
        <row r="50">
          <cell r="D50">
            <v>60308</v>
          </cell>
          <cell r="E50">
            <v>75184</v>
          </cell>
          <cell r="F50">
            <v>73646</v>
          </cell>
          <cell r="G50">
            <v>82746</v>
          </cell>
          <cell r="H50">
            <v>75164</v>
          </cell>
          <cell r="I50">
            <v>92040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D52">
            <v>44658</v>
          </cell>
          <cell r="E52">
            <v>44584</v>
          </cell>
          <cell r="F52">
            <v>50222</v>
          </cell>
          <cell r="G52">
            <v>48972</v>
          </cell>
          <cell r="H52">
            <v>45887</v>
          </cell>
          <cell r="I52">
            <v>50958</v>
          </cell>
        </row>
        <row r="53">
          <cell r="D53">
            <v>46448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52316</v>
          </cell>
        </row>
        <row r="54">
          <cell r="D54">
            <v>85000</v>
          </cell>
          <cell r="E54">
            <v>56790</v>
          </cell>
          <cell r="F54">
            <v>50938</v>
          </cell>
          <cell r="G54">
            <v>56221</v>
          </cell>
          <cell r="H54">
            <v>57037</v>
          </cell>
          <cell r="I54">
            <v>57965</v>
          </cell>
        </row>
        <row r="55">
          <cell r="D55">
            <v>44190</v>
          </cell>
          <cell r="E55">
            <v>51060</v>
          </cell>
          <cell r="F55">
            <v>52533</v>
          </cell>
          <cell r="G55">
            <v>55950</v>
          </cell>
          <cell r="H55">
            <v>56546</v>
          </cell>
          <cell r="I55">
            <v>55442</v>
          </cell>
        </row>
        <row r="56">
          <cell r="D56">
            <v>41848</v>
          </cell>
          <cell r="E56">
            <v>51860</v>
          </cell>
          <cell r="F56">
            <v>53704</v>
          </cell>
          <cell r="G56">
            <v>51833</v>
          </cell>
          <cell r="H56">
            <v>53731</v>
          </cell>
          <cell r="I56">
            <v>61479</v>
          </cell>
        </row>
        <row r="57">
          <cell r="D57">
            <v>38787</v>
          </cell>
          <cell r="E57">
            <v>37108</v>
          </cell>
          <cell r="F57">
            <v>41218</v>
          </cell>
          <cell r="G57">
            <v>45778</v>
          </cell>
          <cell r="H57">
            <v>49339</v>
          </cell>
          <cell r="I57">
            <v>49506</v>
          </cell>
        </row>
        <row r="58">
          <cell r="D58">
            <v>61934</v>
          </cell>
          <cell r="E58">
            <v>65839</v>
          </cell>
          <cell r="F58">
            <v>69369</v>
          </cell>
          <cell r="G58">
            <v>82970</v>
          </cell>
          <cell r="H58">
            <v>82195</v>
          </cell>
          <cell r="I58">
            <v>84592</v>
          </cell>
        </row>
        <row r="59">
          <cell r="D59">
            <v>63933</v>
          </cell>
          <cell r="E59">
            <v>88664</v>
          </cell>
          <cell r="F59">
            <v>85059</v>
          </cell>
          <cell r="G59">
            <v>100125</v>
          </cell>
          <cell r="H59">
            <v>119232</v>
          </cell>
          <cell r="I59">
            <v>127162</v>
          </cell>
        </row>
        <row r="60">
          <cell r="D60">
            <v>61357</v>
          </cell>
          <cell r="E60">
            <v>79335</v>
          </cell>
          <cell r="F60">
            <v>75981</v>
          </cell>
          <cell r="G60">
            <v>89492</v>
          </cell>
          <cell r="H60">
            <v>93816</v>
          </cell>
          <cell r="I60">
            <v>97692</v>
          </cell>
        </row>
        <row r="61">
          <cell r="D61">
            <v>55703</v>
          </cell>
          <cell r="E61">
            <v>78492</v>
          </cell>
          <cell r="F61">
            <v>73390</v>
          </cell>
          <cell r="G61">
            <v>93817</v>
          </cell>
          <cell r="H61">
            <v>92593</v>
          </cell>
          <cell r="I61">
            <v>97774</v>
          </cell>
        </row>
        <row r="62">
          <cell r="D62">
            <v>51591</v>
          </cell>
          <cell r="E62">
            <v>57016</v>
          </cell>
          <cell r="F62">
            <v>59942</v>
          </cell>
          <cell r="G62">
            <v>79771</v>
          </cell>
          <cell r="H62">
            <v>80697</v>
          </cell>
          <cell r="I62">
            <v>85993</v>
          </cell>
        </row>
        <row r="63">
          <cell r="D63">
            <v>42185</v>
          </cell>
          <cell r="E63">
            <v>49795</v>
          </cell>
          <cell r="F63">
            <v>53524</v>
          </cell>
          <cell r="G63">
            <v>56005</v>
          </cell>
          <cell r="H63">
            <v>55504</v>
          </cell>
          <cell r="I63">
            <v>50559</v>
          </cell>
        </row>
        <row r="64">
          <cell r="D64">
            <v>27764</v>
          </cell>
          <cell r="E64">
            <v>31625</v>
          </cell>
          <cell r="F64">
            <v>35323</v>
          </cell>
          <cell r="G64">
            <v>35962</v>
          </cell>
          <cell r="H64">
            <v>34234</v>
          </cell>
          <cell r="I64">
            <v>35894</v>
          </cell>
        </row>
        <row r="65">
          <cell r="D65">
            <v>24027</v>
          </cell>
          <cell r="E65">
            <v>25116</v>
          </cell>
          <cell r="F65">
            <v>28115</v>
          </cell>
          <cell r="G65">
            <v>32570</v>
          </cell>
          <cell r="H65">
            <v>33929</v>
          </cell>
          <cell r="I65">
            <v>31106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31220</v>
          </cell>
        </row>
        <row r="67">
          <cell r="D67">
            <v>138834</v>
          </cell>
          <cell r="E67">
            <v>182855</v>
          </cell>
          <cell r="F67">
            <v>194975</v>
          </cell>
          <cell r="G67">
            <v>220908</v>
          </cell>
          <cell r="H67">
            <v>213858</v>
          </cell>
          <cell r="I67">
            <v>213626</v>
          </cell>
        </row>
        <row r="68">
          <cell r="D68">
            <v>0</v>
          </cell>
          <cell r="E68">
            <v>0</v>
          </cell>
          <cell r="F68">
            <v>205682</v>
          </cell>
          <cell r="G68">
            <v>0</v>
          </cell>
          <cell r="H68">
            <v>0</v>
          </cell>
          <cell r="I68">
            <v>222000</v>
          </cell>
        </row>
        <row r="69">
          <cell r="D69">
            <v>110919</v>
          </cell>
          <cell r="E69">
            <v>141261</v>
          </cell>
          <cell r="F69">
            <v>146386</v>
          </cell>
          <cell r="G69">
            <v>152246</v>
          </cell>
          <cell r="H69">
            <v>176675</v>
          </cell>
          <cell r="I69">
            <v>177197</v>
          </cell>
        </row>
        <row r="70">
          <cell r="D70">
            <v>132504</v>
          </cell>
          <cell r="E70">
            <v>158473</v>
          </cell>
          <cell r="F70">
            <v>172465</v>
          </cell>
          <cell r="G70">
            <v>167262</v>
          </cell>
          <cell r="H70">
            <v>202051</v>
          </cell>
          <cell r="I70">
            <v>203832</v>
          </cell>
        </row>
        <row r="71">
          <cell r="D71">
            <v>48481</v>
          </cell>
          <cell r="E71">
            <v>54702</v>
          </cell>
          <cell r="F71">
            <v>55122</v>
          </cell>
          <cell r="G71">
            <v>60807</v>
          </cell>
          <cell r="H71">
            <v>62877</v>
          </cell>
          <cell r="I71">
            <v>63743</v>
          </cell>
        </row>
        <row r="72">
          <cell r="D72">
            <v>43680</v>
          </cell>
          <cell r="E72">
            <v>44880</v>
          </cell>
          <cell r="F72">
            <v>48028</v>
          </cell>
          <cell r="G72">
            <v>50851</v>
          </cell>
          <cell r="H72">
            <v>53181</v>
          </cell>
          <cell r="I72">
            <v>54556</v>
          </cell>
        </row>
        <row r="73">
          <cell r="D73">
            <v>85550</v>
          </cell>
          <cell r="E73">
            <v>93478</v>
          </cell>
          <cell r="F73">
            <v>87304</v>
          </cell>
          <cell r="G73">
            <v>74036</v>
          </cell>
          <cell r="H73">
            <v>86408</v>
          </cell>
          <cell r="I73">
            <v>93800</v>
          </cell>
        </row>
        <row r="74">
          <cell r="D74">
            <v>53761</v>
          </cell>
          <cell r="E74">
            <v>61011</v>
          </cell>
          <cell r="F74">
            <v>64085</v>
          </cell>
          <cell r="G74">
            <v>72597</v>
          </cell>
          <cell r="H74">
            <v>68516</v>
          </cell>
          <cell r="I74">
            <v>70173</v>
          </cell>
        </row>
        <row r="75">
          <cell r="D75">
            <v>52942</v>
          </cell>
          <cell r="E75">
            <v>51546</v>
          </cell>
          <cell r="F75">
            <v>61343</v>
          </cell>
          <cell r="G75">
            <v>61271</v>
          </cell>
          <cell r="H75">
            <v>63007</v>
          </cell>
          <cell r="I75">
            <v>61980</v>
          </cell>
        </row>
        <row r="76">
          <cell r="D76">
            <v>66263</v>
          </cell>
          <cell r="E76">
            <v>73215</v>
          </cell>
          <cell r="F76">
            <v>79213</v>
          </cell>
          <cell r="G76">
            <v>87213</v>
          </cell>
          <cell r="H76">
            <v>85260</v>
          </cell>
          <cell r="I76">
            <v>87102</v>
          </cell>
        </row>
        <row r="77">
          <cell r="D77">
            <v>43941</v>
          </cell>
          <cell r="E77">
            <v>55118</v>
          </cell>
          <cell r="F77">
            <v>53782</v>
          </cell>
          <cell r="G77">
            <v>61657</v>
          </cell>
          <cell r="H77">
            <v>59259</v>
          </cell>
          <cell r="I77">
            <v>60716</v>
          </cell>
        </row>
        <row r="78">
          <cell r="D78">
            <v>62206</v>
          </cell>
          <cell r="E78">
            <v>69325</v>
          </cell>
          <cell r="F78">
            <v>69427</v>
          </cell>
          <cell r="G78">
            <v>76579</v>
          </cell>
          <cell r="H78">
            <v>84302</v>
          </cell>
          <cell r="I78">
            <v>88577</v>
          </cell>
        </row>
        <row r="79">
          <cell r="D79">
            <v>62028</v>
          </cell>
          <cell r="E79">
            <v>65417</v>
          </cell>
          <cell r="F79">
            <v>63014</v>
          </cell>
          <cell r="G79">
            <v>66382</v>
          </cell>
          <cell r="H79">
            <v>73709</v>
          </cell>
          <cell r="I79">
            <v>77056</v>
          </cell>
        </row>
        <row r="80">
          <cell r="D80">
            <v>53611</v>
          </cell>
          <cell r="E80">
            <v>58956</v>
          </cell>
          <cell r="F80">
            <v>62228</v>
          </cell>
          <cell r="G80">
            <v>63196</v>
          </cell>
          <cell r="H80">
            <v>70804</v>
          </cell>
          <cell r="I80">
            <v>72860</v>
          </cell>
        </row>
        <row r="81">
          <cell r="D81">
            <v>64905</v>
          </cell>
          <cell r="E81">
            <v>70361</v>
          </cell>
          <cell r="F81">
            <v>73494</v>
          </cell>
          <cell r="G81">
            <v>78241</v>
          </cell>
          <cell r="H81">
            <v>87823</v>
          </cell>
          <cell r="I81">
            <v>89854</v>
          </cell>
        </row>
        <row r="82">
          <cell r="D82">
            <v>89797</v>
          </cell>
          <cell r="E82">
            <v>103927</v>
          </cell>
          <cell r="F82">
            <v>108316</v>
          </cell>
          <cell r="G82">
            <v>104700</v>
          </cell>
          <cell r="H82">
            <v>103707</v>
          </cell>
          <cell r="I82">
            <v>108946</v>
          </cell>
        </row>
        <row r="83">
          <cell r="D83">
            <v>57031</v>
          </cell>
          <cell r="E83">
            <v>57103</v>
          </cell>
          <cell r="F83">
            <v>65524</v>
          </cell>
          <cell r="G83">
            <v>71432</v>
          </cell>
          <cell r="H83">
            <v>70402</v>
          </cell>
          <cell r="I83">
            <v>76012</v>
          </cell>
        </row>
        <row r="84">
          <cell r="D84">
            <v>46672</v>
          </cell>
          <cell r="E84">
            <v>50127</v>
          </cell>
          <cell r="F84">
            <v>57302</v>
          </cell>
          <cell r="G84">
            <v>60639</v>
          </cell>
          <cell r="H84">
            <v>59231</v>
          </cell>
          <cell r="I84">
            <v>60264</v>
          </cell>
        </row>
        <row r="85">
          <cell r="D85">
            <v>56625</v>
          </cell>
          <cell r="E85">
            <v>56706</v>
          </cell>
          <cell r="F85">
            <v>56907</v>
          </cell>
          <cell r="G85">
            <v>57859</v>
          </cell>
          <cell r="H85">
            <v>58119</v>
          </cell>
          <cell r="I85">
            <v>61251</v>
          </cell>
        </row>
        <row r="86">
          <cell r="D86">
            <v>38645</v>
          </cell>
          <cell r="E86">
            <v>45959</v>
          </cell>
          <cell r="F86">
            <v>42334</v>
          </cell>
          <cell r="G86">
            <v>46407</v>
          </cell>
          <cell r="H86">
            <v>43128</v>
          </cell>
          <cell r="I86">
            <v>47289</v>
          </cell>
        </row>
        <row r="87">
          <cell r="D87">
            <v>40376</v>
          </cell>
          <cell r="E87">
            <v>43490</v>
          </cell>
          <cell r="F87">
            <v>49575</v>
          </cell>
          <cell r="G87">
            <v>53828</v>
          </cell>
          <cell r="H87">
            <v>55074</v>
          </cell>
          <cell r="I87">
            <v>52048</v>
          </cell>
        </row>
        <row r="88">
          <cell r="D88">
            <v>27218</v>
          </cell>
          <cell r="E88">
            <v>29933</v>
          </cell>
          <cell r="F88">
            <v>31866</v>
          </cell>
          <cell r="G88">
            <v>34005</v>
          </cell>
          <cell r="H88">
            <v>34947</v>
          </cell>
          <cell r="I88">
            <v>35932</v>
          </cell>
        </row>
        <row r="89">
          <cell r="D89">
            <v>43278</v>
          </cell>
          <cell r="E89">
            <v>47845</v>
          </cell>
          <cell r="F89">
            <v>52927</v>
          </cell>
          <cell r="G89">
            <v>52815</v>
          </cell>
          <cell r="H89">
            <v>52194</v>
          </cell>
          <cell r="I89">
            <v>55114</v>
          </cell>
        </row>
        <row r="90">
          <cell r="D90">
            <v>52057</v>
          </cell>
          <cell r="E90">
            <v>50133</v>
          </cell>
          <cell r="F90">
            <v>51867</v>
          </cell>
          <cell r="G90">
            <v>59043</v>
          </cell>
          <cell r="H90">
            <v>57402</v>
          </cell>
          <cell r="I90">
            <v>55503</v>
          </cell>
        </row>
        <row r="91">
          <cell r="D91">
            <v>40190</v>
          </cell>
          <cell r="E91">
            <v>41152</v>
          </cell>
          <cell r="F91">
            <v>43017</v>
          </cell>
          <cell r="G91">
            <v>47888</v>
          </cell>
          <cell r="H91">
            <v>44779</v>
          </cell>
          <cell r="I91">
            <v>51708</v>
          </cell>
        </row>
        <row r="92">
          <cell r="D92">
            <v>36826</v>
          </cell>
          <cell r="E92">
            <v>41444</v>
          </cell>
          <cell r="F92">
            <v>41899</v>
          </cell>
          <cell r="G92">
            <v>48780</v>
          </cell>
          <cell r="H92">
            <v>48031</v>
          </cell>
          <cell r="I92">
            <v>53634</v>
          </cell>
        </row>
        <row r="93">
          <cell r="D93">
            <v>35946</v>
          </cell>
          <cell r="E93">
            <v>31972</v>
          </cell>
          <cell r="F93">
            <v>39004</v>
          </cell>
          <cell r="G93">
            <v>44504</v>
          </cell>
          <cell r="H93">
            <v>44184</v>
          </cell>
          <cell r="I93">
            <v>47733</v>
          </cell>
        </row>
        <row r="94">
          <cell r="D94">
            <v>39571</v>
          </cell>
          <cell r="E94">
            <v>53028</v>
          </cell>
          <cell r="F94">
            <v>68981</v>
          </cell>
          <cell r="G94">
            <v>62082</v>
          </cell>
          <cell r="H94">
            <v>66877</v>
          </cell>
          <cell r="I94">
            <v>67166</v>
          </cell>
        </row>
        <row r="95">
          <cell r="D95">
            <v>47189</v>
          </cell>
          <cell r="E95">
            <v>46915</v>
          </cell>
          <cell r="F95">
            <v>48752</v>
          </cell>
          <cell r="G95">
            <v>46666</v>
          </cell>
          <cell r="H95">
            <v>45857</v>
          </cell>
          <cell r="I95">
            <v>55984</v>
          </cell>
        </row>
        <row r="96">
          <cell r="D96">
            <v>41423</v>
          </cell>
          <cell r="E96">
            <v>40155</v>
          </cell>
          <cell r="F96">
            <v>38308</v>
          </cell>
          <cell r="G96">
            <v>41003</v>
          </cell>
          <cell r="H96">
            <v>37353</v>
          </cell>
          <cell r="I96">
            <v>42542</v>
          </cell>
        </row>
        <row r="97">
          <cell r="D97">
            <v>55484</v>
          </cell>
          <cell r="E97">
            <v>57521</v>
          </cell>
          <cell r="F97">
            <v>70370</v>
          </cell>
          <cell r="G97">
            <v>71508</v>
          </cell>
          <cell r="H97">
            <v>74955</v>
          </cell>
          <cell r="I97">
            <v>74876</v>
          </cell>
        </row>
        <row r="98">
          <cell r="D98">
            <v>49658</v>
          </cell>
          <cell r="E98">
            <v>50236</v>
          </cell>
          <cell r="F98">
            <v>67447</v>
          </cell>
          <cell r="G98">
            <v>64445</v>
          </cell>
          <cell r="H98">
            <v>73526</v>
          </cell>
          <cell r="I98">
            <v>63958</v>
          </cell>
        </row>
        <row r="99">
          <cell r="D99">
            <v>43112</v>
          </cell>
          <cell r="E99">
            <v>49606</v>
          </cell>
          <cell r="F99">
            <v>52853</v>
          </cell>
          <cell r="G99">
            <v>51995</v>
          </cell>
          <cell r="H99">
            <v>57379</v>
          </cell>
          <cell r="I99">
            <v>62763</v>
          </cell>
        </row>
        <row r="100">
          <cell r="D100">
            <v>43435</v>
          </cell>
          <cell r="E100">
            <v>49967</v>
          </cell>
          <cell r="F100">
            <v>58685</v>
          </cell>
          <cell r="G100">
            <v>57509</v>
          </cell>
          <cell r="H100">
            <v>62982</v>
          </cell>
          <cell r="I100">
            <v>68370</v>
          </cell>
        </row>
        <row r="101">
          <cell r="D101">
            <v>43046</v>
          </cell>
          <cell r="E101">
            <v>48067</v>
          </cell>
          <cell r="F101">
            <v>61321</v>
          </cell>
          <cell r="G101">
            <v>54779</v>
          </cell>
          <cell r="H101">
            <v>58712</v>
          </cell>
          <cell r="I101">
            <v>60631</v>
          </cell>
        </row>
        <row r="102">
          <cell r="D102">
            <v>49313</v>
          </cell>
          <cell r="E102">
            <v>48776</v>
          </cell>
          <cell r="F102">
            <v>54671</v>
          </cell>
          <cell r="G102">
            <v>58636</v>
          </cell>
          <cell r="H102">
            <v>52520</v>
          </cell>
          <cell r="I102">
            <v>62084</v>
          </cell>
        </row>
        <row r="103">
          <cell r="D103">
            <v>46852</v>
          </cell>
          <cell r="E103">
            <v>51132</v>
          </cell>
          <cell r="F103">
            <v>50746</v>
          </cell>
          <cell r="G103">
            <v>58644</v>
          </cell>
          <cell r="H103">
            <v>58509</v>
          </cell>
          <cell r="I103">
            <v>56508</v>
          </cell>
        </row>
        <row r="104">
          <cell r="D104">
            <v>0</v>
          </cell>
          <cell r="E104">
            <v>60931</v>
          </cell>
          <cell r="F104">
            <v>69694</v>
          </cell>
          <cell r="G104">
            <v>70591</v>
          </cell>
          <cell r="H104">
            <v>70175</v>
          </cell>
        </row>
        <row r="105">
          <cell r="D105">
            <v>37612</v>
          </cell>
          <cell r="E105">
            <v>41439</v>
          </cell>
          <cell r="F105">
            <v>47587</v>
          </cell>
          <cell r="G105">
            <v>48947</v>
          </cell>
          <cell r="H105">
            <v>49414</v>
          </cell>
          <cell r="I105">
            <v>54258</v>
          </cell>
        </row>
        <row r="106">
          <cell r="D106">
            <v>0</v>
          </cell>
          <cell r="E106">
            <v>58915</v>
          </cell>
          <cell r="F106">
            <v>60000</v>
          </cell>
          <cell r="G106">
            <v>0</v>
          </cell>
          <cell r="H106">
            <v>0</v>
          </cell>
        </row>
        <row r="107">
          <cell r="D107">
            <v>80457</v>
          </cell>
          <cell r="E107">
            <v>65452</v>
          </cell>
          <cell r="F107">
            <v>68430</v>
          </cell>
          <cell r="G107">
            <v>74388</v>
          </cell>
          <cell r="H107">
            <v>79284</v>
          </cell>
          <cell r="I107">
            <v>89673</v>
          </cell>
        </row>
        <row r="108">
          <cell r="D108">
            <v>40438</v>
          </cell>
          <cell r="E108">
            <v>37613</v>
          </cell>
          <cell r="F108">
            <v>44875</v>
          </cell>
          <cell r="G108">
            <v>42988</v>
          </cell>
          <cell r="H108">
            <v>49968</v>
          </cell>
          <cell r="I108">
            <v>54997</v>
          </cell>
        </row>
        <row r="109">
          <cell r="D109">
            <v>46918</v>
          </cell>
          <cell r="E109">
            <v>50793</v>
          </cell>
          <cell r="F109">
            <v>49719</v>
          </cell>
          <cell r="G109">
            <v>50738</v>
          </cell>
          <cell r="H109">
            <v>51485</v>
          </cell>
          <cell r="I109">
            <v>56810</v>
          </cell>
        </row>
        <row r="110">
          <cell r="D110">
            <v>28895</v>
          </cell>
          <cell r="E110">
            <v>39301</v>
          </cell>
          <cell r="F110">
            <v>40889</v>
          </cell>
          <cell r="G110">
            <v>41387</v>
          </cell>
          <cell r="H110">
            <v>39852</v>
          </cell>
          <cell r="I110">
            <v>40464</v>
          </cell>
        </row>
        <row r="111">
          <cell r="D111">
            <v>26513</v>
          </cell>
          <cell r="E111">
            <v>30798</v>
          </cell>
          <cell r="F111">
            <v>36200</v>
          </cell>
          <cell r="G111">
            <v>39607</v>
          </cell>
          <cell r="H111">
            <v>38667</v>
          </cell>
          <cell r="I111">
            <v>37439</v>
          </cell>
        </row>
        <row r="112">
          <cell r="D112">
            <v>21135</v>
          </cell>
          <cell r="E112">
            <v>29994</v>
          </cell>
          <cell r="F112">
            <v>32863</v>
          </cell>
          <cell r="G112">
            <v>28374</v>
          </cell>
          <cell r="H112">
            <v>30680</v>
          </cell>
          <cell r="I112">
            <v>32399</v>
          </cell>
        </row>
        <row r="113">
          <cell r="D113">
            <v>24536</v>
          </cell>
          <cell r="E113">
            <v>26635</v>
          </cell>
          <cell r="F113">
            <v>25797</v>
          </cell>
          <cell r="G113">
            <v>25396</v>
          </cell>
          <cell r="H113">
            <v>28817</v>
          </cell>
          <cell r="I113">
            <v>29065</v>
          </cell>
        </row>
        <row r="114">
          <cell r="D114">
            <v>52861</v>
          </cell>
          <cell r="E114">
            <v>55517</v>
          </cell>
          <cell r="F114">
            <v>59646</v>
          </cell>
          <cell r="G114">
            <v>59324</v>
          </cell>
          <cell r="H114">
            <v>62176</v>
          </cell>
          <cell r="I114">
            <v>65935</v>
          </cell>
        </row>
        <row r="115">
          <cell r="D115">
            <v>45935</v>
          </cell>
          <cell r="E115">
            <v>47509</v>
          </cell>
          <cell r="F115">
            <v>53826</v>
          </cell>
          <cell r="G115">
            <v>54346</v>
          </cell>
          <cell r="H115">
            <v>66277</v>
          </cell>
          <cell r="I115">
            <v>64474</v>
          </cell>
        </row>
        <row r="116">
          <cell r="D116">
            <v>51895</v>
          </cell>
          <cell r="E116">
            <v>52064</v>
          </cell>
          <cell r="F116">
            <v>60429</v>
          </cell>
          <cell r="G116">
            <v>60956</v>
          </cell>
          <cell r="H116">
            <v>65529</v>
          </cell>
          <cell r="I116">
            <v>70228</v>
          </cell>
        </row>
        <row r="117">
          <cell r="D117">
            <v>0</v>
          </cell>
          <cell r="E117">
            <v>55368</v>
          </cell>
          <cell r="F117">
            <v>67368</v>
          </cell>
          <cell r="G117">
            <v>71236</v>
          </cell>
          <cell r="H117">
            <v>72500</v>
          </cell>
          <cell r="I117">
            <v>70070</v>
          </cell>
        </row>
        <row r="118">
          <cell r="D118">
            <v>0</v>
          </cell>
          <cell r="E118">
            <v>36650</v>
          </cell>
          <cell r="F118">
            <v>47273</v>
          </cell>
          <cell r="G118">
            <v>51003</v>
          </cell>
          <cell r="H118">
            <v>54737</v>
          </cell>
          <cell r="I118">
            <v>61818</v>
          </cell>
        </row>
        <row r="119">
          <cell r="D119">
            <v>42678</v>
          </cell>
          <cell r="E119">
            <v>44134</v>
          </cell>
          <cell r="F119">
            <v>45314</v>
          </cell>
          <cell r="G119">
            <v>53919</v>
          </cell>
          <cell r="H119">
            <v>58660</v>
          </cell>
          <cell r="I119">
            <v>58342</v>
          </cell>
        </row>
        <row r="120">
          <cell r="D120">
            <v>47273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D121">
            <v>54077</v>
          </cell>
          <cell r="E121">
            <v>62901</v>
          </cell>
          <cell r="F121">
            <v>68030</v>
          </cell>
          <cell r="G121">
            <v>68864</v>
          </cell>
          <cell r="H121">
            <v>65748</v>
          </cell>
          <cell r="I121">
            <v>75231</v>
          </cell>
        </row>
        <row r="122">
          <cell r="D122">
            <v>78981</v>
          </cell>
          <cell r="E122">
            <v>85818</v>
          </cell>
          <cell r="F122">
            <v>90000</v>
          </cell>
          <cell r="G122">
            <v>90028</v>
          </cell>
          <cell r="H122">
            <v>92000</v>
          </cell>
          <cell r="I122">
            <v>90142</v>
          </cell>
        </row>
        <row r="123">
          <cell r="D123">
            <v>44277</v>
          </cell>
          <cell r="E123">
            <v>36966</v>
          </cell>
          <cell r="F123">
            <v>36395</v>
          </cell>
          <cell r="G123">
            <v>41336</v>
          </cell>
          <cell r="H123">
            <v>44843</v>
          </cell>
          <cell r="I123">
            <v>45929</v>
          </cell>
        </row>
        <row r="124">
          <cell r="D124">
            <v>0</v>
          </cell>
          <cell r="E124">
            <v>29474</v>
          </cell>
          <cell r="F124">
            <v>0</v>
          </cell>
          <cell r="G124">
            <v>0</v>
          </cell>
          <cell r="H124">
            <v>41937</v>
          </cell>
        </row>
        <row r="125">
          <cell r="D125">
            <v>0</v>
          </cell>
          <cell r="E125">
            <v>0</v>
          </cell>
          <cell r="F125">
            <v>0</v>
          </cell>
          <cell r="G125">
            <v>74838</v>
          </cell>
          <cell r="H125">
            <v>71470</v>
          </cell>
          <cell r="I125">
            <v>70247</v>
          </cell>
        </row>
        <row r="126"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D129">
            <v>58899</v>
          </cell>
          <cell r="E129">
            <v>58209</v>
          </cell>
          <cell r="F129">
            <v>57883</v>
          </cell>
          <cell r="G129">
            <v>57589</v>
          </cell>
          <cell r="H129">
            <v>57972</v>
          </cell>
          <cell r="I129">
            <v>61518</v>
          </cell>
        </row>
        <row r="130">
          <cell r="D130">
            <v>70643</v>
          </cell>
          <cell r="E130">
            <v>80576</v>
          </cell>
          <cell r="F130">
            <v>82663</v>
          </cell>
          <cell r="G130">
            <v>85975</v>
          </cell>
          <cell r="H130">
            <v>88314</v>
          </cell>
          <cell r="I130">
            <v>92878</v>
          </cell>
        </row>
        <row r="131">
          <cell r="D131">
            <v>54306</v>
          </cell>
          <cell r="E131">
            <v>64710</v>
          </cell>
          <cell r="F131">
            <v>64607</v>
          </cell>
          <cell r="G131">
            <v>68243</v>
          </cell>
          <cell r="H131">
            <v>69598</v>
          </cell>
          <cell r="I131">
            <v>72206</v>
          </cell>
        </row>
        <row r="132">
          <cell r="D132">
            <v>38889</v>
          </cell>
          <cell r="E132">
            <v>46202</v>
          </cell>
          <cell r="F132">
            <v>48066</v>
          </cell>
          <cell r="G132">
            <v>49876</v>
          </cell>
          <cell r="H132">
            <v>50708</v>
          </cell>
          <cell r="I132">
            <v>53073</v>
          </cell>
        </row>
        <row r="133">
          <cell r="D133">
            <v>25036</v>
          </cell>
          <cell r="E133">
            <v>30629</v>
          </cell>
          <cell r="F133">
            <v>28851</v>
          </cell>
          <cell r="G133">
            <v>31845</v>
          </cell>
          <cell r="H133">
            <v>32382</v>
          </cell>
          <cell r="I133">
            <v>32372</v>
          </cell>
        </row>
      </sheetData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ta"/>
      <sheetName val="PreCons.'03"/>
      <sheetName val="A"/>
      <sheetName val="근로시간"/>
      <sheetName val="급여대장"/>
      <sheetName val="고지내역"/>
      <sheetName val="급여명세서"/>
      <sheetName val="2014간이세액표"/>
      <sheetName val="근로계약서(직원)"/>
      <sheetName val="근로계약서(단시간)"/>
      <sheetName val="근로계약서(주15시간미만)"/>
      <sheetName val="PreCons_'03"/>
      <sheetName val="일반근로자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E2">
            <v>0</v>
          </cell>
        </row>
        <row r="3">
          <cell r="E3">
            <v>0</v>
          </cell>
        </row>
        <row r="4">
          <cell r="E4">
            <v>0</v>
          </cell>
        </row>
        <row r="5">
          <cell r="E5" t="str">
            <v>입사일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성명</v>
          </cell>
        </row>
      </sheetData>
      <sheetData sheetId="12">
        <row r="1">
          <cell r="A1" t="str">
            <v>성명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anga"/>
      <sheetName val="ilch"/>
      <sheetName val="을"/>
      <sheetName val="2F 회의실견적(5_14 일대)"/>
      <sheetName val="직노"/>
      <sheetName val="계화배수"/>
      <sheetName val="일위대가"/>
      <sheetName val="단면가정"/>
      <sheetName val="내역서"/>
      <sheetName val="Y-WORK"/>
      <sheetName val="정부노임단가"/>
      <sheetName val="토목내역"/>
      <sheetName val="LEGEND"/>
      <sheetName val="직공비"/>
      <sheetName val="I一般比"/>
      <sheetName val="1월"/>
      <sheetName val="code"/>
      <sheetName val="정보매체A동"/>
      <sheetName val="포장절단"/>
      <sheetName val="일위대가표"/>
      <sheetName val="교각계산"/>
      <sheetName val="INPUT(덕도방향-시점)"/>
      <sheetName val="기둥(원형)"/>
      <sheetName val="일위대가목차"/>
      <sheetName val="맨홀수량집계"/>
      <sheetName val="토공"/>
      <sheetName val="일반물자(한국통신)"/>
      <sheetName val="일반맨홀수량집계(A-7 LINE)"/>
      <sheetName val="일반맨홀수량집계"/>
      <sheetName val="3BL공동구 수량"/>
      <sheetName val="설산1.나"/>
      <sheetName val="본사S"/>
      <sheetName val="기본단가표"/>
      <sheetName val="20관리비율"/>
      <sheetName val="평가데이터"/>
      <sheetName val="날개벽(시점좌측)"/>
      <sheetName val="공통가설"/>
      <sheetName val="집계표"/>
      <sheetName val="DATA"/>
      <sheetName val="공사비명세서"/>
      <sheetName val="TABLE"/>
      <sheetName val="JUCKEYK"/>
      <sheetName val="COPING"/>
      <sheetName val="3.하중산정4.지지력"/>
      <sheetName val="열린교실"/>
      <sheetName val="TB-내역서"/>
      <sheetName val="Sheet5"/>
      <sheetName val="내역"/>
      <sheetName val="1-1"/>
      <sheetName val="총괄-1"/>
      <sheetName val="현장"/>
      <sheetName val="전기"/>
      <sheetName val="연령현황"/>
      <sheetName val=" 견적서"/>
      <sheetName val="LOPCALC"/>
      <sheetName val="VXXXXXXX"/>
      <sheetName val="품셈"/>
      <sheetName val="교각1"/>
      <sheetName val="설계변경원가계산총괄표"/>
      <sheetName val="BID"/>
      <sheetName val="토공(완충)"/>
      <sheetName val="input"/>
      <sheetName val="원형맨홀수량"/>
      <sheetName val="SLAB&quot;1&quot;"/>
      <sheetName val="대비"/>
      <sheetName val="설계조건"/>
      <sheetName val="안정계산"/>
      <sheetName val="기계경비"/>
      <sheetName val="인건비(환율)"/>
      <sheetName val="단가표 "/>
      <sheetName val="woo(mac)"/>
      <sheetName val="차액보증"/>
      <sheetName val="모니터"/>
      <sheetName val="공통부대비"/>
      <sheetName val="부대내역"/>
      <sheetName val="표지"/>
      <sheetName val="대치판정"/>
      <sheetName val="수량3"/>
      <sheetName val="투찰"/>
      <sheetName val="마산방향철근집계"/>
      <sheetName val="진주방향"/>
      <sheetName val="마산방향"/>
      <sheetName val="Total"/>
      <sheetName val="수량산출"/>
      <sheetName val="공구원가계산"/>
      <sheetName val="가설건물"/>
      <sheetName val="전기품산출"/>
      <sheetName val="부하(성남)"/>
      <sheetName val="96수출"/>
      <sheetName val="조작대(1연)"/>
      <sheetName val="B2BERP"/>
      <sheetName val="금액"/>
      <sheetName val="공사비"/>
      <sheetName val="물량산출근거"/>
      <sheetName val="공사개요"/>
      <sheetName val="예산서"/>
      <sheetName val="guard(mac)"/>
      <sheetName val="DATA(BAC)"/>
      <sheetName val="DATA1"/>
      <sheetName val="Sheet4"/>
      <sheetName val="2F_회의실견적(5_14_일대)"/>
      <sheetName val="3BL공동구_수량"/>
      <sheetName val="쌍송교"/>
      <sheetName val="변화치수"/>
      <sheetName val="목록"/>
      <sheetName val="Sheet1"/>
      <sheetName val="#REF"/>
      <sheetName val="토목품셈"/>
      <sheetName val="품목"/>
      <sheetName val="J直材4"/>
      <sheetName val="N賃率-職"/>
      <sheetName val="b_gunmul"/>
      <sheetName val="b_balju (2)"/>
      <sheetName val="연부97-1"/>
      <sheetName val="갑지1"/>
      <sheetName val="SORCE1"/>
      <sheetName val="가시설단위수량"/>
      <sheetName val="단위수량"/>
      <sheetName val="공정집계_국별"/>
      <sheetName val="적용률"/>
      <sheetName val="기본일위"/>
      <sheetName val="가공비"/>
      <sheetName val="작성"/>
      <sheetName val="산출내역"/>
      <sheetName val="총괄"/>
      <sheetName val="부속동"/>
      <sheetName val="깨기"/>
      <sheetName val="공사비예산서(토목분)"/>
      <sheetName val="기초공"/>
      <sheetName val="내역1"/>
      <sheetName val="건축내역"/>
      <sheetName val="CAT_5"/>
      <sheetName val="방송노임"/>
      <sheetName val="FRT_O"/>
      <sheetName val="FAB_I"/>
      <sheetName val="설계명세서"/>
      <sheetName val="우배수"/>
      <sheetName val="조건표"/>
      <sheetName val="DATA-1"/>
      <sheetName val="입찰안"/>
      <sheetName val="설직재-1"/>
      <sheetName val="월선수금"/>
      <sheetName val="간선계산"/>
      <sheetName val="주경기-오배수"/>
      <sheetName val="인테리어세부내역"/>
      <sheetName val="금액내역서"/>
      <sheetName val="영업.일1"/>
      <sheetName val="광혁기성"/>
      <sheetName val="피엘"/>
      <sheetName val="ETC"/>
      <sheetName val="2공구산출내역"/>
      <sheetName val="샘플표지"/>
      <sheetName val="공종집계"/>
      <sheetName val="방송일위대가"/>
      <sheetName val="단가"/>
      <sheetName val="백암비스타내역"/>
      <sheetName val="단중표"/>
      <sheetName val="단"/>
      <sheetName val="단가일람"/>
      <sheetName val="관람석제출"/>
      <sheetName val="케이블"/>
      <sheetName val="TYPE-A"/>
      <sheetName val="D-3503"/>
      <sheetName val="내역서2안"/>
      <sheetName val="경산"/>
      <sheetName val="WORK"/>
      <sheetName val="1.우편집중내역서"/>
      <sheetName val="기둥"/>
      <sheetName val="저판(버림100)"/>
      <sheetName val="SILICATE"/>
      <sheetName val="06-BATCH "/>
      <sheetName val="실행내역"/>
      <sheetName val="설계"/>
      <sheetName val="기흥하도용"/>
      <sheetName val="L형옹벽(key)"/>
      <sheetName val="DATE"/>
      <sheetName val="제품"/>
      <sheetName val="세부내역"/>
      <sheetName val="단면(RW1)"/>
      <sheetName val="BSD (2)"/>
      <sheetName val="원가계산서"/>
      <sheetName val="옹벽"/>
      <sheetName val="경비2내역"/>
      <sheetName val="배수장공사비명세서"/>
      <sheetName val="전기일위대가"/>
      <sheetName val="Sheet2"/>
      <sheetName val="BEND LOSS"/>
      <sheetName val="데이타"/>
      <sheetName val="1단계"/>
      <sheetName val="정렬"/>
      <sheetName val="자재단가비교표"/>
      <sheetName val="목표세부명세"/>
      <sheetName val="공문"/>
      <sheetName val="부대비율"/>
      <sheetName val="Tables"/>
      <sheetName val="단가산출2"/>
      <sheetName val="960318-1"/>
      <sheetName val="일위대가목록"/>
      <sheetName val="KMT물량"/>
      <sheetName val="전장품(관리용)"/>
      <sheetName val="97년추정손익계산서"/>
      <sheetName val="RING WALL"/>
      <sheetName val="노임단가"/>
      <sheetName val="단가조사서"/>
      <sheetName val="내역서-CCTV"/>
      <sheetName val="Facility Information"/>
      <sheetName val="General"/>
      <sheetName val="Instructions"/>
      <sheetName val="People"/>
      <sheetName val="Quality"/>
      <sheetName val="Risk"/>
      <sheetName val="Training"/>
      <sheetName val="남양시작동자105노65기1.3화1.2"/>
      <sheetName val="삼성전기"/>
      <sheetName val="Sheet1 (2)"/>
      <sheetName val="부재력정리"/>
      <sheetName val="간노_콘"/>
      <sheetName val="기계내역"/>
      <sheetName val="CIVIL"/>
      <sheetName val="전압강하계산"/>
      <sheetName val="치수표"/>
      <sheetName val="을지"/>
      <sheetName val="단면검토"/>
      <sheetName val="TEL"/>
      <sheetName val="기성내역"/>
      <sheetName val="식재품셈"/>
      <sheetName val="ITB COST"/>
      <sheetName val="계산근거"/>
      <sheetName val="공사요율"/>
      <sheetName val="단가견적조사표"/>
      <sheetName val="단면 (2)"/>
      <sheetName val="공통가설공사"/>
      <sheetName val="날개벽"/>
      <sheetName val="견적대비표"/>
      <sheetName val="갑지(추정)"/>
      <sheetName val="ITEM"/>
      <sheetName val="Macro1"/>
      <sheetName val="증감분석"/>
      <sheetName val="사급자재"/>
      <sheetName val="입출재고현황 (2)"/>
      <sheetName val="자재대"/>
      <sheetName val="허용전류-IEC"/>
      <sheetName val="허용전류-IEC DATA"/>
      <sheetName val="배수관공"/>
      <sheetName val="P.M 별"/>
      <sheetName val="제직재"/>
      <sheetName val="제-노임"/>
      <sheetName val="부하"/>
      <sheetName val="감시제어"/>
      <sheetName val="목차임시"/>
      <sheetName val="견적대비"/>
      <sheetName val="총계"/>
      <sheetName val="주관사업"/>
      <sheetName val="Sheet6"/>
      <sheetName val="2.냉난방설비공사"/>
      <sheetName val="A"/>
      <sheetName val="민속촌메뉴"/>
      <sheetName val="공사비 내역 (가)"/>
      <sheetName val="Mc1"/>
      <sheetName val="_산근2_"/>
      <sheetName val="_산근4_"/>
      <sheetName val="_산근5_"/>
      <sheetName val="보차도경계석"/>
      <sheetName val="내역서(갑)"/>
      <sheetName val="Customer Databas"/>
      <sheetName val="소비자가"/>
      <sheetName val="월별수입"/>
      <sheetName val="CONCRETE"/>
      <sheetName val="EACT10"/>
      <sheetName val="자재"/>
      <sheetName val="A-4"/>
      <sheetName val="입찰보고"/>
      <sheetName val="현장관리비내역서"/>
      <sheetName val="UserData"/>
      <sheetName val="3_하중산정4_지지력"/>
      <sheetName val="_견적서"/>
      <sheetName val="설산1_나"/>
      <sheetName val="일반맨홀수량집계(A-7_LINE)"/>
      <sheetName val="b_balju_(2)"/>
      <sheetName val="ABUT수량-A1"/>
      <sheetName val="단가조사"/>
      <sheetName val="BLOCK(1)"/>
      <sheetName val="대,유,램"/>
      <sheetName val="ASP"/>
      <sheetName val="하중계산"/>
      <sheetName val="직재"/>
      <sheetName val="중기사용료산출근거"/>
      <sheetName val="단가 및 재료비"/>
      <sheetName val="우각부보강"/>
      <sheetName val="내역서form"/>
      <sheetName val="마감물량3"/>
      <sheetName val="빙장비사양"/>
      <sheetName val="장비사양"/>
      <sheetName val="적용기준"/>
      <sheetName val="공사비내역서"/>
      <sheetName val="시설물일위"/>
      <sheetName val="계수시트"/>
      <sheetName val="항목별"/>
      <sheetName val="합천내역"/>
      <sheetName val="내외국인총괄"/>
      <sheetName val="1을"/>
      <sheetName val="XL4Poppy"/>
      <sheetName val="copy"/>
      <sheetName val="서식"/>
      <sheetName val="말뚝지지력산정"/>
      <sheetName val=" HIT-&gt;HMC 견적(3900)"/>
      <sheetName val="FACTOR"/>
      <sheetName val="지중자재단가"/>
      <sheetName val="물가자료"/>
      <sheetName val="리터팬내장형"/>
      <sheetName val="집1"/>
      <sheetName val="CPM챠트"/>
      <sheetName val="환율"/>
    </sheetNames>
    <sheetDataSet>
      <sheetData sheetId="0">
        <row r="1">
          <cell r="A1" t="str">
            <v>코드</v>
          </cell>
        </row>
      </sheetData>
      <sheetData sheetId="1" refreshError="1"/>
      <sheetData sheetId="2" refreshError="1">
        <row r="1">
          <cell r="A1" t="str">
            <v>코드</v>
          </cell>
        </row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R"/>
      <sheetName val="부하"/>
      <sheetName val="TR용량"/>
      <sheetName val="BATT"/>
      <sheetName val="GENCALC"/>
      <sheetName val="CABLE SIZE CALCULATION SHEET"/>
      <sheetName val="IMPEADENCE MAP "/>
      <sheetName val="IMPEADENCE "/>
      <sheetName val="등가거리"/>
      <sheetName val="MCCCALC"/>
      <sheetName val="CABLECALC"/>
      <sheetName val="DATA"/>
      <sheetName val="DATA1"/>
      <sheetName val="설계참고목차"/>
      <sheetName val="수량조서"/>
      <sheetName val="1.철주신설"/>
      <sheetName val="2.철주신설"/>
      <sheetName val="3.철주신설"/>
      <sheetName val="4.비임신설"/>
      <sheetName val="5.기기가대"/>
      <sheetName val="6.철주기초"/>
      <sheetName val="7.기기기초"/>
      <sheetName val="8.기기기초"/>
      <sheetName val="9.기기기초"/>
      <sheetName val="10.단권변압기"/>
      <sheetName val="11.가스절연"/>
      <sheetName val="12.전자식제어반"/>
      <sheetName val="13.고장점표정반"/>
      <sheetName val="14.GP"/>
      <sheetName val="15.전철용RTU"/>
      <sheetName val="16.R-C BANK"/>
      <sheetName val="17.모선배선"/>
      <sheetName val="18.제어및전력케이블"/>
      <sheetName val="19.핏트"/>
      <sheetName val="20.배수로"/>
      <sheetName val="21.스틸그레이팅"/>
      <sheetName val="22.접지장치"/>
      <sheetName val="23.옥외전선관"/>
      <sheetName val="24.옥외외등"/>
      <sheetName val="25.무인화설비"/>
      <sheetName val="26.콘크리트포장"/>
      <sheetName val="27.자갈부설"/>
      <sheetName val="28.휀스"/>
      <sheetName val="29.소내용TR"/>
      <sheetName val="30.고배용VCB"/>
      <sheetName val="31.고배용RTU"/>
      <sheetName val="32.기기기초"/>
      <sheetName val="33.지중케이블"/>
      <sheetName val="34.전력용관로"/>
      <sheetName val="35.장주신설"/>
      <sheetName val="36.맨홀"/>
      <sheetName val="37.운반비"/>
      <sheetName val="운반비(철재류)"/>
      <sheetName val="운반비(전선관)"/>
      <sheetName val="운반비(전선류)"/>
      <sheetName val="호표"/>
      <sheetName val="시중노임표"/>
      <sheetName val="견적단가"/>
      <sheetName val="재료단가"/>
      <sheetName val="견적갑지"/>
      <sheetName val="입찰참가보고 (2)"/>
      <sheetName val="집계표"/>
      <sheetName val="내역"/>
      <sheetName val="부대공II"/>
      <sheetName val="가설사무실"/>
      <sheetName val="조직도"/>
      <sheetName val="카메라"/>
      <sheetName val="토목원가계산서"/>
      <sheetName val="토목원가"/>
      <sheetName val="집계장"/>
      <sheetName val="설계내역"/>
      <sheetName val="제외공종"/>
      <sheetName val="000000"/>
      <sheetName val="조명율표"/>
      <sheetName val="CABLE"/>
      <sheetName val="전동기수정"/>
      <sheetName val="전동기적용"/>
      <sheetName val="전동기"/>
      <sheetName val="PACKAGE"/>
      <sheetName val="전선"/>
      <sheetName val="전선관"/>
      <sheetName val="허용전류"/>
      <sheetName val="선로정수"/>
      <sheetName val="전선관(1)"/>
      <sheetName val="부하산정"/>
      <sheetName val="케이블선정"/>
      <sheetName val="Sheet9"/>
      <sheetName val="Sheet10"/>
      <sheetName val="Sheet12"/>
      <sheetName val="Sheet11"/>
      <sheetName val="Sheet13"/>
      <sheetName val="Sheet14"/>
      <sheetName val="Sheet15"/>
      <sheetName val="Sheet16"/>
      <sheetName val="표지"/>
      <sheetName val="원가계산"/>
      <sheetName val="원가계산기준"/>
      <sheetName val="단가산출서"/>
      <sheetName val="수량산출-재료"/>
      <sheetName val="수량산출-노무"/>
      <sheetName val="산출1-전력"/>
      <sheetName val="산출1-분전반"/>
      <sheetName val="산출2-기기동력"/>
      <sheetName val="산출3-동력"/>
      <sheetName val="산출4-접지"/>
      <sheetName val="산출5-피뢰침"/>
      <sheetName val="산출6-전등"/>
      <sheetName val="산출-전등(TRAY)"/>
      <sheetName val="산출7-전열"/>
      <sheetName val="산출8-조명제어"/>
      <sheetName val="산출9-TRAY"/>
      <sheetName val="단가조사-1"/>
      <sheetName val="단가조사-2"/>
      <sheetName val="일위집계"/>
      <sheetName val="일위대가"/>
      <sheetName val="노임단가"/>
      <sheetName val="공정현황보고(3.20) (2)"/>
      <sheetName val="추진공정(법인)3.20"/>
      <sheetName val="공정현황보고(3.27) (2)"/>
      <sheetName val="추진공정(법인)3.27"/>
      <sheetName val="공정현황보고(4.2)"/>
      <sheetName val="목차"/>
      <sheetName val="도급내역서"/>
      <sheetName val="1.공사집행계획서"/>
      <sheetName val="2.예산내역검토서"/>
      <sheetName val="3.실행원가내역서"/>
      <sheetName val="4.실행예산단가산출서(단가)"/>
      <sheetName val="4.실행예산단가산출서(금액)"/>
      <sheetName val="5.현장관리비"/>
      <sheetName val="6.공사예정공정표"/>
      <sheetName val="7.인원동원현황"/>
      <sheetName val="8.장비투입현황"/>
      <sheetName val="9.문제점 및 대책"/>
      <sheetName val="10.설계변경 및 추가공사"/>
      <sheetName val="공사수행범위"/>
      <sheetName val="자재투입계획"/>
      <sheetName val="사급자재구입량"/>
      <sheetName val="산출근거"/>
      <sheetName val="사급자재재료표"/>
      <sheetName val="단가비교표"/>
      <sheetName val="Chart1"/>
      <sheetName val="내역서"/>
      <sheetName val="단위내역목록"/>
      <sheetName val="단위내역서"/>
      <sheetName val="총괄표"/>
      <sheetName val="원가(1)"/>
      <sheetName val="원가(2)"/>
      <sheetName val="공량산출서"/>
      <sheetName val="Sheet1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Module1"/>
      <sheetName val="ITEM"/>
      <sheetName val="적쒩2002"/>
      <sheetName val="단위내엍목록"/>
      <sheetName val="원가계산서"/>
      <sheetName val="설계내역서"/>
      <sheetName val="제어반공량"/>
      <sheetName val="가격조사"/>
      <sheetName val="제어반견적"/>
      <sheetName val="주요물량"/>
      <sheetName val="WORK"/>
      <sheetName val="안영판암원가계산서"/>
      <sheetName val="안영-판암간집계표"/>
      <sheetName val="안영복개집계표"/>
      <sheetName val="안영복개터널옥외변전"/>
      <sheetName val="안영복개터널가로등"/>
      <sheetName val="안영복개터널케이블(할증제외)"/>
      <sheetName val="안영복개터널케이블(할증)"/>
      <sheetName val="안영복개터널조명(할증제외)"/>
      <sheetName val="안영복개터널조명(할증)"/>
      <sheetName val="안영복개터널방재(할증제외)"/>
      <sheetName val="안영복개터널방재(할증)"/>
      <sheetName val="안영복개터널소화기(할증제외)"/>
      <sheetName val="안영복개터널소화기(할증)"/>
      <sheetName val="구완집계표"/>
      <sheetName val="구완터널옥외변전"/>
      <sheetName val="구완터널가로등"/>
      <sheetName val="구완터널케이블(할증제외)"/>
      <sheetName val="구완터널케이블(할증)"/>
      <sheetName val="구완터널조명(할증제외)"/>
      <sheetName val="구완터널조명(할증)"/>
      <sheetName val="구완터널방재(할증제외)"/>
      <sheetName val="구완터널방재(할증)"/>
      <sheetName val="구완터널소화기(할증제외)"/>
      <sheetName val="구완터널소화기(할증)"/>
      <sheetName val="안영영업소집계표"/>
      <sheetName val="안영옥외전기"/>
      <sheetName val="안영옥내전기"/>
      <sheetName val="안영옥내약전설비공사"/>
      <sheetName val="안영소방"/>
      <sheetName val="안영TG설비공사"/>
      <sheetName val="안영지명표지판총괄"/>
      <sheetName val="안영지명표지판"/>
      <sheetName val="안영지명표지판2"/>
      <sheetName val="안영IC집계표"/>
      <sheetName val="안영IC"/>
      <sheetName val="안영IC신호등집계표"/>
      <sheetName val="안영IC신호등"/>
      <sheetName val="남대전JC집계표"/>
      <sheetName val="남대전JC"/>
      <sheetName val="교량집계표(안영-판암감)"/>
      <sheetName val="교량점검등(안영-판암간)"/>
      <sheetName val="지급자재집계표"/>
      <sheetName val="안영복개터널지급자재"/>
      <sheetName val="구완터널지급자재"/>
      <sheetName val="안영영업소지급자재"/>
      <sheetName val="안영IC가로등지급자재"/>
      <sheetName val="남대전JC가로등지급자재"/>
      <sheetName val="공구손료 산출내역"/>
      <sheetName val="정부노임단가"/>
      <sheetName val="일반공사"/>
      <sheetName val="DS-LOAD"/>
      <sheetName val="11.자재단가"/>
      <sheetName val="2F 회의실견적(5_14 일대)"/>
      <sheetName val="CONCRETE"/>
      <sheetName val="공문"/>
      <sheetName val="갑지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지급자재"/>
      <sheetName val="차액보증"/>
      <sheetName val="대비"/>
      <sheetName val="D-3503"/>
      <sheetName val="P礔CKAGE"/>
      <sheetName val="운반비(전선륐)"/>
      <sheetName val="남양시작동자105노65기1.3화1.2"/>
      <sheetName val="공통비"/>
      <sheetName val="경비"/>
      <sheetName val="데이타"/>
      <sheetName val="건축내역"/>
      <sheetName val="날개벽"/>
      <sheetName val="전기일위대가"/>
      <sheetName val="Y-WORK"/>
      <sheetName val="#REF"/>
      <sheetName val="건축"/>
      <sheetName val="A-4"/>
      <sheetName val="코드"/>
      <sheetName val="자재단가"/>
      <sheetName val="BLOCK(1)"/>
      <sheetName val="부대내역"/>
      <sheetName val="결과조달"/>
      <sheetName val="타공종이기"/>
      <sheetName val="Sheet1 (2)"/>
      <sheetName val="투찰"/>
      <sheetName val="ABUT수량-A1"/>
      <sheetName val="전차선로 물량표"/>
      <sheetName val="설계예산내역서"/>
      <sheetName val="노원열병합  건축공사기성내역서"/>
      <sheetName val="공통가설"/>
      <sheetName val="소비자가"/>
      <sheetName val="내역분기"/>
      <sheetName val="일위대가서"/>
      <sheetName val="MCC,분전반"/>
      <sheetName val="PANEL"/>
      <sheetName val="신규단가-00.11.30"/>
      <sheetName val="원가계산서-계약"/>
      <sheetName val="계약내역서"/>
      <sheetName val="단가조서"/>
      <sheetName val="견적단가(조명제어)"/>
      <sheetName val="견적단가(등기구)"/>
      <sheetName val="견적단가(수배전반)"/>
      <sheetName val="중기사용료"/>
      <sheetName val="31.고_x0000_RTU"/>
      <sheetName val="CODE"/>
      <sheetName val="수목단가"/>
      <sheetName val="시설수량표"/>
      <sheetName val="식재수량표"/>
      <sheetName val="일위목록"/>
      <sheetName val="BID"/>
      <sheetName val="수량산출"/>
      <sheetName val="c_balju"/>
      <sheetName val="터널조도"/>
      <sheetName val="현금"/>
      <sheetName val="VXXXXX"/>
      <sheetName val="전도금청구서"/>
      <sheetName val="전도금청구서 (2)"/>
      <sheetName val="자금분계"/>
      <sheetName val="미지급"/>
      <sheetName val="직영노"/>
      <sheetName val="금전출납 "/>
      <sheetName val="현금출납부"/>
      <sheetName val="식대 "/>
      <sheetName val="장비사용료"/>
      <sheetName val="장비대"/>
      <sheetName val="유류대"/>
      <sheetName val="자재대"/>
      <sheetName val="기성고조서(폐기물) (2)"/>
      <sheetName val="기성고조서(순성토)"/>
      <sheetName val="기성고조서(배수)"/>
      <sheetName val="배수외주내역서"/>
      <sheetName val="Sheet3 (5)"/>
      <sheetName val="Sheet3 (6)"/>
      <sheetName val="토공"/>
      <sheetName val="001"/>
      <sheetName val="보합"/>
      <sheetName val="견적시담(송포2공구)"/>
      <sheetName val="TEL"/>
      <sheetName val="SG"/>
      <sheetName val="토공(완충)"/>
      <sheetName val="현장지지물물량"/>
      <sheetName val="출근부"/>
      <sheetName val="CTEMCOST"/>
      <sheetName val="sw1"/>
      <sheetName val="NOMUBI"/>
      <sheetName val="ilch"/>
      <sheetName val="환률"/>
      <sheetName val="K1자재(3차등)"/>
      <sheetName val="공사비집계"/>
      <sheetName val="단위중량"/>
      <sheetName val="I.설계조건"/>
      <sheetName val="설계조건"/>
      <sheetName val="안정계산"/>
      <sheetName val="단면검토"/>
      <sheetName val="98지급계획"/>
      <sheetName val="집1"/>
      <sheetName val="인건비"/>
      <sheetName val="금액내역서"/>
      <sheetName val="백호우계수"/>
      <sheetName val="판"/>
      <sheetName val="노무비"/>
      <sheetName val="L형옹벽(key)"/>
      <sheetName val="연결임시"/>
      <sheetName val="8.PILE  (돌출)"/>
      <sheetName val="한강운반비"/>
      <sheetName val="내역서(총)"/>
      <sheetName val="횡배위치"/>
      <sheetName val="관람석제출"/>
      <sheetName val="BQ"/>
      <sheetName val="기초공"/>
      <sheetName val="기둥(원형)"/>
      <sheetName val="단가조사서"/>
      <sheetName val="토공계산서(부체도로)"/>
      <sheetName val="맨홀수량집계"/>
      <sheetName val="간선계산"/>
      <sheetName val="수량집계"/>
      <sheetName val="총괄집계표"/>
      <sheetName val="단가"/>
      <sheetName val="시설물일위"/>
      <sheetName val="BJJIN"/>
      <sheetName val="STORAGE"/>
      <sheetName val="6호기"/>
      <sheetName val="기계내역"/>
      <sheetName val="최초침전지집계표"/>
      <sheetName val="난방열교"/>
      <sheetName val="급탕열교"/>
      <sheetName val="중기일위대가"/>
      <sheetName val="TOTAL"/>
      <sheetName val="fitting"/>
      <sheetName val="31.고"/>
      <sheetName val="구조물철거타공정이월"/>
      <sheetName val="화재 탐지 설비"/>
      <sheetName val="계산근거"/>
      <sheetName val="자재집계"/>
      <sheetName val="DATE"/>
      <sheetName val="공사개요"/>
      <sheetName val="조경"/>
      <sheetName val="토목주소"/>
      <sheetName val="프랜트면허"/>
      <sheetName val="NEWDRAW"/>
      <sheetName val="신공"/>
      <sheetName val="공통부대비"/>
      <sheetName val="총계"/>
      <sheetName val="내역서 "/>
      <sheetName val="준검 내역서"/>
      <sheetName val="정렬"/>
      <sheetName val="danga"/>
      <sheetName val="입력DATA"/>
      <sheetName val="March"/>
      <sheetName val="FACTOR"/>
      <sheetName val="Sheet4"/>
      <sheetName val="손익분석"/>
      <sheetName val="총집계표"/>
      <sheetName val="산거각호표"/>
      <sheetName val="B"/>
      <sheetName val="겉장"/>
      <sheetName val="기성검사원"/>
      <sheetName val="원가"/>
      <sheetName val="토목"/>
      <sheetName val="몰탈재료산출"/>
      <sheetName val="교각1"/>
      <sheetName val="Site Expenses"/>
      <sheetName val="32.銅기기초"/>
      <sheetName val="조도계산서 (도서)"/>
      <sheetName val="일위대가목차"/>
      <sheetName val="실행내역"/>
      <sheetName val="JUCK"/>
      <sheetName val="토공총괄집계"/>
      <sheetName val="3BL공동구 수량"/>
      <sheetName val="토목내역"/>
      <sheetName val="가공비"/>
      <sheetName val="노임"/>
      <sheetName val="회사99"/>
      <sheetName val="을"/>
      <sheetName val="Customer Databas"/>
      <sheetName val="골조시행"/>
      <sheetName val="단면가정"/>
      <sheetName val="DATA(BAC)"/>
      <sheetName val="철거수량"/>
      <sheetName val="원형맨홀수량"/>
      <sheetName val="바닥판"/>
      <sheetName val="교각계산"/>
      <sheetName val="입찰"/>
      <sheetName val="현경"/>
      <sheetName val="수량산출서"/>
      <sheetName val="경비2내역"/>
      <sheetName val="7.1유효폭"/>
      <sheetName val="말뚝물량"/>
      <sheetName val="공틀공사"/>
      <sheetName val="실행예산"/>
      <sheetName val="여흥"/>
      <sheetName val="예산서"/>
      <sheetName val="소업1교"/>
      <sheetName val="장문교(대전)"/>
      <sheetName val="점수계산1-2"/>
      <sheetName val="건축(충일분)"/>
      <sheetName val="설변물량"/>
      <sheetName val="2000년1차"/>
      <sheetName val="2000전체분"/>
      <sheetName val="TYPE-B 평균H"/>
      <sheetName val="eq_data"/>
      <sheetName val="견적서"/>
      <sheetName val="전신환매도율"/>
      <sheetName val="단중표"/>
      <sheetName val="#230,#235"/>
      <sheetName val="제경비"/>
      <sheetName val="총괄내역서"/>
      <sheetName val="총투자비산정"/>
      <sheetName val="ROE(FI)"/>
      <sheetName val="Sens&amp;Anal"/>
      <sheetName val="dtxl"/>
      <sheetName val="관거공사비"/>
      <sheetName val="조건표"/>
      <sheetName val="일위대가 (목록)"/>
      <sheetName val="단가표 "/>
      <sheetName val="일위대가목록"/>
      <sheetName val="단가대비표"/>
      <sheetName val="설계산출표지"/>
      <sheetName val="공사원가계산서"/>
      <sheetName val="설계산출기초"/>
      <sheetName val="도급예산내역서총괄표"/>
      <sheetName val="을부담운반비"/>
      <sheetName val="운반비산출"/>
      <sheetName val=" 견적서"/>
      <sheetName val="산업개발안내서"/>
      <sheetName val="5. COST SCHEDULE PER EXPENSE"/>
      <sheetName val="1.수인터널"/>
      <sheetName val="자재단가표"/>
      <sheetName val="8.자재단가"/>
      <sheetName val="단가비교표_공통1"/>
      <sheetName val="부하계산서"/>
      <sheetName val="설계명세서(선로)"/>
      <sheetName val="b_balju_cho"/>
      <sheetName val="연수동"/>
      <sheetName val="내역전기"/>
      <sheetName val="9GNG운반"/>
      <sheetName val="내역1"/>
      <sheetName val="금액집계"/>
      <sheetName val="구왤집계표"/>
      <sheetName val="Ⅴ-2.공종별내역"/>
      <sheetName val="기계실"/>
      <sheetName val="현장"/>
      <sheetName val="Sheet2"/>
      <sheetName val="Dae_Jiju"/>
      <sheetName val="Sikje_ingun"/>
      <sheetName val="TREE_D"/>
      <sheetName val="(2)"/>
      <sheetName val="단면(RW1)"/>
      <sheetName val="UNIT"/>
      <sheetName val="설계예산서"/>
      <sheetName val="공종별 집계"/>
      <sheetName val="Explanation for Page 17"/>
      <sheetName val="EUPDAT2"/>
      <sheetName val="35_x000e_장주신설"/>
      <sheetName val="FRP배관단가(만수)"/>
      <sheetName val="만수배관단가"/>
      <sheetName val="년"/>
      <sheetName val="귀래 설계 공내역서"/>
      <sheetName val="대비표"/>
      <sheetName val="품목"/>
      <sheetName val="woo(mac)"/>
      <sheetName val="장비집계"/>
      <sheetName val="기계경비"/>
      <sheetName val="사용성검토"/>
      <sheetName val="터파기및재료"/>
      <sheetName val="자료"/>
      <sheetName val="TABLE"/>
      <sheetName val="TYPE1"/>
      <sheetName val="단면 (2)"/>
      <sheetName val="Macro1"/>
      <sheetName val="unit 4"/>
      <sheetName val="2.대외공문"/>
      <sheetName val="실시설계"/>
      <sheetName val="Sheet5"/>
      <sheetName val="한전고리-을"/>
      <sheetName val="품질 및 특성 보정계수"/>
      <sheetName val="2.예산냴역검토서"/>
      <sheetName val="실행철강하도"/>
      <sheetName val="단가산출2"/>
      <sheetName val="조도"/>
      <sheetName val="GIS재"/>
      <sheetName val="MTR재(한기)"/>
      <sheetName val="GIS.Ry재"/>
      <sheetName val="설계명세서"/>
      <sheetName val="일"/>
      <sheetName val="품셈(기초)"/>
      <sheetName val="C &amp; G RHS"/>
      <sheetName val="현장관리비집계표"/>
      <sheetName val="hvac(제어동)"/>
      <sheetName val="하수급견적대비"/>
      <sheetName val="전체총괄표"/>
      <sheetName val="요소별"/>
      <sheetName val="전기요금"/>
      <sheetName val="도급대비"/>
      <sheetName val="조건"/>
      <sheetName val="한전위탁공사비2"/>
      <sheetName val="45,46"/>
      <sheetName val="06-BATCH "/>
      <sheetName val="일위대가표"/>
      <sheetName val="토공(우물통,기타) "/>
      <sheetName val="1을"/>
      <sheetName val="P.M 별"/>
      <sheetName val="SE-611"/>
      <sheetName val="토 적 표"/>
      <sheetName val="IMP(MAIN)"/>
      <sheetName val="IMP (REACTOR)"/>
      <sheetName val="내역총괄표"/>
      <sheetName val="장비당단가 (1)"/>
      <sheetName val="예산변경사항"/>
      <sheetName val="공사설명서"/>
      <sheetName val="전기일위목록"/>
      <sheetName val="초"/>
      <sheetName val="오산갈곳"/>
      <sheetName val="아파트건축"/>
      <sheetName val="비대칭계수"/>
      <sheetName val="전동기 SPEC"/>
      <sheetName val="CS2"/>
      <sheetName val="변화치수"/>
      <sheetName val="플랜트 설치"/>
      <sheetName val="구리토평1전기"/>
      <sheetName val="U-TYPE(1)"/>
      <sheetName val="단위수량"/>
      <sheetName val="단위세대"/>
      <sheetName val="관리비"/>
      <sheetName val="을지"/>
      <sheetName val="실행내역서"/>
      <sheetName val="major"/>
      <sheetName val="단가조정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코드표"/>
      <sheetName val="토사(PE)"/>
      <sheetName val="입적표"/>
      <sheetName val="별표"/>
      <sheetName val="도장수량"/>
      <sheetName val="부대대비"/>
      <sheetName val="냉연집계"/>
      <sheetName val="진주방향"/>
      <sheetName val="cost"/>
      <sheetName val="계화배수"/>
      <sheetName val="견적조건"/>
      <sheetName val="봉방동근생"/>
      <sheetName val="예산M12A"/>
      <sheetName val="직노"/>
      <sheetName val="물량표"/>
      <sheetName val="부대공집계표"/>
      <sheetName val="sum1 (2)"/>
      <sheetName val="공종분류"/>
      <sheetName val="CALCULATION"/>
      <sheetName val="DESIGN_CRETERIA"/>
      <sheetName val="건물현황"/>
      <sheetName val="재무가정"/>
      <sheetName val="dg"/>
      <sheetName val="물량산출근거"/>
      <sheetName val="VXXX"/>
      <sheetName val="J直材4"/>
      <sheetName val="명세서"/>
      <sheetName val="작성"/>
      <sheetName val="Coeffiecient"/>
      <sheetName val="검색"/>
      <sheetName val="Indirect Cost"/>
      <sheetName val="5공철탑검토표"/>
      <sheetName val="4공철탑검토"/>
      <sheetName val="LOPCALC"/>
      <sheetName val="Model"/>
      <sheetName val="Ⅱ1-0타"/>
      <sheetName val="가설건물"/>
      <sheetName val="IP좌표"/>
      <sheetName val="사진"/>
      <sheetName val="설산1.나"/>
      <sheetName val="본사S"/>
      <sheetName val="산근"/>
      <sheetName val="개요"/>
      <sheetName val="골재집계"/>
      <sheetName val="DS-최종"/>
      <sheetName val="입찰안"/>
      <sheetName val="Despacho (c.civil)"/>
      <sheetName val="BOQ-Summary_Form A2"/>
      <sheetName val="DIAPHRAGM"/>
      <sheetName val="118.세금과공과"/>
      <sheetName val="Proposal"/>
      <sheetName val="보차도경계석"/>
      <sheetName val="부재력정리"/>
      <sheetName val="총누계"/>
      <sheetName val="SLAB"/>
      <sheetName val="순공사비총괄"/>
      <sheetName val="INPUT"/>
      <sheetName val="일용노임단가"/>
      <sheetName val="효성CB 1P기초"/>
      <sheetName val="재료집계"/>
      <sheetName val="원가계산서(남측)"/>
      <sheetName val="단면치수"/>
      <sheetName val="FILE1"/>
      <sheetName val="국공유지및사유지"/>
      <sheetName val="날개벽(시점좌측)"/>
      <sheetName val="RAHMEN"/>
      <sheetName val="통합"/>
      <sheetName val="COPING"/>
      <sheetName val="시공측량-을"/>
      <sheetName val="보도경계블럭"/>
      <sheetName val="내역표지"/>
      <sheetName val="일위대가(계측기설치)"/>
      <sheetName val="전기"/>
      <sheetName val="설계서"/>
      <sheetName val="타워기초"/>
      <sheetName val="Qheet3"/>
      <sheetName val="CIVIL"/>
      <sheetName val="96수출"/>
      <sheetName val="안정검토"/>
      <sheetName val="비교표"/>
      <sheetName val="수량산출근거"/>
      <sheetName val="양식"/>
      <sheetName val="부재리스트"/>
      <sheetName val="BSD (2)"/>
      <sheetName val="건축원가계산서"/>
      <sheetName val="쵽괄표"/>
      <sheetName val="쵽물량표"/>
      <sheetName val="정산민량표"/>
      <sheetName val="4.실행예산단가삼출서(단갌)"/>
      <sheetName val="4.실행예산단가삼출서(금액)"/>
      <sheetName val="5.현잣관리비"/>
      <sheetName val="말뚝지지력산정"/>
      <sheetName val="배수공토공"/>
      <sheetName val="기계경비(시간당)"/>
      <sheetName val="D040416"/>
      <sheetName val="남ꌀ전JC"/>
      <sheetName val="물가"/>
      <sheetName val="일반맨홀수량집계"/>
      <sheetName val="설변내역1"/>
      <sheetName val="가설공사내역"/>
      <sheetName val="시행예산"/>
      <sheetName val="1.우편집중내역서"/>
      <sheetName val="가격조사서"/>
      <sheetName val="3.건축(현장안)"/>
      <sheetName val="예산내역서"/>
      <sheetName val="CABLE_SIZE_CALCULATION_SHEET"/>
      <sheetName val="IMPEADENCE_MAP_"/>
      <sheetName val="IMPEADENCE_"/>
      <sheetName val="입찰참가보고_(2)"/>
      <sheetName val="정산입력"/>
      <sheetName val="Breakdown"/>
      <sheetName val="가시설수량"/>
      <sheetName val="FLA"/>
      <sheetName val="남양내역"/>
      <sheetName val="CAPVC"/>
      <sheetName val="설계내역(2001)"/>
      <sheetName val="인사자료총집계"/>
      <sheetName val="말뚝지ᴀᨈ԰_x0000_"/>
      <sheetName val="변경내역"/>
      <sheetName val="표지판현황"/>
      <sheetName val="Base_Data"/>
      <sheetName val="원본"/>
      <sheetName val="방음벽 기초 일반수량"/>
      <sheetName val="편입토지조서"/>
      <sheetName val="공사비총괄표"/>
      <sheetName val="1-1"/>
      <sheetName val="투찰내역"/>
      <sheetName val="L형옹벽"/>
      <sheetName val="단가조๿"/>
      <sheetName val="원가집계"/>
      <sheetName val="사급자재"/>
      <sheetName val="표지 (2)"/>
      <sheetName val="대비2"/>
      <sheetName val="동원인원산출"/>
      <sheetName val="6PILE  (돌출)"/>
      <sheetName val="dt0301"/>
      <sheetName val="dtt0301"/>
      <sheetName val="가감수량"/>
      <sheetName val="맨홀수량산출"/>
      <sheetName val="단가표"/>
      <sheetName val="FAB별"/>
      <sheetName val="토&amp;흙"/>
      <sheetName val="내역(원안-대안)"/>
      <sheetName val="design criteria"/>
      <sheetName val="working load at the btm ft."/>
      <sheetName val="plan&amp;section of foundation"/>
      <sheetName val="토사԰_x0000_缀_x0000_"/>
      <sheetName val="갑지(추정)"/>
      <sheetName val="설비내역서"/>
      <sheetName val="건축내역서"/>
      <sheetName val="전기내역서"/>
      <sheetName val="ATS단가"/>
      <sheetName val="세목별"/>
      <sheetName val="비대缀ᨎ԰"/>
      <sheetName val="단가(1)"/>
      <sheetName val="3.현장배치"/>
      <sheetName val="심사계산"/>
      <sheetName val="심사물량"/>
      <sheetName val="개԰"/>
      <sheetName val="건축공사"/>
      <sheetName val="공정현황보고(3_20)_(2)"/>
      <sheetName val="추진공정(법인)3_20"/>
      <sheetName val="공정현황보고(3_27)_(2)"/>
      <sheetName val="추진공정(법인)3_27"/>
      <sheetName val="공정현황보고(4_2)"/>
      <sheetName val="1_공사집행계획서"/>
      <sheetName val="2_예산내역검토서"/>
      <sheetName val="3_실행원가내역서"/>
      <sheetName val="4_실행예산단가산출서(단가)"/>
      <sheetName val="4_실행예산단가산출서(금액)"/>
      <sheetName val="5_현장관리비"/>
      <sheetName val="6_공사예정공정표"/>
      <sheetName val="7_인원동원현황"/>
      <sheetName val="8_장비투입현황"/>
      <sheetName val="9_문제점_및_대책"/>
      <sheetName val="10_설계변경_및_추가공사"/>
      <sheetName val="1_철주신설"/>
      <sheetName val="2_철주신설"/>
      <sheetName val="3_철주신설"/>
      <sheetName val="4_비임신설"/>
      <sheetName val="5_기기가대"/>
      <sheetName val="6_철주기초"/>
      <sheetName val="7_기기기초"/>
      <sheetName val="8_기기기초"/>
      <sheetName val="9_기기기초"/>
      <sheetName val="10_단권변압기"/>
      <sheetName val="11_가스절연"/>
      <sheetName val="12_전자식제어반"/>
      <sheetName val="13_고장점표정반"/>
      <sheetName val="14_GP"/>
      <sheetName val="15_전철용RTU"/>
      <sheetName val="16_R-C_BANK"/>
      <sheetName val="17_모선배선"/>
      <sheetName val="18_제어및전력케이블"/>
      <sheetName val="19_핏트"/>
      <sheetName val="공사기본내용입력"/>
      <sheetName val="200"/>
      <sheetName val="EQUIPMENT -2"/>
      <sheetName val="KP1590_E"/>
      <sheetName val="FLANGE"/>
      <sheetName val="VALVE"/>
      <sheetName val="산尜"/>
      <sheetName val="-15.0"/>
      <sheetName val="토공 토적표"/>
      <sheetName val="6공구전체"/>
      <sheetName val="1.설계조건"/>
      <sheetName val="구의33고"/>
      <sheetName val="공통가설공사"/>
      <sheetName val="99총공사내역서"/>
      <sheetName val="대림경상68억"/>
      <sheetName val="요율"/>
      <sheetName val="가시설(TYPE-A)"/>
      <sheetName val="1-1평균터파기고(1)"/>
      <sheetName val="저"/>
      <sheetName val="BQ-Offsite"/>
      <sheetName val="PipWT"/>
      <sheetName val="부대공Ⅱ"/>
      <sheetName val="배수관공"/>
      <sheetName val="배"/>
      <sheetName val="자판실행"/>
      <sheetName val="견적"/>
      <sheetName val="합계"/>
      <sheetName val="당초수량"/>
      <sheetName val="구조물공"/>
      <sheetName val="맨홀수량"/>
      <sheetName val="기본자료"/>
      <sheetName val="세부내역"/>
      <sheetName val="현장별계약현황('98.10.31)"/>
      <sheetName val="Condition"/>
      <sheetName val="부하LOAD"/>
      <sheetName val="부대"/>
      <sheetName val="RING WALL"/>
      <sheetName val="s"/>
      <sheetName val="기초견적가"/>
      <sheetName val="MW-S"/>
      <sheetName val="NYS"/>
      <sheetName val="MW-BM"/>
      <sheetName val="Data&amp;Result"/>
      <sheetName val="토공,기초"/>
      <sheetName val="대전21토목내역서"/>
      <sheetName val="본부소개"/>
      <sheetName val="표지1"/>
      <sheetName val="교통대책내역"/>
      <sheetName val="현장경비"/>
      <sheetName val="SORCE1"/>
      <sheetName val="가시설단위수량"/>
      <sheetName val="3련 BOX"/>
      <sheetName val="Main"/>
      <sheetName val="건설성적"/>
      <sheetName val="배수공"/>
      <sheetName val="암거"/>
      <sheetName val="포장공"/>
      <sheetName val="오산︀폕"/>
      <sheetName val="전기단가조사서"/>
      <sheetName val="단가조사표"/>
      <sheetName val="하조서"/>
      <sheetName val="stability check"/>
      <sheetName val="design load"/>
      <sheetName val="type-F"/>
      <sheetName val="CAT_5"/>
      <sheetName val="20_배수로"/>
      <sheetName val="98수금사업"/>
      <sheetName val="기성내역서표지"/>
      <sheetName val="원하대비"/>
      <sheetName val="원도급"/>
      <sheetName val="하도급"/>
      <sheetName val="연습"/>
      <sheetName val="보집계표"/>
      <sheetName val="1.설계기준"/>
      <sheetName val="신천교(음성)"/>
      <sheetName val="1NYS(당)"/>
      <sheetName val="토류판설치(t=60)"/>
      <sheetName val="방송노임"/>
      <sheetName val="주소록"/>
      <sheetName val="도급양식"/>
      <sheetName val="투자효율분석"/>
      <sheetName val="견적을지"/>
      <sheetName val="현장관리비내역서"/>
      <sheetName val="B토목"/>
      <sheetName val="현대물량"/>
      <sheetName val="EP0618"/>
      <sheetName val="입력1"/>
      <sheetName val="Page 1A - Proposal Strategy "/>
      <sheetName val="성토도수로현황"/>
      <sheetName val="내역(전체)"/>
      <sheetName val="착공내역"/>
      <sheetName val="별첨1"/>
      <sheetName val="일위대가(가설)"/>
      <sheetName val="아파트1"/>
      <sheetName val="기타 정보통신공사"/>
      <sheetName val="단가조사"/>
      <sheetName val="1호맨홀토공"/>
      <sheetName val="갑지1"/>
      <sheetName val="참고"/>
      <sheetName val="B767"/>
      <sheetName val="2002년요약"/>
      <sheetName val="99.6"/>
      <sheetName val="6동"/>
      <sheetName val="Budget 2005(DW)"/>
      <sheetName val="ins"/>
      <sheetName val="1.수인터翇"/>
      <sheetName val="구왤집Ⰰ⭸"/>
      <sheetName val="계԰_x0000_缀"/>
      <sheetName val="슬래브(유곡)"/>
      <sheetName val="적현로"/>
      <sheetName val="전기簀፰쐀፰"/>
      <sheetName val="공통"/>
      <sheetName val="공종분尜"/>
      <sheetName val="차량한계11M (2)"/>
      <sheetName val="기초부재력검토"/>
      <sheetName val="일위단가"/>
      <sheetName val="전기일ԯ_x0000_缀"/>
      <sheetName val="BOX"/>
      <sheetName val="Code-&gt;No"/>
      <sheetName val="실행내역서 "/>
      <sheetName val="sc0314 Index"/>
      <sheetName val="EQUIP-H"/>
      <sheetName val="견적정보"/>
      <sheetName val="공종분徸"/>
      <sheetName val="공사비명세서"/>
      <sheetName val="대우단가(풍산)"/>
      <sheetName val="3.하중산정4.지지력"/>
      <sheetName val="예산M5A"/>
      <sheetName val="포장복구집계"/>
      <sheetName val="산๿"/>
      <sheetName val="#4DUCT SUPPORT 체크LIST"/>
      <sheetName val="95WBS"/>
      <sheetName val="을 2"/>
      <sheetName val="Macro2"/>
      <sheetName val="경영혁신본부"/>
      <sheetName val="BOJUNGGM"/>
      <sheetName val="전압강하계산"/>
      <sheetName val="유_x0000__x0000_"/>
      <sheetName val="유慨_x0013_"/>
      <sheetName val="유丵〒"/>
      <sheetName val="유睮め"/>
      <sheetName val="단가조건(02년)"/>
      <sheetName val="청제공기계일위대가"/>
      <sheetName val="유鏠_x0013_"/>
      <sheetName val="유趐)"/>
      <sheetName val="유奈_x001b_"/>
    </sheetNames>
    <sheetDataSet>
      <sheetData sheetId="0" refreshError="1">
        <row r="61">
          <cell r="B61">
            <v>2.5</v>
          </cell>
          <cell r="C61" t="str">
            <v>KA</v>
          </cell>
          <cell r="D61">
            <v>4.1717686147384132</v>
          </cell>
          <cell r="E61">
            <v>5.5</v>
          </cell>
        </row>
        <row r="62">
          <cell r="B62">
            <v>5</v>
          </cell>
          <cell r="C62" t="str">
            <v>KA</v>
          </cell>
          <cell r="D62">
            <v>8.3435372294768264</v>
          </cell>
          <cell r="E62">
            <v>14</v>
          </cell>
        </row>
        <row r="63">
          <cell r="B63">
            <v>8</v>
          </cell>
          <cell r="C63" t="str">
            <v>KA</v>
          </cell>
          <cell r="D63">
            <v>13.349659567162922</v>
          </cell>
          <cell r="E63">
            <v>14</v>
          </cell>
        </row>
        <row r="64">
          <cell r="B64">
            <v>12.5</v>
          </cell>
          <cell r="C64" t="str">
            <v>KA</v>
          </cell>
          <cell r="D64">
            <v>20.858843073692068</v>
          </cell>
          <cell r="E64">
            <v>22</v>
          </cell>
        </row>
        <row r="65">
          <cell r="B65">
            <v>16</v>
          </cell>
          <cell r="C65" t="str">
            <v>KA</v>
          </cell>
          <cell r="D65">
            <v>26.699319134325844</v>
          </cell>
          <cell r="E65">
            <v>38</v>
          </cell>
        </row>
        <row r="66">
          <cell r="B66">
            <v>20</v>
          </cell>
          <cell r="C66" t="str">
            <v>KA</v>
          </cell>
          <cell r="D66">
            <v>33.374148917907306</v>
          </cell>
          <cell r="E66">
            <v>38</v>
          </cell>
        </row>
        <row r="67">
          <cell r="B67">
            <v>25</v>
          </cell>
          <cell r="C67" t="str">
            <v>KA</v>
          </cell>
          <cell r="D67">
            <v>41.717686147384136</v>
          </cell>
          <cell r="E67">
            <v>60</v>
          </cell>
        </row>
        <row r="68">
          <cell r="B68">
            <v>40</v>
          </cell>
          <cell r="C68" t="str">
            <v>KA</v>
          </cell>
          <cell r="D68">
            <v>66.748297835814611</v>
          </cell>
          <cell r="E68">
            <v>100</v>
          </cell>
        </row>
      </sheetData>
      <sheetData sheetId="1">
        <row r="61">
          <cell r="B61">
            <v>2.5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1">
          <cell r="B61">
            <v>2.5</v>
          </cell>
        </row>
      </sheetData>
      <sheetData sheetId="12">
        <row r="61">
          <cell r="B61">
            <v>2.5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/>
      <sheetData sheetId="246" refreshError="1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/>
      <sheetData sheetId="264" refreshError="1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/>
      <sheetData sheetId="273"/>
      <sheetData sheetId="274" refreshError="1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 refreshError="1"/>
      <sheetData sheetId="333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가상각"/>
      <sheetName val="공기구"/>
    </sheetNames>
    <sheetDataSet>
      <sheetData sheetId="0">
        <row r="1">
          <cell r="A1" t="str">
            <v>1996년 5월 감가상각비 명세서(기계장치)</v>
          </cell>
        </row>
        <row r="2">
          <cell r="A2" t="str">
            <v>━━━━━━━━━━━━━━━━━━━</v>
          </cell>
        </row>
        <row r="4">
          <cell r="A4" t="str">
            <v>번호</v>
          </cell>
          <cell r="B4" t="str">
            <v>자   산   명</v>
          </cell>
          <cell r="C4" t="str">
            <v>취득년월</v>
          </cell>
          <cell r="D4" t="str">
            <v>수량</v>
          </cell>
          <cell r="E4" t="str">
            <v>취득금액</v>
          </cell>
          <cell r="F4" t="str">
            <v>사용부서</v>
          </cell>
          <cell r="G4" t="str">
            <v>당기증가액</v>
          </cell>
          <cell r="H4" t="str">
            <v>당기감소액</v>
          </cell>
          <cell r="I4" t="str">
            <v>기말가액</v>
          </cell>
          <cell r="J4" t="str">
            <v>최종잔존가액</v>
          </cell>
          <cell r="K4" t="str">
            <v>감가상각대상액</v>
          </cell>
          <cell r="L4" t="str">
            <v>내용년수</v>
          </cell>
          <cell r="M4" t="str">
            <v>상각율</v>
          </cell>
          <cell r="N4" t="str">
            <v>전기충당금누계</v>
          </cell>
          <cell r="O4" t="str">
            <v>월상각액</v>
          </cell>
          <cell r="P4" t="str">
            <v>당기충당금누계</v>
          </cell>
          <cell r="Q4" t="str">
            <v>미상각잔액</v>
          </cell>
          <cell r="R4" t="str">
            <v>비  고</v>
          </cell>
        </row>
        <row r="5">
          <cell r="A5">
            <v>1</v>
          </cell>
          <cell r="B5" t="str">
            <v xml:space="preserve"> PRESS</v>
          </cell>
          <cell r="C5" t="str">
            <v>1991. 12</v>
          </cell>
          <cell r="D5">
            <v>5</v>
          </cell>
          <cell r="E5">
            <v>21752006813</v>
          </cell>
          <cell r="F5" t="str">
            <v>합성</v>
          </cell>
          <cell r="I5">
            <v>21752006813</v>
          </cell>
          <cell r="J5">
            <v>2175200681</v>
          </cell>
          <cell r="K5">
            <v>19576806132</v>
          </cell>
          <cell r="L5">
            <v>13</v>
          </cell>
          <cell r="M5">
            <v>6.4102564102564109E-3</v>
          </cell>
          <cell r="N5">
            <v>6622738719</v>
          </cell>
          <cell r="O5">
            <v>125492347</v>
          </cell>
          <cell r="P5">
            <v>6748231066</v>
          </cell>
          <cell r="Q5">
            <v>15003775747</v>
          </cell>
        </row>
        <row r="6">
          <cell r="A6">
            <v>2</v>
          </cell>
          <cell r="B6" t="str">
            <v xml:space="preserve"> BALANCE</v>
          </cell>
          <cell r="C6" t="str">
            <v>1991. 12</v>
          </cell>
          <cell r="D6">
            <v>1</v>
          </cell>
          <cell r="E6">
            <v>11568282</v>
          </cell>
          <cell r="F6" t="str">
            <v>품보</v>
          </cell>
          <cell r="I6">
            <v>11568282</v>
          </cell>
          <cell r="J6">
            <v>1156828</v>
          </cell>
          <cell r="K6">
            <v>10411454</v>
          </cell>
          <cell r="L6">
            <v>13</v>
          </cell>
          <cell r="M6">
            <v>6.4102564102564109E-3</v>
          </cell>
          <cell r="N6">
            <v>3537220</v>
          </cell>
          <cell r="O6">
            <v>66740</v>
          </cell>
          <cell r="P6">
            <v>3603960</v>
          </cell>
          <cell r="Q6">
            <v>7964322</v>
          </cell>
        </row>
        <row r="7">
          <cell r="A7">
            <v>3</v>
          </cell>
          <cell r="B7" t="str">
            <v xml:space="preserve"> MICROSCOPE</v>
          </cell>
          <cell r="C7" t="str">
            <v>1991. 12</v>
          </cell>
          <cell r="D7">
            <v>1</v>
          </cell>
          <cell r="E7">
            <v>23676435</v>
          </cell>
          <cell r="F7" t="str">
            <v>품보</v>
          </cell>
          <cell r="I7">
            <v>23676435</v>
          </cell>
          <cell r="J7">
            <v>2367643</v>
          </cell>
          <cell r="K7">
            <v>21308792</v>
          </cell>
          <cell r="L7">
            <v>13</v>
          </cell>
          <cell r="M7">
            <v>6.4102564102564109E-3</v>
          </cell>
          <cell r="N7">
            <v>7239482</v>
          </cell>
          <cell r="O7">
            <v>136594</v>
          </cell>
          <cell r="P7">
            <v>7376076</v>
          </cell>
          <cell r="Q7">
            <v>16300359</v>
          </cell>
        </row>
        <row r="8">
          <cell r="A8">
            <v>4</v>
          </cell>
          <cell r="B8" t="str">
            <v>ULTRASONIC TEST</v>
          </cell>
          <cell r="C8" t="str">
            <v>1991. 12</v>
          </cell>
          <cell r="D8">
            <v>1</v>
          </cell>
          <cell r="E8">
            <v>6301362</v>
          </cell>
          <cell r="F8" t="str">
            <v>품보</v>
          </cell>
          <cell r="I8">
            <v>6301362</v>
          </cell>
          <cell r="J8">
            <v>630136</v>
          </cell>
          <cell r="K8">
            <v>5671226</v>
          </cell>
          <cell r="L8">
            <v>13</v>
          </cell>
          <cell r="M8">
            <v>6.4102564102564109E-3</v>
          </cell>
          <cell r="N8">
            <v>1926762</v>
          </cell>
          <cell r="O8">
            <v>36354</v>
          </cell>
          <cell r="P8">
            <v>1963116</v>
          </cell>
          <cell r="Q8">
            <v>4338246</v>
          </cell>
        </row>
        <row r="9">
          <cell r="A9">
            <v>5</v>
          </cell>
          <cell r="B9" t="str">
            <v>ULTRASONIC FLAW</v>
          </cell>
          <cell r="C9" t="str">
            <v>1991. 12</v>
          </cell>
          <cell r="D9">
            <v>1</v>
          </cell>
          <cell r="E9">
            <v>27834036</v>
          </cell>
          <cell r="F9" t="str">
            <v>품보</v>
          </cell>
          <cell r="I9">
            <v>27834036</v>
          </cell>
          <cell r="J9">
            <v>2783403</v>
          </cell>
          <cell r="K9">
            <v>25050633</v>
          </cell>
          <cell r="L9">
            <v>13</v>
          </cell>
          <cell r="M9">
            <v>6.4102564102564109E-3</v>
          </cell>
          <cell r="N9">
            <v>8510740</v>
          </cell>
          <cell r="O9">
            <v>160580</v>
          </cell>
          <cell r="P9">
            <v>8671320</v>
          </cell>
          <cell r="Q9">
            <v>19162716</v>
          </cell>
        </row>
        <row r="10">
          <cell r="A10">
            <v>6</v>
          </cell>
          <cell r="B10" t="str">
            <v xml:space="preserve"> LASER</v>
          </cell>
          <cell r="C10" t="str">
            <v>1991. 12</v>
          </cell>
          <cell r="D10">
            <v>1</v>
          </cell>
          <cell r="E10">
            <v>72542795</v>
          </cell>
          <cell r="F10" t="str">
            <v>품보</v>
          </cell>
          <cell r="I10">
            <v>72542795</v>
          </cell>
          <cell r="J10">
            <v>7254279</v>
          </cell>
          <cell r="K10">
            <v>65288516</v>
          </cell>
          <cell r="L10">
            <v>13</v>
          </cell>
          <cell r="M10">
            <v>6.4102564102564109E-3</v>
          </cell>
          <cell r="N10">
            <v>22181348</v>
          </cell>
          <cell r="O10">
            <v>418516</v>
          </cell>
          <cell r="P10">
            <v>22599864</v>
          </cell>
          <cell r="Q10">
            <v>49942931</v>
          </cell>
        </row>
        <row r="11">
          <cell r="A11">
            <v>7</v>
          </cell>
          <cell r="B11" t="str">
            <v xml:space="preserve"> SIEVE</v>
          </cell>
          <cell r="C11" t="str">
            <v>1991. 12</v>
          </cell>
          <cell r="D11">
            <v>1</v>
          </cell>
          <cell r="E11">
            <v>23877794</v>
          </cell>
          <cell r="F11" t="str">
            <v>품보</v>
          </cell>
          <cell r="I11">
            <v>23877794</v>
          </cell>
          <cell r="J11">
            <v>2387779</v>
          </cell>
          <cell r="K11">
            <v>21490015</v>
          </cell>
          <cell r="L11">
            <v>13</v>
          </cell>
          <cell r="M11">
            <v>6.4102564102564109E-3</v>
          </cell>
          <cell r="N11">
            <v>7301068</v>
          </cell>
          <cell r="O11">
            <v>137756</v>
          </cell>
          <cell r="P11">
            <v>7438824</v>
          </cell>
          <cell r="Q11">
            <v>16438970</v>
          </cell>
        </row>
        <row r="12">
          <cell r="A12">
            <v>8</v>
          </cell>
          <cell r="B12" t="str">
            <v>RAPID DRYING</v>
          </cell>
          <cell r="C12" t="str">
            <v>1991. 12</v>
          </cell>
          <cell r="D12">
            <v>1</v>
          </cell>
          <cell r="E12">
            <v>13714063</v>
          </cell>
          <cell r="F12" t="str">
            <v>품보</v>
          </cell>
          <cell r="I12">
            <v>13714063</v>
          </cell>
          <cell r="J12">
            <v>1371406</v>
          </cell>
          <cell r="K12">
            <v>12342657</v>
          </cell>
          <cell r="L12">
            <v>13</v>
          </cell>
          <cell r="M12">
            <v>6.4102564102564109E-3</v>
          </cell>
          <cell r="N12">
            <v>4121019</v>
          </cell>
          <cell r="O12">
            <v>79119</v>
          </cell>
          <cell r="P12">
            <v>4200138</v>
          </cell>
          <cell r="Q12">
            <v>9513925</v>
          </cell>
        </row>
        <row r="13">
          <cell r="A13">
            <v>9</v>
          </cell>
          <cell r="B13" t="str">
            <v>ELECTRO SIEVE</v>
          </cell>
          <cell r="C13" t="str">
            <v>1991. 12</v>
          </cell>
          <cell r="D13">
            <v>1</v>
          </cell>
          <cell r="E13">
            <v>13923575</v>
          </cell>
          <cell r="F13" t="str">
            <v>품보</v>
          </cell>
          <cell r="I13">
            <v>13923575</v>
          </cell>
          <cell r="J13">
            <v>1392357</v>
          </cell>
          <cell r="K13">
            <v>12531218</v>
          </cell>
          <cell r="L13">
            <v>13</v>
          </cell>
          <cell r="M13">
            <v>6.4102564102564109E-3</v>
          </cell>
          <cell r="N13">
            <v>4125840</v>
          </cell>
          <cell r="O13">
            <v>80328</v>
          </cell>
          <cell r="P13">
            <v>4206168</v>
          </cell>
          <cell r="Q13">
            <v>9717407</v>
          </cell>
        </row>
        <row r="14">
          <cell r="A14">
            <v>10</v>
          </cell>
          <cell r="B14" t="str">
            <v>METAL MICROSCOPE</v>
          </cell>
          <cell r="C14" t="str">
            <v>1991. 12</v>
          </cell>
          <cell r="D14">
            <v>1</v>
          </cell>
          <cell r="E14">
            <v>6155870</v>
          </cell>
          <cell r="F14" t="str">
            <v>품보</v>
          </cell>
          <cell r="I14">
            <v>6155870</v>
          </cell>
          <cell r="J14">
            <v>615587</v>
          </cell>
          <cell r="K14">
            <v>5540283</v>
          </cell>
          <cell r="L14">
            <v>13</v>
          </cell>
          <cell r="M14">
            <v>6.4102564102564109E-3</v>
          </cell>
          <cell r="N14">
            <v>1882242</v>
          </cell>
          <cell r="O14">
            <v>35514</v>
          </cell>
          <cell r="P14">
            <v>1917756</v>
          </cell>
          <cell r="Q14">
            <v>4238114</v>
          </cell>
        </row>
        <row r="15">
          <cell r="A15">
            <v>11</v>
          </cell>
          <cell r="B15" t="str">
            <v>PROGRAMER</v>
          </cell>
          <cell r="C15" t="str">
            <v>1991. 12</v>
          </cell>
          <cell r="D15">
            <v>1</v>
          </cell>
          <cell r="E15">
            <v>18013504</v>
          </cell>
          <cell r="F15" t="str">
            <v>연구소</v>
          </cell>
          <cell r="I15">
            <v>18013504</v>
          </cell>
          <cell r="J15">
            <v>1801350</v>
          </cell>
          <cell r="K15">
            <v>16212154</v>
          </cell>
          <cell r="L15">
            <v>13</v>
          </cell>
          <cell r="M15">
            <v>6.4102564102564109E-3</v>
          </cell>
          <cell r="N15">
            <v>5507972</v>
          </cell>
          <cell r="O15">
            <v>103924</v>
          </cell>
          <cell r="P15">
            <v>5611896</v>
          </cell>
          <cell r="Q15">
            <v>12401608</v>
          </cell>
        </row>
        <row r="16">
          <cell r="A16">
            <v>12</v>
          </cell>
          <cell r="B16" t="str">
            <v>HIGH SPEED PLANETARY</v>
          </cell>
          <cell r="C16" t="str">
            <v>1991. 12</v>
          </cell>
          <cell r="D16">
            <v>1</v>
          </cell>
          <cell r="E16">
            <v>13520369</v>
          </cell>
          <cell r="F16" t="str">
            <v>전처리</v>
          </cell>
          <cell r="I16">
            <v>13520369</v>
          </cell>
          <cell r="J16">
            <v>1352036</v>
          </cell>
          <cell r="K16">
            <v>12168333</v>
          </cell>
          <cell r="L16">
            <v>13</v>
          </cell>
          <cell r="M16">
            <v>6.4102564102564109E-3</v>
          </cell>
          <cell r="N16">
            <v>4134106</v>
          </cell>
          <cell r="O16">
            <v>78002</v>
          </cell>
          <cell r="P16">
            <v>4212108</v>
          </cell>
          <cell r="Q16">
            <v>9308261</v>
          </cell>
        </row>
        <row r="17">
          <cell r="A17">
            <v>13</v>
          </cell>
          <cell r="B17" t="str">
            <v>고 압 공 구</v>
          </cell>
          <cell r="C17" t="str">
            <v>1991. 12</v>
          </cell>
          <cell r="D17">
            <v>1</v>
          </cell>
          <cell r="E17">
            <v>355193312</v>
          </cell>
          <cell r="F17" t="str">
            <v>합성</v>
          </cell>
          <cell r="I17">
            <v>355193312</v>
          </cell>
          <cell r="J17">
            <v>35519331</v>
          </cell>
          <cell r="K17">
            <v>319673981</v>
          </cell>
          <cell r="L17">
            <v>13</v>
          </cell>
          <cell r="M17">
            <v>6.4102564102564109E-3</v>
          </cell>
          <cell r="N17">
            <v>108607176</v>
          </cell>
          <cell r="O17">
            <v>2049192</v>
          </cell>
          <cell r="P17">
            <v>110656368</v>
          </cell>
          <cell r="Q17">
            <v>244536944</v>
          </cell>
        </row>
        <row r="18">
          <cell r="A18">
            <v>14</v>
          </cell>
          <cell r="B18" t="str">
            <v>UNIVERSAL HARDNESS</v>
          </cell>
          <cell r="C18" t="str">
            <v>1991. 12</v>
          </cell>
          <cell r="D18">
            <v>1</v>
          </cell>
          <cell r="E18">
            <v>28349000</v>
          </cell>
          <cell r="F18" t="str">
            <v>품보</v>
          </cell>
          <cell r="I18">
            <v>28349000</v>
          </cell>
          <cell r="J18">
            <v>2834900</v>
          </cell>
          <cell r="K18">
            <v>25514100</v>
          </cell>
          <cell r="L18">
            <v>13</v>
          </cell>
          <cell r="M18">
            <v>6.4102564102564109E-3</v>
          </cell>
          <cell r="N18">
            <v>8668203</v>
          </cell>
          <cell r="O18">
            <v>163551</v>
          </cell>
          <cell r="P18">
            <v>8831754</v>
          </cell>
          <cell r="Q18">
            <v>19517246</v>
          </cell>
        </row>
        <row r="19">
          <cell r="A19">
            <v>15</v>
          </cell>
          <cell r="B19" t="str">
            <v>FILTER</v>
          </cell>
          <cell r="C19" t="str">
            <v>1991. 12</v>
          </cell>
          <cell r="D19">
            <v>1</v>
          </cell>
          <cell r="E19">
            <v>42906476</v>
          </cell>
          <cell r="F19" t="str">
            <v>공무</v>
          </cell>
          <cell r="I19">
            <v>42906476</v>
          </cell>
          <cell r="J19">
            <v>4290647</v>
          </cell>
          <cell r="K19">
            <v>38615829</v>
          </cell>
          <cell r="L19">
            <v>13</v>
          </cell>
          <cell r="M19">
            <v>6.4102564102564109E-3</v>
          </cell>
          <cell r="N19">
            <v>13119461</v>
          </cell>
          <cell r="O19">
            <v>247537</v>
          </cell>
          <cell r="P19">
            <v>13366998</v>
          </cell>
          <cell r="Q19">
            <v>29539478</v>
          </cell>
        </row>
        <row r="20">
          <cell r="A20">
            <v>16</v>
          </cell>
          <cell r="B20" t="str">
            <v>BALL MILL</v>
          </cell>
          <cell r="C20" t="str">
            <v>1991. 12</v>
          </cell>
          <cell r="D20">
            <v>1</v>
          </cell>
          <cell r="E20">
            <v>9030640</v>
          </cell>
          <cell r="F20" t="str">
            <v>연구소</v>
          </cell>
          <cell r="I20">
            <v>9030640</v>
          </cell>
          <cell r="J20">
            <v>903064</v>
          </cell>
          <cell r="K20">
            <v>8127576</v>
          </cell>
          <cell r="L20">
            <v>13</v>
          </cell>
          <cell r="M20">
            <v>6.4102564102564109E-3</v>
          </cell>
          <cell r="N20">
            <v>2761247</v>
          </cell>
          <cell r="O20">
            <v>52099</v>
          </cell>
          <cell r="P20">
            <v>2813346</v>
          </cell>
          <cell r="Q20">
            <v>6217294</v>
          </cell>
        </row>
        <row r="21">
          <cell r="A21">
            <v>17</v>
          </cell>
          <cell r="B21" t="str">
            <v>PYRO. SAW</v>
          </cell>
          <cell r="C21" t="str">
            <v>1991. 12</v>
          </cell>
          <cell r="D21">
            <v>1</v>
          </cell>
          <cell r="E21">
            <v>28840621</v>
          </cell>
          <cell r="F21" t="str">
            <v>전처리</v>
          </cell>
          <cell r="I21">
            <v>28840621</v>
          </cell>
          <cell r="J21">
            <v>2884062</v>
          </cell>
          <cell r="K21">
            <v>25956559</v>
          </cell>
          <cell r="L21">
            <v>13</v>
          </cell>
          <cell r="M21">
            <v>6.4102564102564109E-3</v>
          </cell>
          <cell r="N21">
            <v>8818564</v>
          </cell>
          <cell r="O21">
            <v>166388</v>
          </cell>
          <cell r="P21">
            <v>8984952</v>
          </cell>
          <cell r="Q21">
            <v>19855669</v>
          </cell>
        </row>
        <row r="22">
          <cell r="A22">
            <v>18</v>
          </cell>
          <cell r="B22" t="str">
            <v>2,000T PRESS</v>
          </cell>
          <cell r="C22" t="str">
            <v>1991. 12</v>
          </cell>
          <cell r="D22">
            <v>1</v>
          </cell>
          <cell r="E22">
            <v>248765637</v>
          </cell>
          <cell r="F22" t="str">
            <v>합성</v>
          </cell>
          <cell r="I22">
            <v>248765637</v>
          </cell>
          <cell r="J22">
            <v>24876563</v>
          </cell>
          <cell r="K22">
            <v>223889074</v>
          </cell>
          <cell r="L22">
            <v>13</v>
          </cell>
          <cell r="M22">
            <v>6.4102564102564109E-3</v>
          </cell>
          <cell r="N22">
            <v>76064858</v>
          </cell>
          <cell r="O22">
            <v>1435186</v>
          </cell>
          <cell r="P22">
            <v>77500044</v>
          </cell>
          <cell r="Q22">
            <v>171265593</v>
          </cell>
        </row>
        <row r="23">
          <cell r="A23">
            <v>19</v>
          </cell>
          <cell r="B23" t="str">
            <v>XY-RECORDER</v>
          </cell>
          <cell r="C23" t="str">
            <v>1991. 12</v>
          </cell>
          <cell r="D23">
            <v>1</v>
          </cell>
          <cell r="E23">
            <v>3918266</v>
          </cell>
          <cell r="F23" t="str">
            <v>생산사무실</v>
          </cell>
          <cell r="I23">
            <v>3918266</v>
          </cell>
          <cell r="J23">
            <v>391826</v>
          </cell>
          <cell r="K23">
            <v>3526440</v>
          </cell>
          <cell r="L23">
            <v>13</v>
          </cell>
          <cell r="M23">
            <v>6.4102564102564109E-3</v>
          </cell>
          <cell r="N23">
            <v>1198065</v>
          </cell>
          <cell r="O23">
            <v>22605</v>
          </cell>
          <cell r="P23">
            <v>1220670</v>
          </cell>
          <cell r="Q23">
            <v>2697596</v>
          </cell>
        </row>
        <row r="24">
          <cell r="A24">
            <v>20</v>
          </cell>
          <cell r="B24" t="str">
            <v>AIR SHIFTER</v>
          </cell>
          <cell r="C24" t="str">
            <v>1991. 12</v>
          </cell>
          <cell r="D24">
            <v>1</v>
          </cell>
          <cell r="E24">
            <v>41148013</v>
          </cell>
          <cell r="F24" t="str">
            <v>품보</v>
          </cell>
          <cell r="I24">
            <v>41148013</v>
          </cell>
          <cell r="J24">
            <v>4114801</v>
          </cell>
          <cell r="K24">
            <v>37033212</v>
          </cell>
          <cell r="L24">
            <v>13</v>
          </cell>
          <cell r="M24">
            <v>6.4102564102564109E-3</v>
          </cell>
          <cell r="N24">
            <v>12581776</v>
          </cell>
          <cell r="O24">
            <v>237392</v>
          </cell>
          <cell r="P24">
            <v>12819168</v>
          </cell>
          <cell r="Q24">
            <v>28328845</v>
          </cell>
        </row>
        <row r="25">
          <cell r="A25">
            <v>21</v>
          </cell>
          <cell r="B25" t="str">
            <v>MAGNETIC SEPERATOR</v>
          </cell>
          <cell r="C25" t="str">
            <v>1991. 12</v>
          </cell>
          <cell r="D25">
            <v>1</v>
          </cell>
          <cell r="E25">
            <v>19241675</v>
          </cell>
          <cell r="F25" t="str">
            <v>품보</v>
          </cell>
          <cell r="I25">
            <v>19241675</v>
          </cell>
          <cell r="J25">
            <v>1924167</v>
          </cell>
          <cell r="K25">
            <v>17317508</v>
          </cell>
          <cell r="L25">
            <v>13</v>
          </cell>
          <cell r="M25">
            <v>6.4102564102564109E-3</v>
          </cell>
          <cell r="N25">
            <v>5794269</v>
          </cell>
          <cell r="O25">
            <v>111009</v>
          </cell>
          <cell r="P25">
            <v>5905278</v>
          </cell>
          <cell r="Q25">
            <v>13336397</v>
          </cell>
        </row>
        <row r="26">
          <cell r="A26">
            <v>22</v>
          </cell>
          <cell r="B26" t="str">
            <v>C.I.P.</v>
          </cell>
          <cell r="C26" t="str">
            <v>1991. 12</v>
          </cell>
          <cell r="D26">
            <v>1</v>
          </cell>
          <cell r="E26">
            <v>32118862</v>
          </cell>
          <cell r="F26" t="str">
            <v>전처리</v>
          </cell>
          <cell r="I26">
            <v>32118862</v>
          </cell>
          <cell r="J26">
            <v>3211886</v>
          </cell>
          <cell r="K26">
            <v>28906976</v>
          </cell>
          <cell r="L26">
            <v>13</v>
          </cell>
          <cell r="M26">
            <v>6.4102564102564109E-3</v>
          </cell>
          <cell r="N26">
            <v>9720609</v>
          </cell>
          <cell r="O26">
            <v>185301</v>
          </cell>
          <cell r="P26">
            <v>9905910</v>
          </cell>
          <cell r="Q26">
            <v>22212952</v>
          </cell>
        </row>
        <row r="27">
          <cell r="A27">
            <v>23</v>
          </cell>
          <cell r="B27" t="str">
            <v>AIR COMP'</v>
          </cell>
          <cell r="C27" t="str">
            <v>1991. 12</v>
          </cell>
          <cell r="D27">
            <v>1</v>
          </cell>
          <cell r="E27">
            <v>160394892</v>
          </cell>
          <cell r="F27" t="str">
            <v>합성</v>
          </cell>
          <cell r="I27">
            <v>160394892</v>
          </cell>
          <cell r="J27">
            <v>16039489</v>
          </cell>
          <cell r="K27">
            <v>144355403</v>
          </cell>
          <cell r="L27">
            <v>13</v>
          </cell>
          <cell r="M27">
            <v>6.4102564102564109E-3</v>
          </cell>
          <cell r="N27">
            <v>49043815</v>
          </cell>
          <cell r="O27">
            <v>925355</v>
          </cell>
          <cell r="P27">
            <v>49969170</v>
          </cell>
          <cell r="Q27">
            <v>110425722</v>
          </cell>
        </row>
        <row r="28">
          <cell r="A28">
            <v>24</v>
          </cell>
          <cell r="B28" t="str">
            <v>TURNING LATHE</v>
          </cell>
          <cell r="C28" t="str">
            <v>1991. 12</v>
          </cell>
          <cell r="D28">
            <v>1</v>
          </cell>
          <cell r="E28">
            <v>73075068</v>
          </cell>
          <cell r="F28" t="str">
            <v>전처리</v>
          </cell>
          <cell r="I28">
            <v>73075068</v>
          </cell>
          <cell r="J28">
            <v>7307506</v>
          </cell>
          <cell r="K28">
            <v>65767562</v>
          </cell>
          <cell r="L28">
            <v>13</v>
          </cell>
          <cell r="M28">
            <v>6.4102564102564109E-3</v>
          </cell>
          <cell r="N28">
            <v>22344058</v>
          </cell>
          <cell r="O28">
            <v>421586</v>
          </cell>
          <cell r="P28">
            <v>22765644</v>
          </cell>
          <cell r="Q28">
            <v>50309424</v>
          </cell>
        </row>
        <row r="29">
          <cell r="A29">
            <v>25</v>
          </cell>
          <cell r="B29" t="str">
            <v>V-TYPE MIXER외</v>
          </cell>
          <cell r="C29" t="str">
            <v>1991. 12</v>
          </cell>
          <cell r="D29">
            <v>1</v>
          </cell>
          <cell r="E29">
            <v>99588546</v>
          </cell>
          <cell r="F29" t="str">
            <v>합성</v>
          </cell>
          <cell r="I29">
            <v>99588546</v>
          </cell>
          <cell r="J29">
            <v>9958854</v>
          </cell>
          <cell r="K29">
            <v>89629692</v>
          </cell>
          <cell r="L29">
            <v>13</v>
          </cell>
          <cell r="M29">
            <v>6.4102564102564109E-3</v>
          </cell>
          <cell r="N29">
            <v>29630135</v>
          </cell>
          <cell r="O29">
            <v>574549</v>
          </cell>
          <cell r="P29">
            <v>30204684</v>
          </cell>
          <cell r="Q29">
            <v>69383862</v>
          </cell>
        </row>
        <row r="30">
          <cell r="A30">
            <v>26</v>
          </cell>
          <cell r="B30" t="str">
            <v>MICRO SCIVE외</v>
          </cell>
          <cell r="C30" t="str">
            <v>1991. 12</v>
          </cell>
          <cell r="D30">
            <v>1</v>
          </cell>
          <cell r="E30">
            <v>76314575</v>
          </cell>
          <cell r="F30" t="str">
            <v>전처리</v>
          </cell>
          <cell r="I30">
            <v>76314575</v>
          </cell>
          <cell r="J30">
            <v>7631457</v>
          </cell>
          <cell r="K30">
            <v>68683118</v>
          </cell>
          <cell r="L30">
            <v>13</v>
          </cell>
          <cell r="M30">
            <v>6.4102564102564109E-3</v>
          </cell>
          <cell r="N30">
            <v>19475008</v>
          </cell>
          <cell r="O30">
            <v>440276</v>
          </cell>
          <cell r="P30">
            <v>19915284</v>
          </cell>
          <cell r="Q30">
            <v>56399291</v>
          </cell>
        </row>
      </sheetData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일보고"/>
      <sheetName val="Member"/>
      <sheetName val="Site"/>
      <sheetName val="CS"/>
      <sheetName val="어드레스"/>
      <sheetName val="주문현황"/>
      <sheetName val="Shop-hub"/>
      <sheetName val="Add-hub"/>
      <sheetName val="add-매출"/>
      <sheetName val="Hub_graph"/>
      <sheetName val="inventory"/>
      <sheetName val="주간 동향"/>
      <sheetName val="오퍼레이션"/>
      <sheetName val="모상희작"/>
      <sheetName val="오퍼_백"/>
    </sheetNames>
    <sheetDataSet>
      <sheetData sheetId="0" refreshError="1"/>
      <sheetData sheetId="1">
        <row r="4">
          <cell r="A4" t="str">
            <v>DAY</v>
          </cell>
          <cell r="D4" t="str">
            <v>누적</v>
          </cell>
          <cell r="E4" t="str">
            <v>신규</v>
          </cell>
          <cell r="F4" t="str">
            <v>DB 누적</v>
          </cell>
        </row>
        <row r="5">
          <cell r="A5">
            <v>36943</v>
          </cell>
          <cell r="B5">
            <v>4</v>
          </cell>
          <cell r="C5" t="str">
            <v>수</v>
          </cell>
          <cell r="D5">
            <v>0</v>
          </cell>
          <cell r="E5">
            <v>1337</v>
          </cell>
        </row>
        <row r="6">
          <cell r="A6">
            <v>36944</v>
          </cell>
          <cell r="B6">
            <v>5</v>
          </cell>
          <cell r="C6" t="str">
            <v>목</v>
          </cell>
          <cell r="D6">
            <v>1795</v>
          </cell>
          <cell r="E6">
            <v>458</v>
          </cell>
        </row>
        <row r="7">
          <cell r="A7">
            <v>36945</v>
          </cell>
          <cell r="B7">
            <v>6</v>
          </cell>
          <cell r="C7" t="str">
            <v>금</v>
          </cell>
          <cell r="D7">
            <v>2203</v>
          </cell>
          <cell r="E7">
            <v>408</v>
          </cell>
        </row>
        <row r="8">
          <cell r="A8">
            <v>36946</v>
          </cell>
          <cell r="B8">
            <v>7</v>
          </cell>
          <cell r="C8" t="str">
            <v>토</v>
          </cell>
          <cell r="D8">
            <v>2390</v>
          </cell>
          <cell r="E8">
            <v>187</v>
          </cell>
        </row>
        <row r="9">
          <cell r="A9">
            <v>36947</v>
          </cell>
          <cell r="B9">
            <v>1</v>
          </cell>
          <cell r="C9" t="str">
            <v>일</v>
          </cell>
          <cell r="D9">
            <v>2502</v>
          </cell>
          <cell r="E9">
            <v>112</v>
          </cell>
        </row>
        <row r="10">
          <cell r="A10">
            <v>36948</v>
          </cell>
          <cell r="B10">
            <v>2</v>
          </cell>
          <cell r="C10" t="str">
            <v>월</v>
          </cell>
          <cell r="D10">
            <v>2699</v>
          </cell>
          <cell r="E10">
            <v>197</v>
          </cell>
        </row>
        <row r="11">
          <cell r="A11">
            <v>36949</v>
          </cell>
          <cell r="B11">
            <v>3</v>
          </cell>
          <cell r="C11" t="str">
            <v>화</v>
          </cell>
          <cell r="D11">
            <v>2855</v>
          </cell>
          <cell r="E11">
            <v>156</v>
          </cell>
        </row>
        <row r="12">
          <cell r="A12">
            <v>36950</v>
          </cell>
          <cell r="B12">
            <v>4</v>
          </cell>
          <cell r="C12" t="str">
            <v>수</v>
          </cell>
          <cell r="D12">
            <v>2959</v>
          </cell>
          <cell r="E12">
            <v>104</v>
          </cell>
        </row>
        <row r="13">
          <cell r="A13">
            <v>36951</v>
          </cell>
          <cell r="B13">
            <v>5</v>
          </cell>
          <cell r="C13" t="str">
            <v>목</v>
          </cell>
          <cell r="D13">
            <v>3046</v>
          </cell>
          <cell r="E13">
            <v>87</v>
          </cell>
        </row>
        <row r="14">
          <cell r="A14">
            <v>36952</v>
          </cell>
          <cell r="B14">
            <v>6</v>
          </cell>
          <cell r="C14" t="str">
            <v>금</v>
          </cell>
          <cell r="D14">
            <v>3166</v>
          </cell>
          <cell r="E14">
            <v>120</v>
          </cell>
        </row>
        <row r="15">
          <cell r="A15">
            <v>36953</v>
          </cell>
          <cell r="B15">
            <v>7</v>
          </cell>
          <cell r="C15" t="str">
            <v>토</v>
          </cell>
          <cell r="D15">
            <v>3256</v>
          </cell>
          <cell r="E15">
            <v>90</v>
          </cell>
        </row>
        <row r="16">
          <cell r="A16">
            <v>36954</v>
          </cell>
          <cell r="B16">
            <v>1</v>
          </cell>
          <cell r="C16" t="str">
            <v>일</v>
          </cell>
          <cell r="D16">
            <v>3335</v>
          </cell>
          <cell r="E16">
            <v>79</v>
          </cell>
        </row>
        <row r="17">
          <cell r="A17">
            <v>36955</v>
          </cell>
          <cell r="B17">
            <v>2</v>
          </cell>
          <cell r="C17" t="str">
            <v>월</v>
          </cell>
          <cell r="D17">
            <v>3467</v>
          </cell>
          <cell r="E17">
            <v>132</v>
          </cell>
        </row>
        <row r="18">
          <cell r="A18">
            <v>36956</v>
          </cell>
          <cell r="B18">
            <v>3</v>
          </cell>
          <cell r="C18" t="str">
            <v>화</v>
          </cell>
          <cell r="D18">
            <v>3607</v>
          </cell>
          <cell r="E18">
            <v>140</v>
          </cell>
        </row>
        <row r="19">
          <cell r="A19">
            <v>36957</v>
          </cell>
          <cell r="B19">
            <v>4</v>
          </cell>
          <cell r="C19" t="str">
            <v>수</v>
          </cell>
          <cell r="D19">
            <v>3825</v>
          </cell>
          <cell r="E19">
            <v>218</v>
          </cell>
        </row>
        <row r="20">
          <cell r="A20">
            <v>36958</v>
          </cell>
          <cell r="B20">
            <v>5</v>
          </cell>
          <cell r="C20" t="str">
            <v>목</v>
          </cell>
          <cell r="D20">
            <v>4032</v>
          </cell>
          <cell r="E20">
            <v>207</v>
          </cell>
        </row>
        <row r="21">
          <cell r="A21">
            <v>36959</v>
          </cell>
          <cell r="B21">
            <v>6</v>
          </cell>
          <cell r="C21" t="str">
            <v>금</v>
          </cell>
          <cell r="D21">
            <v>4192</v>
          </cell>
          <cell r="E21">
            <v>160</v>
          </cell>
        </row>
        <row r="22">
          <cell r="A22">
            <v>36960</v>
          </cell>
          <cell r="B22">
            <v>7</v>
          </cell>
          <cell r="C22" t="str">
            <v>토</v>
          </cell>
          <cell r="D22">
            <v>4379</v>
          </cell>
          <cell r="E22">
            <v>187</v>
          </cell>
        </row>
        <row r="23">
          <cell r="A23">
            <v>36961</v>
          </cell>
          <cell r="B23">
            <v>1</v>
          </cell>
          <cell r="C23" t="str">
            <v>일</v>
          </cell>
          <cell r="D23">
            <v>4572</v>
          </cell>
          <cell r="E23">
            <v>193</v>
          </cell>
        </row>
        <row r="24">
          <cell r="A24">
            <v>36962</v>
          </cell>
          <cell r="B24">
            <v>2</v>
          </cell>
          <cell r="C24" t="str">
            <v>월</v>
          </cell>
          <cell r="D24">
            <v>5699</v>
          </cell>
          <cell r="E24">
            <v>1127</v>
          </cell>
        </row>
        <row r="25">
          <cell r="A25">
            <v>36963</v>
          </cell>
          <cell r="B25">
            <v>3</v>
          </cell>
          <cell r="C25" t="str">
            <v>화</v>
          </cell>
          <cell r="D25">
            <v>6564</v>
          </cell>
          <cell r="E25">
            <v>865</v>
          </cell>
        </row>
        <row r="26">
          <cell r="A26">
            <v>36964</v>
          </cell>
          <cell r="B26">
            <v>4</v>
          </cell>
          <cell r="C26" t="str">
            <v>수</v>
          </cell>
          <cell r="D26">
            <v>7880</v>
          </cell>
          <cell r="E26">
            <v>1316</v>
          </cell>
        </row>
        <row r="27">
          <cell r="A27">
            <v>36965</v>
          </cell>
          <cell r="B27">
            <v>5</v>
          </cell>
          <cell r="C27" t="str">
            <v>목</v>
          </cell>
          <cell r="D27">
            <v>9188</v>
          </cell>
          <cell r="E27">
            <v>1308</v>
          </cell>
        </row>
        <row r="28">
          <cell r="A28">
            <v>36966</v>
          </cell>
          <cell r="B28">
            <v>6</v>
          </cell>
          <cell r="C28" t="str">
            <v>금</v>
          </cell>
          <cell r="D28">
            <v>11126</v>
          </cell>
          <cell r="E28">
            <v>1938</v>
          </cell>
        </row>
        <row r="29">
          <cell r="A29">
            <v>36967</v>
          </cell>
          <cell r="B29">
            <v>7</v>
          </cell>
          <cell r="C29" t="str">
            <v>토</v>
          </cell>
          <cell r="D29">
            <v>12044</v>
          </cell>
          <cell r="E29">
            <v>918</v>
          </cell>
        </row>
        <row r="30">
          <cell r="A30">
            <v>36968</v>
          </cell>
          <cell r="B30">
            <v>1</v>
          </cell>
          <cell r="C30" t="str">
            <v>일</v>
          </cell>
          <cell r="D30">
            <v>12583</v>
          </cell>
          <cell r="E30">
            <v>539</v>
          </cell>
        </row>
        <row r="31">
          <cell r="A31">
            <v>36969</v>
          </cell>
          <cell r="B31">
            <v>2</v>
          </cell>
          <cell r="C31" t="str">
            <v>월</v>
          </cell>
          <cell r="D31">
            <v>15268</v>
          </cell>
          <cell r="E31">
            <v>2685</v>
          </cell>
        </row>
        <row r="32">
          <cell r="A32">
            <v>36970</v>
          </cell>
          <cell r="B32">
            <v>3</v>
          </cell>
          <cell r="C32" t="str">
            <v>화</v>
          </cell>
          <cell r="D32">
            <v>19047</v>
          </cell>
          <cell r="E32">
            <v>3779</v>
          </cell>
        </row>
        <row r="33">
          <cell r="A33">
            <v>36971</v>
          </cell>
          <cell r="B33">
            <v>4</v>
          </cell>
          <cell r="C33" t="str">
            <v>수</v>
          </cell>
          <cell r="D33">
            <v>26267</v>
          </cell>
          <cell r="E33">
            <v>7220</v>
          </cell>
        </row>
        <row r="34">
          <cell r="A34">
            <v>36972</v>
          </cell>
          <cell r="B34">
            <v>5</v>
          </cell>
          <cell r="C34" t="str">
            <v>목</v>
          </cell>
          <cell r="D34">
            <v>29518</v>
          </cell>
          <cell r="E34">
            <v>3251</v>
          </cell>
        </row>
        <row r="35">
          <cell r="A35">
            <v>36973</v>
          </cell>
          <cell r="B35">
            <v>6</v>
          </cell>
          <cell r="C35" t="str">
            <v>금</v>
          </cell>
          <cell r="D35">
            <v>31704</v>
          </cell>
          <cell r="E35">
            <v>2186</v>
          </cell>
        </row>
        <row r="36">
          <cell r="A36">
            <v>36974</v>
          </cell>
          <cell r="B36">
            <v>7</v>
          </cell>
          <cell r="C36" t="str">
            <v>토</v>
          </cell>
          <cell r="D36">
            <v>32923</v>
          </cell>
          <cell r="E36">
            <v>1219</v>
          </cell>
        </row>
        <row r="37">
          <cell r="A37">
            <v>36975</v>
          </cell>
          <cell r="B37">
            <v>1</v>
          </cell>
          <cell r="C37" t="str">
            <v>일</v>
          </cell>
          <cell r="D37">
            <v>33792</v>
          </cell>
          <cell r="E37">
            <v>869</v>
          </cell>
        </row>
        <row r="38">
          <cell r="A38">
            <v>36976</v>
          </cell>
          <cell r="B38">
            <v>2</v>
          </cell>
          <cell r="C38" t="str">
            <v>월</v>
          </cell>
          <cell r="D38">
            <v>36151</v>
          </cell>
          <cell r="E38">
            <v>2359</v>
          </cell>
        </row>
        <row r="39">
          <cell r="A39">
            <v>36977</v>
          </cell>
          <cell r="B39">
            <v>3</v>
          </cell>
          <cell r="C39" t="str">
            <v>화</v>
          </cell>
          <cell r="D39">
            <v>39069</v>
          </cell>
          <cell r="E39">
            <v>2918</v>
          </cell>
        </row>
        <row r="40">
          <cell r="A40">
            <v>36978</v>
          </cell>
          <cell r="B40">
            <v>4</v>
          </cell>
          <cell r="C40" t="str">
            <v>수</v>
          </cell>
          <cell r="D40">
            <v>41155</v>
          </cell>
          <cell r="E40">
            <v>2086</v>
          </cell>
        </row>
        <row r="41">
          <cell r="A41">
            <v>36979</v>
          </cell>
          <cell r="B41">
            <v>5</v>
          </cell>
          <cell r="C41" t="str">
            <v>목</v>
          </cell>
          <cell r="D41">
            <v>43001</v>
          </cell>
          <cell r="E41">
            <v>1846</v>
          </cell>
        </row>
        <row r="42">
          <cell r="A42">
            <v>36980</v>
          </cell>
          <cell r="B42">
            <v>6</v>
          </cell>
          <cell r="C42" t="str">
            <v>금</v>
          </cell>
          <cell r="D42">
            <v>43948</v>
          </cell>
          <cell r="E42">
            <v>947</v>
          </cell>
        </row>
        <row r="43">
          <cell r="A43">
            <v>36981</v>
          </cell>
          <cell r="B43">
            <v>7</v>
          </cell>
          <cell r="C43" t="str">
            <v>토</v>
          </cell>
          <cell r="D43">
            <v>44596</v>
          </cell>
          <cell r="E43">
            <v>648</v>
          </cell>
        </row>
        <row r="44">
          <cell r="A44">
            <v>36982</v>
          </cell>
          <cell r="B44">
            <v>1</v>
          </cell>
          <cell r="C44" t="str">
            <v>일</v>
          </cell>
          <cell r="D44">
            <v>45183</v>
          </cell>
          <cell r="E44">
            <v>587</v>
          </cell>
        </row>
        <row r="45">
          <cell r="A45">
            <v>36983</v>
          </cell>
          <cell r="B45">
            <v>2</v>
          </cell>
          <cell r="C45" t="str">
            <v>월</v>
          </cell>
          <cell r="D45">
            <v>46352</v>
          </cell>
          <cell r="E45">
            <v>1169</v>
          </cell>
        </row>
        <row r="46">
          <cell r="A46">
            <v>36984</v>
          </cell>
          <cell r="B46">
            <v>3</v>
          </cell>
          <cell r="C46" t="str">
            <v>화</v>
          </cell>
          <cell r="D46">
            <v>47950</v>
          </cell>
          <cell r="E46">
            <v>1598</v>
          </cell>
        </row>
        <row r="47">
          <cell r="A47">
            <v>36985</v>
          </cell>
          <cell r="B47">
            <v>4</v>
          </cell>
          <cell r="C47" t="str">
            <v>수</v>
          </cell>
          <cell r="D47">
            <v>53709</v>
          </cell>
          <cell r="E47">
            <v>5759</v>
          </cell>
        </row>
        <row r="48">
          <cell r="A48">
            <v>36986</v>
          </cell>
          <cell r="B48">
            <v>5</v>
          </cell>
          <cell r="C48" t="str">
            <v>목</v>
          </cell>
          <cell r="D48">
            <v>58692</v>
          </cell>
          <cell r="E48">
            <v>4983</v>
          </cell>
        </row>
        <row r="49">
          <cell r="A49">
            <v>36987</v>
          </cell>
          <cell r="B49">
            <v>6</v>
          </cell>
          <cell r="C49" t="str">
            <v>금</v>
          </cell>
          <cell r="D49">
            <v>62326</v>
          </cell>
          <cell r="E49">
            <v>3634</v>
          </cell>
        </row>
        <row r="50">
          <cell r="A50">
            <v>36988</v>
          </cell>
          <cell r="B50">
            <v>7</v>
          </cell>
          <cell r="C50" t="str">
            <v>토</v>
          </cell>
          <cell r="D50">
            <v>63797</v>
          </cell>
          <cell r="E50">
            <v>1471</v>
          </cell>
        </row>
        <row r="51">
          <cell r="A51">
            <v>36989</v>
          </cell>
          <cell r="B51">
            <v>1</v>
          </cell>
          <cell r="C51" t="str">
            <v>일</v>
          </cell>
          <cell r="D51">
            <v>64766</v>
          </cell>
          <cell r="E51">
            <v>969</v>
          </cell>
        </row>
        <row r="52">
          <cell r="A52">
            <v>36990</v>
          </cell>
          <cell r="B52">
            <v>2</v>
          </cell>
          <cell r="C52" t="str">
            <v>월</v>
          </cell>
          <cell r="D52">
            <v>65854</v>
          </cell>
          <cell r="E52">
            <v>1088</v>
          </cell>
        </row>
        <row r="53">
          <cell r="A53">
            <v>36991</v>
          </cell>
          <cell r="B53">
            <v>3</v>
          </cell>
          <cell r="C53" t="str">
            <v>화</v>
          </cell>
          <cell r="D53">
            <v>66714</v>
          </cell>
          <cell r="E53">
            <v>860</v>
          </cell>
        </row>
        <row r="54">
          <cell r="A54">
            <v>36992</v>
          </cell>
          <cell r="B54">
            <v>4</v>
          </cell>
          <cell r="C54" t="str">
            <v>수</v>
          </cell>
          <cell r="D54">
            <v>67358</v>
          </cell>
          <cell r="E54">
            <v>644</v>
          </cell>
        </row>
        <row r="55">
          <cell r="A55">
            <v>36993</v>
          </cell>
          <cell r="B55">
            <v>5</v>
          </cell>
          <cell r="C55" t="str">
            <v>목</v>
          </cell>
          <cell r="D55">
            <v>67723</v>
          </cell>
          <cell r="E55">
            <v>365</v>
          </cell>
        </row>
        <row r="56">
          <cell r="A56">
            <v>36994</v>
          </cell>
          <cell r="B56">
            <v>6</v>
          </cell>
          <cell r="C56" t="str">
            <v>금</v>
          </cell>
          <cell r="D56">
            <v>67988</v>
          </cell>
          <cell r="E56">
            <v>265</v>
          </cell>
        </row>
        <row r="57">
          <cell r="A57">
            <v>36995</v>
          </cell>
          <cell r="B57">
            <v>7</v>
          </cell>
          <cell r="C57" t="str">
            <v>토</v>
          </cell>
          <cell r="D57">
            <v>68241</v>
          </cell>
          <cell r="E57">
            <v>253</v>
          </cell>
        </row>
        <row r="58">
          <cell r="A58">
            <v>36996</v>
          </cell>
          <cell r="B58">
            <v>1</v>
          </cell>
          <cell r="C58" t="str">
            <v>일</v>
          </cell>
          <cell r="D58">
            <v>68452</v>
          </cell>
          <cell r="E58">
            <v>211</v>
          </cell>
        </row>
        <row r="59">
          <cell r="A59">
            <v>36997</v>
          </cell>
          <cell r="B59">
            <v>2</v>
          </cell>
          <cell r="C59" t="str">
            <v>월</v>
          </cell>
          <cell r="D59">
            <v>68768</v>
          </cell>
          <cell r="E59">
            <v>316</v>
          </cell>
        </row>
        <row r="60">
          <cell r="A60">
            <v>36998</v>
          </cell>
          <cell r="B60">
            <v>3</v>
          </cell>
          <cell r="C60" t="str">
            <v>화</v>
          </cell>
          <cell r="D60">
            <v>69089</v>
          </cell>
          <cell r="E60">
            <v>321</v>
          </cell>
        </row>
        <row r="61">
          <cell r="A61">
            <v>36999</v>
          </cell>
          <cell r="B61">
            <v>4</v>
          </cell>
          <cell r="C61" t="str">
            <v>수</v>
          </cell>
          <cell r="D61">
            <v>69403</v>
          </cell>
          <cell r="E61">
            <v>314</v>
          </cell>
        </row>
        <row r="62">
          <cell r="A62">
            <v>37000</v>
          </cell>
          <cell r="B62">
            <v>5</v>
          </cell>
          <cell r="C62" t="str">
            <v>목</v>
          </cell>
          <cell r="D62">
            <v>69786</v>
          </cell>
          <cell r="E62">
            <v>383</v>
          </cell>
        </row>
        <row r="63">
          <cell r="A63">
            <v>37001</v>
          </cell>
          <cell r="B63">
            <v>6</v>
          </cell>
          <cell r="C63" t="str">
            <v>금</v>
          </cell>
          <cell r="D63">
            <v>70180</v>
          </cell>
          <cell r="E63">
            <v>394</v>
          </cell>
        </row>
        <row r="64">
          <cell r="A64">
            <v>37002</v>
          </cell>
          <cell r="B64">
            <v>7</v>
          </cell>
          <cell r="C64" t="str">
            <v>토</v>
          </cell>
          <cell r="D64">
            <v>70448</v>
          </cell>
          <cell r="E64">
            <v>268</v>
          </cell>
        </row>
        <row r="65">
          <cell r="A65">
            <v>37003</v>
          </cell>
          <cell r="B65">
            <v>1</v>
          </cell>
          <cell r="C65" t="str">
            <v>일</v>
          </cell>
          <cell r="D65">
            <v>70583</v>
          </cell>
          <cell r="E65">
            <v>135</v>
          </cell>
        </row>
        <row r="66">
          <cell r="A66">
            <v>37004</v>
          </cell>
          <cell r="B66">
            <v>2</v>
          </cell>
          <cell r="C66" t="str">
            <v>월</v>
          </cell>
          <cell r="D66">
            <v>71100</v>
          </cell>
          <cell r="E66">
            <v>517</v>
          </cell>
        </row>
        <row r="67">
          <cell r="A67">
            <v>37005</v>
          </cell>
          <cell r="B67">
            <v>3</v>
          </cell>
          <cell r="C67" t="str">
            <v>화</v>
          </cell>
          <cell r="D67">
            <v>71480</v>
          </cell>
          <cell r="E67">
            <v>380</v>
          </cell>
        </row>
        <row r="68">
          <cell r="A68">
            <v>37006</v>
          </cell>
          <cell r="B68">
            <v>4</v>
          </cell>
          <cell r="C68" t="str">
            <v>수</v>
          </cell>
          <cell r="D68">
            <v>71834</v>
          </cell>
          <cell r="E68">
            <v>354</v>
          </cell>
        </row>
        <row r="69">
          <cell r="A69">
            <v>37007</v>
          </cell>
          <cell r="B69">
            <v>5</v>
          </cell>
          <cell r="C69" t="str">
            <v>목</v>
          </cell>
          <cell r="D69">
            <v>72135</v>
          </cell>
          <cell r="E69">
            <v>301</v>
          </cell>
        </row>
        <row r="70">
          <cell r="A70">
            <v>37008</v>
          </cell>
          <cell r="B70">
            <v>6</v>
          </cell>
          <cell r="C70" t="str">
            <v>금</v>
          </cell>
          <cell r="D70">
            <v>72443</v>
          </cell>
          <cell r="E70">
            <v>308</v>
          </cell>
        </row>
        <row r="71">
          <cell r="A71">
            <v>37009</v>
          </cell>
          <cell r="B71">
            <v>7</v>
          </cell>
          <cell r="C71" t="str">
            <v>토</v>
          </cell>
          <cell r="D71">
            <v>72701</v>
          </cell>
          <cell r="E71">
            <v>258</v>
          </cell>
        </row>
        <row r="72">
          <cell r="A72">
            <v>37010</v>
          </cell>
          <cell r="B72">
            <v>1</v>
          </cell>
          <cell r="C72" t="str">
            <v>일</v>
          </cell>
          <cell r="D72">
            <v>72974</v>
          </cell>
          <cell r="E72">
            <v>273</v>
          </cell>
        </row>
        <row r="73">
          <cell r="A73">
            <v>37011</v>
          </cell>
          <cell r="B73">
            <v>2</v>
          </cell>
          <cell r="C73" t="str">
            <v>월</v>
          </cell>
          <cell r="D73">
            <v>73469</v>
          </cell>
          <cell r="E73">
            <v>495</v>
          </cell>
        </row>
        <row r="74">
          <cell r="A74">
            <v>37012</v>
          </cell>
          <cell r="B74">
            <v>3</v>
          </cell>
          <cell r="C74" t="str">
            <v>화</v>
          </cell>
          <cell r="D74">
            <v>73792</v>
          </cell>
          <cell r="E74">
            <v>323</v>
          </cell>
        </row>
        <row r="75">
          <cell r="A75">
            <v>37013</v>
          </cell>
          <cell r="B75">
            <v>4</v>
          </cell>
          <cell r="C75" t="str">
            <v>수</v>
          </cell>
          <cell r="D75">
            <v>74147</v>
          </cell>
          <cell r="E75">
            <v>355</v>
          </cell>
        </row>
        <row r="76">
          <cell r="A76">
            <v>37014</v>
          </cell>
          <cell r="B76">
            <v>5</v>
          </cell>
          <cell r="C76" t="str">
            <v>목</v>
          </cell>
          <cell r="D76">
            <v>74485</v>
          </cell>
          <cell r="E76">
            <v>338</v>
          </cell>
        </row>
        <row r="77">
          <cell r="A77">
            <v>37015</v>
          </cell>
          <cell r="B77">
            <v>6</v>
          </cell>
          <cell r="C77" t="str">
            <v>금</v>
          </cell>
          <cell r="D77">
            <v>74795</v>
          </cell>
          <cell r="E77">
            <v>310</v>
          </cell>
        </row>
        <row r="78">
          <cell r="A78">
            <v>37016</v>
          </cell>
          <cell r="B78">
            <v>7</v>
          </cell>
          <cell r="C78" t="str">
            <v>토</v>
          </cell>
          <cell r="D78">
            <v>75034</v>
          </cell>
          <cell r="E78">
            <v>239</v>
          </cell>
        </row>
        <row r="79">
          <cell r="A79">
            <v>37017</v>
          </cell>
          <cell r="B79">
            <v>1</v>
          </cell>
          <cell r="C79" t="str">
            <v>일</v>
          </cell>
          <cell r="D79">
            <v>75229</v>
          </cell>
          <cell r="E79">
            <v>195</v>
          </cell>
        </row>
        <row r="80">
          <cell r="A80">
            <v>37018</v>
          </cell>
          <cell r="B80">
            <v>2</v>
          </cell>
          <cell r="C80" t="str">
            <v>월</v>
          </cell>
          <cell r="D80">
            <v>75442</v>
          </cell>
          <cell r="E80">
            <v>213</v>
          </cell>
        </row>
        <row r="81">
          <cell r="A81">
            <v>37019</v>
          </cell>
          <cell r="B81">
            <v>3</v>
          </cell>
          <cell r="C81" t="str">
            <v>화</v>
          </cell>
          <cell r="D81">
            <v>75658</v>
          </cell>
          <cell r="E81">
            <v>216</v>
          </cell>
        </row>
        <row r="82">
          <cell r="A82">
            <v>37020</v>
          </cell>
          <cell r="B82">
            <v>4</v>
          </cell>
          <cell r="C82" t="str">
            <v>수</v>
          </cell>
          <cell r="D82">
            <v>76366</v>
          </cell>
          <cell r="E82">
            <v>708</v>
          </cell>
        </row>
        <row r="83">
          <cell r="A83">
            <v>37021</v>
          </cell>
          <cell r="B83">
            <v>5</v>
          </cell>
          <cell r="C83" t="str">
            <v>목</v>
          </cell>
          <cell r="D83">
            <v>76790</v>
          </cell>
          <cell r="E83">
            <v>424</v>
          </cell>
        </row>
        <row r="84">
          <cell r="A84">
            <v>37022</v>
          </cell>
          <cell r="B84">
            <v>6</v>
          </cell>
          <cell r="C84" t="str">
            <v>금</v>
          </cell>
          <cell r="D84">
            <v>77115</v>
          </cell>
          <cell r="E84">
            <v>325</v>
          </cell>
        </row>
        <row r="85">
          <cell r="A85">
            <v>37023</v>
          </cell>
          <cell r="B85">
            <v>7</v>
          </cell>
          <cell r="C85" t="str">
            <v>토</v>
          </cell>
          <cell r="D85">
            <v>77341</v>
          </cell>
          <cell r="E85">
            <v>226</v>
          </cell>
        </row>
        <row r="86">
          <cell r="A86">
            <v>37024</v>
          </cell>
          <cell r="B86">
            <v>1</v>
          </cell>
          <cell r="C86" t="str">
            <v>일</v>
          </cell>
          <cell r="D86">
            <v>77531</v>
          </cell>
          <cell r="E86">
            <v>190</v>
          </cell>
        </row>
        <row r="87">
          <cell r="A87">
            <v>37025</v>
          </cell>
          <cell r="B87">
            <v>2</v>
          </cell>
          <cell r="C87" t="str">
            <v>월</v>
          </cell>
          <cell r="D87">
            <v>77783</v>
          </cell>
          <cell r="E87">
            <v>252</v>
          </cell>
        </row>
        <row r="88">
          <cell r="A88">
            <v>37026</v>
          </cell>
          <cell r="B88">
            <v>3</v>
          </cell>
          <cell r="C88" t="str">
            <v>화</v>
          </cell>
          <cell r="D88">
            <v>78059</v>
          </cell>
          <cell r="E88">
            <v>276</v>
          </cell>
        </row>
        <row r="89">
          <cell r="A89">
            <v>37027</v>
          </cell>
          <cell r="B89">
            <v>4</v>
          </cell>
          <cell r="C89" t="str">
            <v>수</v>
          </cell>
          <cell r="D89">
            <v>78190</v>
          </cell>
          <cell r="E89">
            <v>131</v>
          </cell>
        </row>
        <row r="90">
          <cell r="A90">
            <v>37028</v>
          </cell>
          <cell r="B90">
            <v>5</v>
          </cell>
          <cell r="C90" t="str">
            <v>목</v>
          </cell>
          <cell r="D90">
            <v>78400</v>
          </cell>
          <cell r="E90">
            <v>210</v>
          </cell>
        </row>
        <row r="91">
          <cell r="A91">
            <v>37029</v>
          </cell>
          <cell r="B91">
            <v>6</v>
          </cell>
          <cell r="C91" t="str">
            <v>금</v>
          </cell>
          <cell r="D91">
            <v>78607</v>
          </cell>
          <cell r="E91">
            <v>207</v>
          </cell>
        </row>
        <row r="92">
          <cell r="A92">
            <v>37030</v>
          </cell>
          <cell r="B92">
            <v>7</v>
          </cell>
          <cell r="C92" t="str">
            <v>토</v>
          </cell>
          <cell r="D92">
            <v>78748</v>
          </cell>
          <cell r="E92">
            <v>141</v>
          </cell>
        </row>
        <row r="93">
          <cell r="A93">
            <v>37031</v>
          </cell>
          <cell r="B93">
            <v>1</v>
          </cell>
          <cell r="C93" t="str">
            <v>일</v>
          </cell>
          <cell r="D93">
            <v>78864</v>
          </cell>
          <cell r="E93">
            <v>116</v>
          </cell>
        </row>
        <row r="94">
          <cell r="A94">
            <v>37032</v>
          </cell>
          <cell r="B94">
            <v>2</v>
          </cell>
          <cell r="C94" t="str">
            <v>월</v>
          </cell>
          <cell r="D94">
            <v>79255</v>
          </cell>
          <cell r="E94">
            <v>391</v>
          </cell>
        </row>
        <row r="95">
          <cell r="A95">
            <v>37033</v>
          </cell>
          <cell r="B95">
            <v>3</v>
          </cell>
          <cell r="C95" t="str">
            <v>화</v>
          </cell>
          <cell r="D95">
            <v>79721</v>
          </cell>
          <cell r="E95">
            <v>466</v>
          </cell>
        </row>
        <row r="96">
          <cell r="A96">
            <v>37034</v>
          </cell>
          <cell r="B96">
            <v>4</v>
          </cell>
          <cell r="C96" t="str">
            <v>수</v>
          </cell>
          <cell r="D96">
            <v>80135</v>
          </cell>
          <cell r="E96">
            <v>414</v>
          </cell>
        </row>
        <row r="97">
          <cell r="A97">
            <v>37035</v>
          </cell>
          <cell r="B97">
            <v>5</v>
          </cell>
          <cell r="C97" t="str">
            <v>목</v>
          </cell>
          <cell r="D97">
            <v>80673</v>
          </cell>
          <cell r="E97">
            <v>538</v>
          </cell>
        </row>
        <row r="98">
          <cell r="A98">
            <v>37036</v>
          </cell>
          <cell r="B98">
            <v>6</v>
          </cell>
          <cell r="C98" t="str">
            <v>금</v>
          </cell>
          <cell r="D98">
            <v>81172</v>
          </cell>
          <cell r="E98">
            <v>499</v>
          </cell>
        </row>
        <row r="99">
          <cell r="A99">
            <v>37037</v>
          </cell>
          <cell r="B99">
            <v>7</v>
          </cell>
          <cell r="C99" t="str">
            <v>토</v>
          </cell>
          <cell r="D99">
            <v>81543</v>
          </cell>
          <cell r="E99">
            <v>371</v>
          </cell>
        </row>
        <row r="100">
          <cell r="A100">
            <v>37038</v>
          </cell>
          <cell r="B100">
            <v>1</v>
          </cell>
          <cell r="C100" t="str">
            <v>일</v>
          </cell>
          <cell r="D100">
            <v>81882</v>
          </cell>
          <cell r="E100">
            <v>339</v>
          </cell>
        </row>
        <row r="101">
          <cell r="A101">
            <v>37039</v>
          </cell>
          <cell r="B101">
            <v>2</v>
          </cell>
          <cell r="C101" t="str">
            <v>월</v>
          </cell>
          <cell r="D101">
            <v>82339</v>
          </cell>
          <cell r="E101">
            <v>457</v>
          </cell>
        </row>
        <row r="102">
          <cell r="A102">
            <v>37040</v>
          </cell>
          <cell r="B102">
            <v>3</v>
          </cell>
          <cell r="C102" t="str">
            <v>화</v>
          </cell>
          <cell r="D102">
            <v>82786</v>
          </cell>
          <cell r="E102">
            <v>447</v>
          </cell>
        </row>
        <row r="103">
          <cell r="A103">
            <v>37041</v>
          </cell>
          <cell r="B103">
            <v>4</v>
          </cell>
          <cell r="C103" t="str">
            <v>수</v>
          </cell>
          <cell r="D103">
            <v>83508</v>
          </cell>
          <cell r="E103">
            <v>722</v>
          </cell>
        </row>
        <row r="104">
          <cell r="A104">
            <v>37042</v>
          </cell>
          <cell r="B104">
            <v>5</v>
          </cell>
          <cell r="C104" t="str">
            <v>목</v>
          </cell>
          <cell r="D104">
            <v>84181</v>
          </cell>
          <cell r="E104">
            <v>673</v>
          </cell>
        </row>
        <row r="105">
          <cell r="A105">
            <v>37043</v>
          </cell>
          <cell r="B105">
            <v>6</v>
          </cell>
          <cell r="C105" t="str">
            <v>금</v>
          </cell>
          <cell r="D105">
            <v>84750</v>
          </cell>
          <cell r="E105">
            <v>569</v>
          </cell>
        </row>
        <row r="106">
          <cell r="A106">
            <v>37044</v>
          </cell>
          <cell r="B106">
            <v>7</v>
          </cell>
          <cell r="C106" t="str">
            <v>토</v>
          </cell>
          <cell r="D106">
            <v>85190</v>
          </cell>
          <cell r="E106">
            <v>440</v>
          </cell>
        </row>
        <row r="107">
          <cell r="A107">
            <v>37045</v>
          </cell>
          <cell r="B107">
            <v>1</v>
          </cell>
          <cell r="C107" t="str">
            <v>일</v>
          </cell>
          <cell r="D107">
            <v>85550</v>
          </cell>
          <cell r="E107">
            <v>360</v>
          </cell>
        </row>
        <row r="108">
          <cell r="A108">
            <v>37046</v>
          </cell>
          <cell r="B108">
            <v>2</v>
          </cell>
          <cell r="C108" t="str">
            <v>월</v>
          </cell>
          <cell r="D108">
            <v>86036</v>
          </cell>
          <cell r="E108">
            <v>486</v>
          </cell>
        </row>
        <row r="109">
          <cell r="A109">
            <v>37047</v>
          </cell>
          <cell r="B109">
            <v>3</v>
          </cell>
          <cell r="C109" t="str">
            <v>화</v>
          </cell>
          <cell r="D109">
            <v>86540</v>
          </cell>
          <cell r="E109">
            <v>504</v>
          </cell>
        </row>
        <row r="110">
          <cell r="A110">
            <v>37048</v>
          </cell>
          <cell r="B110">
            <v>4</v>
          </cell>
          <cell r="C110" t="str">
            <v>수</v>
          </cell>
          <cell r="D110">
            <v>86963</v>
          </cell>
          <cell r="E110">
            <v>423</v>
          </cell>
        </row>
        <row r="111">
          <cell r="A111">
            <v>37049</v>
          </cell>
          <cell r="B111">
            <v>5</v>
          </cell>
          <cell r="C111" t="str">
            <v>목</v>
          </cell>
          <cell r="D111">
            <v>87449</v>
          </cell>
          <cell r="E111">
            <v>486</v>
          </cell>
        </row>
        <row r="112">
          <cell r="A112">
            <v>37050</v>
          </cell>
          <cell r="B112">
            <v>6</v>
          </cell>
          <cell r="C112" t="str">
            <v>금</v>
          </cell>
          <cell r="D112">
            <v>87841</v>
          </cell>
          <cell r="E112">
            <v>392</v>
          </cell>
        </row>
        <row r="113">
          <cell r="A113">
            <v>37051</v>
          </cell>
          <cell r="B113">
            <v>7</v>
          </cell>
          <cell r="C113" t="str">
            <v>토</v>
          </cell>
          <cell r="D113">
            <v>88146</v>
          </cell>
          <cell r="E113">
            <v>305</v>
          </cell>
        </row>
        <row r="114">
          <cell r="A114">
            <v>37052</v>
          </cell>
          <cell r="B114">
            <v>1</v>
          </cell>
          <cell r="C114" t="str">
            <v>일</v>
          </cell>
          <cell r="D114">
            <v>88400</v>
          </cell>
          <cell r="E114">
            <v>254</v>
          </cell>
        </row>
        <row r="115">
          <cell r="A115">
            <v>37053</v>
          </cell>
          <cell r="B115">
            <v>2</v>
          </cell>
          <cell r="C115" t="str">
            <v>월</v>
          </cell>
          <cell r="D115">
            <v>88713</v>
          </cell>
          <cell r="E115">
            <v>313</v>
          </cell>
        </row>
        <row r="116">
          <cell r="A116">
            <v>37054</v>
          </cell>
          <cell r="B116">
            <v>3</v>
          </cell>
          <cell r="C116" t="str">
            <v>화</v>
          </cell>
          <cell r="D116">
            <v>88984</v>
          </cell>
          <cell r="E116">
            <v>271</v>
          </cell>
        </row>
        <row r="117">
          <cell r="A117">
            <v>37055</v>
          </cell>
          <cell r="B117">
            <v>4</v>
          </cell>
          <cell r="C117" t="str">
            <v>수</v>
          </cell>
          <cell r="D117">
            <v>89360</v>
          </cell>
          <cell r="E117">
            <v>376</v>
          </cell>
        </row>
        <row r="118">
          <cell r="A118">
            <v>37056</v>
          </cell>
          <cell r="B118">
            <v>5</v>
          </cell>
          <cell r="C118" t="str">
            <v>목</v>
          </cell>
          <cell r="D118">
            <v>89934</v>
          </cell>
          <cell r="E118">
            <v>574</v>
          </cell>
        </row>
        <row r="119">
          <cell r="A119">
            <v>37057</v>
          </cell>
          <cell r="B119">
            <v>6</v>
          </cell>
          <cell r="C119" t="str">
            <v>금</v>
          </cell>
          <cell r="D119">
            <v>90571</v>
          </cell>
          <cell r="E119">
            <v>637</v>
          </cell>
        </row>
        <row r="120">
          <cell r="A120">
            <v>37058</v>
          </cell>
          <cell r="B120">
            <v>7</v>
          </cell>
          <cell r="C120" t="str">
            <v>토</v>
          </cell>
          <cell r="D120">
            <v>90910</v>
          </cell>
          <cell r="E120">
            <v>339</v>
          </cell>
        </row>
        <row r="121">
          <cell r="A121">
            <v>37059</v>
          </cell>
          <cell r="B121">
            <v>1</v>
          </cell>
          <cell r="C121" t="str">
            <v>일</v>
          </cell>
          <cell r="D121">
            <v>91278</v>
          </cell>
          <cell r="E121">
            <v>368</v>
          </cell>
        </row>
        <row r="122">
          <cell r="A122">
            <v>37060</v>
          </cell>
          <cell r="B122">
            <v>2</v>
          </cell>
          <cell r="C122" t="str">
            <v>월</v>
          </cell>
          <cell r="D122">
            <v>91744</v>
          </cell>
          <cell r="E122">
            <v>466</v>
          </cell>
        </row>
        <row r="123">
          <cell r="A123">
            <v>37061</v>
          </cell>
          <cell r="B123">
            <v>3</v>
          </cell>
          <cell r="C123" t="str">
            <v>화</v>
          </cell>
          <cell r="D123">
            <v>92064</v>
          </cell>
          <cell r="E123">
            <v>320</v>
          </cell>
        </row>
        <row r="124">
          <cell r="A124">
            <v>37062</v>
          </cell>
          <cell r="B124">
            <v>4</v>
          </cell>
          <cell r="C124" t="str">
            <v>수</v>
          </cell>
          <cell r="D124">
            <v>92330</v>
          </cell>
          <cell r="E124">
            <v>266</v>
          </cell>
        </row>
        <row r="125">
          <cell r="A125">
            <v>37063</v>
          </cell>
          <cell r="B125">
            <v>5</v>
          </cell>
          <cell r="C125" t="str">
            <v>목</v>
          </cell>
          <cell r="D125">
            <v>92489</v>
          </cell>
          <cell r="E125">
            <v>159</v>
          </cell>
        </row>
        <row r="126">
          <cell r="A126">
            <v>37064</v>
          </cell>
          <cell r="B126">
            <v>6</v>
          </cell>
          <cell r="C126" t="str">
            <v>금</v>
          </cell>
          <cell r="D126">
            <v>92644</v>
          </cell>
          <cell r="E126">
            <v>155</v>
          </cell>
          <cell r="F126">
            <v>91949</v>
          </cell>
        </row>
        <row r="127">
          <cell r="A127">
            <v>37065</v>
          </cell>
          <cell r="B127">
            <v>7</v>
          </cell>
          <cell r="C127" t="str">
            <v>토</v>
          </cell>
          <cell r="D127">
            <v>92790</v>
          </cell>
          <cell r="E127">
            <v>146</v>
          </cell>
          <cell r="F127">
            <v>92091</v>
          </cell>
        </row>
        <row r="128">
          <cell r="A128">
            <v>37066</v>
          </cell>
          <cell r="B128">
            <v>1</v>
          </cell>
          <cell r="C128" t="str">
            <v>일</v>
          </cell>
          <cell r="D128">
            <v>92912</v>
          </cell>
          <cell r="E128">
            <v>122</v>
          </cell>
          <cell r="F128">
            <v>92213</v>
          </cell>
        </row>
        <row r="129">
          <cell r="A129">
            <v>37067</v>
          </cell>
          <cell r="B129">
            <v>2</v>
          </cell>
          <cell r="C129" t="str">
            <v>월</v>
          </cell>
          <cell r="D129">
            <v>93086</v>
          </cell>
          <cell r="E129">
            <v>174</v>
          </cell>
          <cell r="F129">
            <v>92362</v>
          </cell>
        </row>
        <row r="130">
          <cell r="A130">
            <v>37068</v>
          </cell>
          <cell r="B130">
            <v>3</v>
          </cell>
          <cell r="C130" t="str">
            <v>화</v>
          </cell>
          <cell r="D130">
            <v>93246</v>
          </cell>
          <cell r="E130">
            <v>160</v>
          </cell>
          <cell r="F130">
            <v>92500</v>
          </cell>
        </row>
        <row r="131">
          <cell r="A131">
            <v>37069</v>
          </cell>
          <cell r="B131">
            <v>4</v>
          </cell>
          <cell r="C131" t="str">
            <v>수</v>
          </cell>
          <cell r="D131">
            <v>93436</v>
          </cell>
          <cell r="E131">
            <v>190</v>
          </cell>
          <cell r="F131">
            <v>92681</v>
          </cell>
        </row>
        <row r="132">
          <cell r="A132">
            <v>37070</v>
          </cell>
          <cell r="B132">
            <v>5</v>
          </cell>
          <cell r="C132" t="str">
            <v>목</v>
          </cell>
          <cell r="D132">
            <v>93598</v>
          </cell>
          <cell r="E132">
            <v>162</v>
          </cell>
          <cell r="F132">
            <v>92818</v>
          </cell>
        </row>
        <row r="133">
          <cell r="A133">
            <v>37071</v>
          </cell>
          <cell r="B133">
            <v>6</v>
          </cell>
          <cell r="C133" t="str">
            <v>금</v>
          </cell>
          <cell r="D133">
            <v>93757</v>
          </cell>
          <cell r="E133">
            <v>159</v>
          </cell>
          <cell r="F133">
            <v>92975</v>
          </cell>
        </row>
        <row r="134">
          <cell r="A134">
            <v>37072</v>
          </cell>
          <cell r="B134">
            <v>7</v>
          </cell>
          <cell r="C134" t="str">
            <v>토</v>
          </cell>
          <cell r="D134">
            <v>93885</v>
          </cell>
          <cell r="E134">
            <v>128</v>
          </cell>
          <cell r="F134">
            <v>93099</v>
          </cell>
        </row>
        <row r="135">
          <cell r="A135">
            <v>37073</v>
          </cell>
          <cell r="B135">
            <v>1</v>
          </cell>
          <cell r="C135" t="str">
            <v>일</v>
          </cell>
          <cell r="D135">
            <v>93991</v>
          </cell>
          <cell r="E135">
            <v>106</v>
          </cell>
          <cell r="F135">
            <v>93205</v>
          </cell>
        </row>
        <row r="136">
          <cell r="A136">
            <v>37074</v>
          </cell>
          <cell r="B136">
            <v>2</v>
          </cell>
          <cell r="C136" t="str">
            <v>월</v>
          </cell>
          <cell r="D136">
            <v>94127</v>
          </cell>
          <cell r="E136">
            <v>136</v>
          </cell>
          <cell r="F136">
            <v>93330</v>
          </cell>
        </row>
        <row r="137">
          <cell r="A137">
            <v>37075</v>
          </cell>
          <cell r="B137">
            <v>3</v>
          </cell>
          <cell r="C137" t="str">
            <v>화</v>
          </cell>
          <cell r="D137">
            <v>94282</v>
          </cell>
          <cell r="E137">
            <v>155</v>
          </cell>
          <cell r="F137">
            <v>93481</v>
          </cell>
        </row>
        <row r="138">
          <cell r="A138">
            <v>37076</v>
          </cell>
          <cell r="B138">
            <v>4</v>
          </cell>
          <cell r="C138" t="str">
            <v>수</v>
          </cell>
          <cell r="D138">
            <v>94492</v>
          </cell>
          <cell r="E138">
            <v>210</v>
          </cell>
          <cell r="F138">
            <v>93691</v>
          </cell>
        </row>
        <row r="139">
          <cell r="A139">
            <v>37077</v>
          </cell>
          <cell r="B139">
            <v>5</v>
          </cell>
          <cell r="C139" t="str">
            <v>목</v>
          </cell>
          <cell r="D139">
            <v>94688</v>
          </cell>
          <cell r="E139">
            <v>196</v>
          </cell>
          <cell r="F139">
            <v>93857</v>
          </cell>
        </row>
        <row r="140">
          <cell r="A140">
            <v>37078</v>
          </cell>
          <cell r="B140">
            <v>6</v>
          </cell>
          <cell r="C140" t="str">
            <v>금</v>
          </cell>
          <cell r="D140">
            <v>94820</v>
          </cell>
          <cell r="E140">
            <v>132</v>
          </cell>
          <cell r="F140">
            <v>93980</v>
          </cell>
        </row>
        <row r="141">
          <cell r="A141">
            <v>37079</v>
          </cell>
          <cell r="B141">
            <v>7</v>
          </cell>
          <cell r="C141" t="str">
            <v>토</v>
          </cell>
          <cell r="D141">
            <v>94934</v>
          </cell>
          <cell r="E141">
            <v>114</v>
          </cell>
          <cell r="F141">
            <v>94087</v>
          </cell>
        </row>
        <row r="142">
          <cell r="A142">
            <v>37080</v>
          </cell>
          <cell r="B142">
            <v>1</v>
          </cell>
          <cell r="C142" t="str">
            <v>일</v>
          </cell>
          <cell r="D142">
            <v>95008</v>
          </cell>
          <cell r="E142">
            <v>74</v>
          </cell>
          <cell r="F142">
            <v>94161</v>
          </cell>
        </row>
        <row r="143">
          <cell r="A143">
            <v>37081</v>
          </cell>
          <cell r="B143">
            <v>2</v>
          </cell>
          <cell r="C143" t="str">
            <v>월</v>
          </cell>
          <cell r="D143">
            <v>95117</v>
          </cell>
          <cell r="E143">
            <v>109</v>
          </cell>
          <cell r="F143">
            <v>94267</v>
          </cell>
        </row>
        <row r="144">
          <cell r="A144">
            <v>37082</v>
          </cell>
          <cell r="B144">
            <v>3</v>
          </cell>
          <cell r="C144" t="str">
            <v>화</v>
          </cell>
          <cell r="D144">
            <v>95249</v>
          </cell>
          <cell r="E144">
            <v>132</v>
          </cell>
          <cell r="F144">
            <v>94397</v>
          </cell>
        </row>
        <row r="145">
          <cell r="A145">
            <v>37083</v>
          </cell>
          <cell r="B145">
            <v>4</v>
          </cell>
          <cell r="C145" t="str">
            <v>수</v>
          </cell>
          <cell r="D145">
            <v>95403</v>
          </cell>
          <cell r="E145">
            <v>154</v>
          </cell>
          <cell r="F145">
            <v>94574</v>
          </cell>
        </row>
        <row r="146">
          <cell r="A146">
            <v>37084</v>
          </cell>
          <cell r="B146">
            <v>5</v>
          </cell>
          <cell r="C146" t="str">
            <v>목</v>
          </cell>
          <cell r="D146">
            <v>95542</v>
          </cell>
          <cell r="E146">
            <v>139</v>
          </cell>
          <cell r="F146">
            <v>94641</v>
          </cell>
        </row>
        <row r="147">
          <cell r="A147">
            <v>37085</v>
          </cell>
          <cell r="B147">
            <v>6</v>
          </cell>
          <cell r="C147" t="str">
            <v>금</v>
          </cell>
          <cell r="D147">
            <v>95681</v>
          </cell>
          <cell r="E147">
            <v>139</v>
          </cell>
          <cell r="F147">
            <v>94773</v>
          </cell>
        </row>
        <row r="148">
          <cell r="A148">
            <v>37086</v>
          </cell>
          <cell r="B148">
            <v>7</v>
          </cell>
          <cell r="C148" t="str">
            <v>토</v>
          </cell>
          <cell r="D148">
            <v>95790</v>
          </cell>
          <cell r="E148">
            <v>109</v>
          </cell>
          <cell r="F148">
            <v>94877</v>
          </cell>
        </row>
        <row r="149">
          <cell r="A149">
            <v>37087</v>
          </cell>
          <cell r="B149">
            <v>1</v>
          </cell>
          <cell r="C149" t="str">
            <v>일</v>
          </cell>
          <cell r="D149">
            <v>95887</v>
          </cell>
          <cell r="E149">
            <v>97</v>
          </cell>
          <cell r="F149">
            <v>94794</v>
          </cell>
        </row>
        <row r="150">
          <cell r="A150">
            <v>37088</v>
          </cell>
          <cell r="B150">
            <v>2</v>
          </cell>
          <cell r="C150" t="str">
            <v>월</v>
          </cell>
          <cell r="D150">
            <v>96074</v>
          </cell>
          <cell r="E150">
            <v>187</v>
          </cell>
          <cell r="F150">
            <v>95158</v>
          </cell>
        </row>
        <row r="151">
          <cell r="A151">
            <v>37089</v>
          </cell>
          <cell r="B151">
            <v>3</v>
          </cell>
          <cell r="C151" t="str">
            <v>화</v>
          </cell>
          <cell r="D151">
            <v>96167</v>
          </cell>
          <cell r="E151">
            <v>93</v>
          </cell>
          <cell r="F151">
            <v>95249</v>
          </cell>
        </row>
        <row r="152">
          <cell r="A152">
            <v>37090</v>
          </cell>
          <cell r="B152">
            <v>4</v>
          </cell>
          <cell r="C152" t="str">
            <v>수</v>
          </cell>
          <cell r="D152">
            <v>96295</v>
          </cell>
          <cell r="E152">
            <v>128</v>
          </cell>
          <cell r="F152">
            <v>95370</v>
          </cell>
        </row>
        <row r="153">
          <cell r="A153">
            <v>37091</v>
          </cell>
          <cell r="B153">
            <v>5</v>
          </cell>
          <cell r="C153" t="str">
            <v>목</v>
          </cell>
          <cell r="D153">
            <v>96432</v>
          </cell>
          <cell r="E153">
            <v>137</v>
          </cell>
          <cell r="F153">
            <v>95482</v>
          </cell>
        </row>
        <row r="154">
          <cell r="A154">
            <v>37092</v>
          </cell>
          <cell r="B154">
            <v>6</v>
          </cell>
          <cell r="C154" t="str">
            <v>금</v>
          </cell>
          <cell r="D154">
            <v>96632</v>
          </cell>
          <cell r="E154">
            <v>200</v>
          </cell>
          <cell r="F154">
            <v>95674</v>
          </cell>
        </row>
        <row r="155">
          <cell r="A155">
            <v>37093</v>
          </cell>
          <cell r="B155">
            <v>7</v>
          </cell>
          <cell r="C155" t="str">
            <v>토</v>
          </cell>
          <cell r="D155">
            <v>96759</v>
          </cell>
          <cell r="E155">
            <v>127</v>
          </cell>
          <cell r="F155">
            <v>95799</v>
          </cell>
        </row>
        <row r="156">
          <cell r="A156">
            <v>37094</v>
          </cell>
          <cell r="B156">
            <v>1</v>
          </cell>
          <cell r="C156" t="str">
            <v>일</v>
          </cell>
          <cell r="D156">
            <v>96867</v>
          </cell>
          <cell r="E156">
            <v>108</v>
          </cell>
          <cell r="F156">
            <v>95875</v>
          </cell>
        </row>
        <row r="157">
          <cell r="A157">
            <v>37095</v>
          </cell>
          <cell r="B157">
            <v>2</v>
          </cell>
          <cell r="C157" t="str">
            <v>월</v>
          </cell>
          <cell r="D157">
            <v>97003</v>
          </cell>
          <cell r="E157">
            <v>136</v>
          </cell>
          <cell r="F157">
            <v>96010</v>
          </cell>
        </row>
        <row r="158">
          <cell r="A158">
            <v>37096</v>
          </cell>
          <cell r="B158">
            <v>3</v>
          </cell>
          <cell r="C158" t="str">
            <v>화</v>
          </cell>
          <cell r="D158">
            <v>97120</v>
          </cell>
          <cell r="E158">
            <v>117</v>
          </cell>
          <cell r="F158">
            <v>96127</v>
          </cell>
        </row>
        <row r="159">
          <cell r="A159">
            <v>37097</v>
          </cell>
          <cell r="B159">
            <v>4</v>
          </cell>
          <cell r="C159" t="str">
            <v>수</v>
          </cell>
          <cell r="D159">
            <v>97240</v>
          </cell>
          <cell r="E159">
            <v>120</v>
          </cell>
          <cell r="F159">
            <v>96247</v>
          </cell>
        </row>
        <row r="160">
          <cell r="A160">
            <v>37098</v>
          </cell>
          <cell r="B160">
            <v>5</v>
          </cell>
          <cell r="C160" t="str">
            <v>목</v>
          </cell>
          <cell r="D160">
            <v>97364</v>
          </cell>
          <cell r="E160">
            <v>124</v>
          </cell>
          <cell r="F160">
            <v>96371</v>
          </cell>
        </row>
        <row r="161">
          <cell r="A161">
            <v>37099</v>
          </cell>
          <cell r="B161">
            <v>6</v>
          </cell>
          <cell r="C161" t="str">
            <v>금</v>
          </cell>
          <cell r="D161">
            <v>97483</v>
          </cell>
          <cell r="E161">
            <v>119</v>
          </cell>
          <cell r="F161">
            <v>96487</v>
          </cell>
        </row>
        <row r="162">
          <cell r="A162">
            <v>37100</v>
          </cell>
          <cell r="B162">
            <v>7</v>
          </cell>
          <cell r="C162" t="str">
            <v>토</v>
          </cell>
          <cell r="D162">
            <v>97565</v>
          </cell>
          <cell r="E162">
            <v>82</v>
          </cell>
          <cell r="F162">
            <v>96564</v>
          </cell>
        </row>
        <row r="163">
          <cell r="A163">
            <v>37101</v>
          </cell>
          <cell r="B163">
            <v>1</v>
          </cell>
          <cell r="C163" t="str">
            <v>일</v>
          </cell>
          <cell r="D163">
            <v>97644</v>
          </cell>
          <cell r="E163">
            <v>79</v>
          </cell>
          <cell r="F163">
            <v>96643</v>
          </cell>
        </row>
        <row r="164">
          <cell r="A164">
            <v>37102</v>
          </cell>
          <cell r="B164">
            <v>2</v>
          </cell>
          <cell r="C164" t="str">
            <v>월</v>
          </cell>
          <cell r="D164">
            <v>97778</v>
          </cell>
          <cell r="E164">
            <v>134</v>
          </cell>
          <cell r="F164">
            <v>96775</v>
          </cell>
        </row>
        <row r="165">
          <cell r="A165">
            <v>37103</v>
          </cell>
          <cell r="B165">
            <v>3</v>
          </cell>
          <cell r="C165" t="str">
            <v>화</v>
          </cell>
          <cell r="D165">
            <v>97899</v>
          </cell>
          <cell r="E165">
            <v>121</v>
          </cell>
          <cell r="F165">
            <v>96890</v>
          </cell>
        </row>
        <row r="166">
          <cell r="A166">
            <v>37104</v>
          </cell>
          <cell r="B166">
            <v>4</v>
          </cell>
          <cell r="C166" t="str">
            <v>수</v>
          </cell>
          <cell r="D166">
            <v>98045</v>
          </cell>
          <cell r="E166">
            <v>146</v>
          </cell>
          <cell r="F166">
            <v>97018</v>
          </cell>
        </row>
        <row r="167">
          <cell r="A167">
            <v>37105</v>
          </cell>
          <cell r="B167">
            <v>5</v>
          </cell>
          <cell r="C167" t="str">
            <v>목</v>
          </cell>
          <cell r="D167">
            <v>98186</v>
          </cell>
          <cell r="E167">
            <v>141</v>
          </cell>
          <cell r="F167">
            <v>97154</v>
          </cell>
        </row>
        <row r="168">
          <cell r="A168">
            <v>37106</v>
          </cell>
          <cell r="B168">
            <v>6</v>
          </cell>
          <cell r="C168" t="str">
            <v>금</v>
          </cell>
          <cell r="D168">
            <v>98318</v>
          </cell>
          <cell r="E168">
            <v>132</v>
          </cell>
          <cell r="F168">
            <v>97283</v>
          </cell>
        </row>
        <row r="169">
          <cell r="A169">
            <v>37107</v>
          </cell>
          <cell r="B169">
            <v>7</v>
          </cell>
          <cell r="C169" t="str">
            <v>토</v>
          </cell>
          <cell r="D169">
            <v>98399</v>
          </cell>
          <cell r="E169">
            <v>81</v>
          </cell>
          <cell r="F169">
            <v>97360</v>
          </cell>
        </row>
        <row r="170">
          <cell r="A170">
            <v>37108</v>
          </cell>
          <cell r="B170">
            <v>1</v>
          </cell>
          <cell r="C170" t="str">
            <v>일</v>
          </cell>
          <cell r="D170">
            <v>98498</v>
          </cell>
          <cell r="E170">
            <v>99</v>
          </cell>
          <cell r="F170">
            <v>97459</v>
          </cell>
        </row>
        <row r="171">
          <cell r="A171">
            <v>37109</v>
          </cell>
          <cell r="B171">
            <v>2</v>
          </cell>
          <cell r="C171" t="str">
            <v>월</v>
          </cell>
          <cell r="D171">
            <v>98640</v>
          </cell>
          <cell r="E171">
            <v>142</v>
          </cell>
          <cell r="F171">
            <v>97597</v>
          </cell>
        </row>
        <row r="172">
          <cell r="A172">
            <v>37110</v>
          </cell>
          <cell r="B172">
            <v>3</v>
          </cell>
          <cell r="C172" t="str">
            <v>화</v>
          </cell>
          <cell r="D172">
            <v>98822</v>
          </cell>
          <cell r="E172">
            <v>182</v>
          </cell>
          <cell r="F172">
            <v>97778</v>
          </cell>
        </row>
        <row r="173">
          <cell r="A173">
            <v>37111</v>
          </cell>
          <cell r="B173">
            <v>4</v>
          </cell>
          <cell r="C173" t="str">
            <v>수</v>
          </cell>
          <cell r="D173">
            <v>98969</v>
          </cell>
          <cell r="E173">
            <v>147</v>
          </cell>
          <cell r="F173">
            <v>97913</v>
          </cell>
        </row>
        <row r="174">
          <cell r="A174">
            <v>37112</v>
          </cell>
          <cell r="B174">
            <v>5</v>
          </cell>
          <cell r="C174" t="str">
            <v>목</v>
          </cell>
          <cell r="D174">
            <v>99100</v>
          </cell>
          <cell r="E174">
            <v>131</v>
          </cell>
          <cell r="F174">
            <v>98040</v>
          </cell>
        </row>
        <row r="175">
          <cell r="A175">
            <v>37113</v>
          </cell>
          <cell r="B175">
            <v>6</v>
          </cell>
          <cell r="C175" t="str">
            <v>금</v>
          </cell>
          <cell r="D175">
            <v>99228</v>
          </cell>
          <cell r="E175">
            <v>128</v>
          </cell>
          <cell r="F175">
            <v>98166</v>
          </cell>
        </row>
        <row r="176">
          <cell r="A176">
            <v>37114</v>
          </cell>
          <cell r="B176">
            <v>7</v>
          </cell>
          <cell r="C176" t="str">
            <v>토</v>
          </cell>
          <cell r="D176">
            <v>99324</v>
          </cell>
          <cell r="E176">
            <v>96</v>
          </cell>
          <cell r="F176">
            <v>98258</v>
          </cell>
        </row>
        <row r="177">
          <cell r="A177">
            <v>37115</v>
          </cell>
          <cell r="B177">
            <v>1</v>
          </cell>
          <cell r="C177" t="str">
            <v>일</v>
          </cell>
          <cell r="D177">
            <v>99408</v>
          </cell>
          <cell r="E177">
            <v>84</v>
          </cell>
          <cell r="F177">
            <v>98342</v>
          </cell>
        </row>
        <row r="178">
          <cell r="A178">
            <v>37116</v>
          </cell>
          <cell r="B178">
            <v>2</v>
          </cell>
          <cell r="C178" t="str">
            <v>월</v>
          </cell>
          <cell r="D178">
            <v>99526</v>
          </cell>
          <cell r="E178">
            <v>118</v>
          </cell>
          <cell r="F178">
            <v>98444</v>
          </cell>
        </row>
        <row r="179">
          <cell r="A179">
            <v>37117</v>
          </cell>
          <cell r="B179">
            <v>3</v>
          </cell>
          <cell r="C179" t="str">
            <v>화</v>
          </cell>
          <cell r="D179">
            <v>99613</v>
          </cell>
          <cell r="E179">
            <v>87</v>
          </cell>
          <cell r="F179">
            <v>98526</v>
          </cell>
        </row>
        <row r="180">
          <cell r="A180">
            <v>37118</v>
          </cell>
          <cell r="B180">
            <v>4</v>
          </cell>
          <cell r="C180" t="str">
            <v>수</v>
          </cell>
          <cell r="D180">
            <v>99701</v>
          </cell>
          <cell r="E180">
            <v>88</v>
          </cell>
          <cell r="F180">
            <v>98612</v>
          </cell>
        </row>
        <row r="181">
          <cell r="A181">
            <v>37119</v>
          </cell>
          <cell r="B181">
            <v>5</v>
          </cell>
          <cell r="C181" t="str">
            <v>목</v>
          </cell>
          <cell r="D181">
            <v>99819</v>
          </cell>
          <cell r="E181">
            <v>118</v>
          </cell>
          <cell r="F181">
            <v>98708</v>
          </cell>
        </row>
        <row r="182">
          <cell r="A182">
            <v>37120</v>
          </cell>
          <cell r="B182">
            <v>6</v>
          </cell>
          <cell r="C182" t="str">
            <v>금</v>
          </cell>
          <cell r="D182">
            <v>99959</v>
          </cell>
          <cell r="E182">
            <v>140</v>
          </cell>
          <cell r="F182">
            <v>98845</v>
          </cell>
        </row>
        <row r="183">
          <cell r="A183">
            <v>37121</v>
          </cell>
          <cell r="B183">
            <v>7</v>
          </cell>
          <cell r="C183" t="str">
            <v>토</v>
          </cell>
          <cell r="D183">
            <v>100095</v>
          </cell>
          <cell r="E183">
            <v>136</v>
          </cell>
          <cell r="F183">
            <v>98969</v>
          </cell>
        </row>
        <row r="184">
          <cell r="A184">
            <v>37122</v>
          </cell>
          <cell r="B184">
            <v>1</v>
          </cell>
          <cell r="C184" t="str">
            <v>일</v>
          </cell>
          <cell r="D184">
            <v>100198</v>
          </cell>
          <cell r="E184">
            <v>103</v>
          </cell>
          <cell r="F184">
            <v>99067</v>
          </cell>
        </row>
        <row r="185">
          <cell r="A185">
            <v>37123</v>
          </cell>
          <cell r="B185">
            <v>2</v>
          </cell>
          <cell r="C185" t="str">
            <v>월</v>
          </cell>
          <cell r="D185">
            <v>100368</v>
          </cell>
          <cell r="E185">
            <v>170</v>
          </cell>
          <cell r="F185">
            <v>99229</v>
          </cell>
        </row>
        <row r="186">
          <cell r="A186">
            <v>37124</v>
          </cell>
          <cell r="B186">
            <v>3</v>
          </cell>
          <cell r="C186" t="str">
            <v>화</v>
          </cell>
          <cell r="D186">
            <v>100580</v>
          </cell>
          <cell r="E186">
            <v>212</v>
          </cell>
          <cell r="F186">
            <v>99437</v>
          </cell>
        </row>
        <row r="187">
          <cell r="A187">
            <v>37125</v>
          </cell>
          <cell r="B187">
            <v>4</v>
          </cell>
          <cell r="C187" t="str">
            <v>수</v>
          </cell>
          <cell r="D187">
            <v>100752</v>
          </cell>
          <cell r="E187">
            <v>172</v>
          </cell>
          <cell r="F187">
            <v>99608</v>
          </cell>
        </row>
        <row r="188">
          <cell r="A188">
            <v>37126</v>
          </cell>
          <cell r="B188">
            <v>5</v>
          </cell>
          <cell r="C188" t="str">
            <v>목</v>
          </cell>
          <cell r="D188">
            <v>100891</v>
          </cell>
          <cell r="E188">
            <v>139</v>
          </cell>
          <cell r="F188">
            <v>99736</v>
          </cell>
        </row>
        <row r="189">
          <cell r="A189">
            <v>37127</v>
          </cell>
          <cell r="B189">
            <v>6</v>
          </cell>
          <cell r="C189" t="str">
            <v>금</v>
          </cell>
          <cell r="D189">
            <v>101034</v>
          </cell>
          <cell r="E189">
            <v>143</v>
          </cell>
          <cell r="F189">
            <v>99854</v>
          </cell>
        </row>
        <row r="190">
          <cell r="A190">
            <v>37128</v>
          </cell>
          <cell r="B190">
            <v>7</v>
          </cell>
          <cell r="C190" t="str">
            <v>토</v>
          </cell>
          <cell r="D190">
            <v>101170</v>
          </cell>
          <cell r="E190">
            <v>136</v>
          </cell>
          <cell r="F190">
            <v>99986</v>
          </cell>
        </row>
        <row r="191">
          <cell r="A191">
            <v>37129</v>
          </cell>
          <cell r="B191">
            <v>1</v>
          </cell>
          <cell r="C191" t="str">
            <v>일</v>
          </cell>
          <cell r="D191">
            <v>101263</v>
          </cell>
          <cell r="E191">
            <v>93</v>
          </cell>
          <cell r="F191">
            <v>100075</v>
          </cell>
        </row>
        <row r="192">
          <cell r="A192">
            <v>37130</v>
          </cell>
          <cell r="B192">
            <v>2</v>
          </cell>
          <cell r="C192" t="str">
            <v>월</v>
          </cell>
          <cell r="D192">
            <v>101388</v>
          </cell>
          <cell r="E192">
            <v>125</v>
          </cell>
          <cell r="F192">
            <v>100193</v>
          </cell>
        </row>
        <row r="193">
          <cell r="A193">
            <v>37131</v>
          </cell>
          <cell r="B193">
            <v>3</v>
          </cell>
          <cell r="C193" t="str">
            <v>화</v>
          </cell>
          <cell r="D193">
            <v>101529</v>
          </cell>
          <cell r="E193">
            <v>141</v>
          </cell>
          <cell r="F193">
            <v>100321</v>
          </cell>
        </row>
        <row r="194">
          <cell r="A194">
            <v>37132</v>
          </cell>
          <cell r="B194">
            <v>4</v>
          </cell>
          <cell r="C194" t="str">
            <v>수</v>
          </cell>
          <cell r="D194">
            <v>101671</v>
          </cell>
          <cell r="E194">
            <v>142</v>
          </cell>
          <cell r="F194">
            <v>100449</v>
          </cell>
        </row>
        <row r="195">
          <cell r="A195">
            <v>37133</v>
          </cell>
          <cell r="B195">
            <v>5</v>
          </cell>
          <cell r="C195" t="str">
            <v>목</v>
          </cell>
          <cell r="D195">
            <v>101829</v>
          </cell>
          <cell r="E195">
            <v>158</v>
          </cell>
          <cell r="F195">
            <v>100600</v>
          </cell>
        </row>
        <row r="196">
          <cell r="A196">
            <v>37134</v>
          </cell>
          <cell r="B196">
            <v>6</v>
          </cell>
          <cell r="C196" t="str">
            <v>금</v>
          </cell>
          <cell r="D196">
            <v>101968</v>
          </cell>
          <cell r="E196">
            <v>139</v>
          </cell>
          <cell r="F196">
            <v>100738</v>
          </cell>
        </row>
        <row r="197">
          <cell r="A197">
            <v>37135</v>
          </cell>
          <cell r="B197">
            <v>7</v>
          </cell>
          <cell r="C197" t="str">
            <v>토</v>
          </cell>
          <cell r="D197">
            <v>102685</v>
          </cell>
          <cell r="E197">
            <v>717</v>
          </cell>
          <cell r="F197">
            <v>101454</v>
          </cell>
        </row>
        <row r="198">
          <cell r="A198">
            <v>37136</v>
          </cell>
          <cell r="B198">
            <v>1</v>
          </cell>
          <cell r="C198" t="str">
            <v>일</v>
          </cell>
          <cell r="D198">
            <v>103567</v>
          </cell>
          <cell r="E198">
            <v>882</v>
          </cell>
          <cell r="F198">
            <v>102336</v>
          </cell>
        </row>
        <row r="199">
          <cell r="A199">
            <v>37137</v>
          </cell>
          <cell r="B199">
            <v>2</v>
          </cell>
          <cell r="C199" t="str">
            <v>월</v>
          </cell>
          <cell r="D199">
            <v>104770</v>
          </cell>
          <cell r="E199">
            <v>1203</v>
          </cell>
          <cell r="F199">
            <v>103532</v>
          </cell>
        </row>
        <row r="200">
          <cell r="A200">
            <v>37138</v>
          </cell>
          <cell r="B200">
            <v>3</v>
          </cell>
          <cell r="C200" t="str">
            <v>화</v>
          </cell>
          <cell r="D200">
            <v>105813</v>
          </cell>
          <cell r="E200">
            <v>1043</v>
          </cell>
          <cell r="F200">
            <v>104563</v>
          </cell>
        </row>
        <row r="201">
          <cell r="A201">
            <v>37139</v>
          </cell>
          <cell r="B201">
            <v>4</v>
          </cell>
          <cell r="C201" t="str">
            <v>수</v>
          </cell>
          <cell r="D201">
            <v>107137</v>
          </cell>
          <cell r="E201">
            <v>1324</v>
          </cell>
          <cell r="F201">
            <v>105881</v>
          </cell>
        </row>
        <row r="202">
          <cell r="A202">
            <v>37140</v>
          </cell>
          <cell r="B202">
            <v>5</v>
          </cell>
          <cell r="C202" t="str">
            <v>목</v>
          </cell>
          <cell r="D202">
            <v>108314</v>
          </cell>
          <cell r="E202">
            <v>1177</v>
          </cell>
          <cell r="F202">
            <v>107046</v>
          </cell>
        </row>
        <row r="203">
          <cell r="A203">
            <v>37141</v>
          </cell>
          <cell r="B203">
            <v>6</v>
          </cell>
          <cell r="C203" t="str">
            <v>금</v>
          </cell>
          <cell r="D203">
            <v>109354</v>
          </cell>
          <cell r="E203">
            <v>1040</v>
          </cell>
          <cell r="F203">
            <v>108080</v>
          </cell>
        </row>
        <row r="204">
          <cell r="A204">
            <v>37142</v>
          </cell>
          <cell r="B204">
            <v>7</v>
          </cell>
          <cell r="C204" t="str">
            <v>토</v>
          </cell>
          <cell r="D204">
            <v>110241</v>
          </cell>
          <cell r="E204">
            <v>887</v>
          </cell>
          <cell r="F204">
            <v>108961</v>
          </cell>
        </row>
        <row r="205">
          <cell r="A205">
            <v>37143</v>
          </cell>
          <cell r="B205">
            <v>8</v>
          </cell>
          <cell r="C205" t="str">
            <v>일</v>
          </cell>
          <cell r="D205">
            <v>111166</v>
          </cell>
          <cell r="E205">
            <v>925</v>
          </cell>
          <cell r="F205">
            <v>109886</v>
          </cell>
        </row>
        <row r="206">
          <cell r="A206">
            <v>37144</v>
          </cell>
          <cell r="B206">
            <v>9</v>
          </cell>
          <cell r="C206" t="str">
            <v>월</v>
          </cell>
          <cell r="D206">
            <v>112351</v>
          </cell>
          <cell r="E206">
            <v>1185</v>
          </cell>
          <cell r="F206">
            <v>111067</v>
          </cell>
        </row>
        <row r="207">
          <cell r="A207">
            <v>37145</v>
          </cell>
          <cell r="B207">
            <v>10</v>
          </cell>
          <cell r="C207" t="str">
            <v>화</v>
          </cell>
          <cell r="D207">
            <v>113806</v>
          </cell>
          <cell r="E207">
            <v>1455</v>
          </cell>
          <cell r="F207">
            <v>112518</v>
          </cell>
        </row>
        <row r="208">
          <cell r="A208">
            <v>37146</v>
          </cell>
          <cell r="B208">
            <v>11</v>
          </cell>
          <cell r="C208" t="str">
            <v>수</v>
          </cell>
          <cell r="D208">
            <v>114861</v>
          </cell>
          <cell r="E208">
            <v>1055</v>
          </cell>
          <cell r="F208">
            <v>113555</v>
          </cell>
        </row>
        <row r="209">
          <cell r="A209">
            <v>37147</v>
          </cell>
          <cell r="B209">
            <v>12</v>
          </cell>
          <cell r="C209" t="str">
            <v>목</v>
          </cell>
          <cell r="D209">
            <v>116299</v>
          </cell>
          <cell r="E209">
            <v>1438</v>
          </cell>
          <cell r="F209">
            <v>115266</v>
          </cell>
        </row>
        <row r="210">
          <cell r="A210">
            <v>37148</v>
          </cell>
          <cell r="B210">
            <v>13</v>
          </cell>
          <cell r="C210" t="str">
            <v>금</v>
          </cell>
          <cell r="D210">
            <v>117932</v>
          </cell>
          <cell r="E210">
            <v>1633</v>
          </cell>
          <cell r="F210">
            <v>116612</v>
          </cell>
        </row>
        <row r="211">
          <cell r="A211">
            <v>37149</v>
          </cell>
          <cell r="B211">
            <v>14</v>
          </cell>
          <cell r="C211" t="str">
            <v>토</v>
          </cell>
          <cell r="D211">
            <v>119418</v>
          </cell>
          <cell r="E211">
            <v>1486</v>
          </cell>
          <cell r="F211">
            <v>118081</v>
          </cell>
        </row>
        <row r="212">
          <cell r="A212">
            <v>37150</v>
          </cell>
          <cell r="B212">
            <v>15</v>
          </cell>
          <cell r="C212" t="str">
            <v>일</v>
          </cell>
          <cell r="D212">
            <v>120909</v>
          </cell>
          <cell r="E212">
            <v>1491</v>
          </cell>
          <cell r="F212">
            <v>119572</v>
          </cell>
        </row>
        <row r="213">
          <cell r="A213">
            <v>37151</v>
          </cell>
          <cell r="B213">
            <v>16</v>
          </cell>
          <cell r="C213" t="str">
            <v>월</v>
          </cell>
          <cell r="D213">
            <v>122145</v>
          </cell>
          <cell r="E213">
            <v>1236</v>
          </cell>
          <cell r="F213">
            <v>120790</v>
          </cell>
        </row>
        <row r="214">
          <cell r="A214">
            <v>37152</v>
          </cell>
          <cell r="B214">
            <v>17</v>
          </cell>
          <cell r="C214" t="str">
            <v>화</v>
          </cell>
          <cell r="D214">
            <v>123311</v>
          </cell>
          <cell r="E214">
            <v>1166</v>
          </cell>
          <cell r="F214">
            <v>121924</v>
          </cell>
        </row>
        <row r="215">
          <cell r="A215">
            <v>37153</v>
          </cell>
          <cell r="B215">
            <v>18</v>
          </cell>
          <cell r="C215" t="str">
            <v>수</v>
          </cell>
          <cell r="D215">
            <v>124271</v>
          </cell>
          <cell r="E215">
            <v>960</v>
          </cell>
          <cell r="F215">
            <v>122876</v>
          </cell>
        </row>
        <row r="216">
          <cell r="A216">
            <v>37154</v>
          </cell>
          <cell r="B216">
            <v>19</v>
          </cell>
          <cell r="C216" t="str">
            <v>목</v>
          </cell>
          <cell r="D216">
            <v>125250</v>
          </cell>
          <cell r="E216">
            <v>979</v>
          </cell>
          <cell r="F216">
            <v>123824</v>
          </cell>
        </row>
        <row r="217">
          <cell r="A217">
            <v>37155</v>
          </cell>
          <cell r="B217">
            <v>20</v>
          </cell>
          <cell r="C217" t="str">
            <v>금</v>
          </cell>
          <cell r="D217">
            <v>126171</v>
          </cell>
          <cell r="E217">
            <v>921</v>
          </cell>
          <cell r="F217">
            <v>124744</v>
          </cell>
        </row>
        <row r="218">
          <cell r="A218">
            <v>37156</v>
          </cell>
          <cell r="B218">
            <v>21</v>
          </cell>
          <cell r="C218" t="str">
            <v>토</v>
          </cell>
          <cell r="D218">
            <v>127023</v>
          </cell>
          <cell r="E218">
            <v>852</v>
          </cell>
          <cell r="F218">
            <v>125596</v>
          </cell>
        </row>
        <row r="219">
          <cell r="A219">
            <v>37157</v>
          </cell>
          <cell r="B219">
            <v>22</v>
          </cell>
          <cell r="C219" t="str">
            <v>일</v>
          </cell>
          <cell r="D219">
            <v>127809</v>
          </cell>
          <cell r="E219">
            <v>786</v>
          </cell>
          <cell r="F219">
            <v>126382</v>
          </cell>
        </row>
        <row r="220">
          <cell r="A220">
            <v>37158</v>
          </cell>
          <cell r="B220">
            <v>23</v>
          </cell>
          <cell r="C220" t="str">
            <v>월</v>
          </cell>
          <cell r="D220">
            <v>129069</v>
          </cell>
          <cell r="E220">
            <v>1260</v>
          </cell>
          <cell r="F220">
            <v>127630</v>
          </cell>
        </row>
        <row r="221">
          <cell r="A221">
            <v>37159</v>
          </cell>
          <cell r="B221">
            <v>24</v>
          </cell>
          <cell r="C221" t="str">
            <v>화</v>
          </cell>
          <cell r="D221">
            <v>130429</v>
          </cell>
          <cell r="E221">
            <v>1360</v>
          </cell>
          <cell r="F221">
            <v>128963</v>
          </cell>
        </row>
        <row r="222">
          <cell r="A222">
            <v>37160</v>
          </cell>
          <cell r="B222">
            <v>25</v>
          </cell>
          <cell r="C222" t="str">
            <v>수</v>
          </cell>
          <cell r="D222">
            <v>131772</v>
          </cell>
          <cell r="E222">
            <v>1343</v>
          </cell>
          <cell r="F222">
            <v>130301</v>
          </cell>
        </row>
        <row r="223">
          <cell r="A223">
            <v>37161</v>
          </cell>
          <cell r="B223">
            <v>26</v>
          </cell>
          <cell r="C223" t="str">
            <v>목</v>
          </cell>
          <cell r="D223">
            <v>133120</v>
          </cell>
          <cell r="E223">
            <v>1348</v>
          </cell>
          <cell r="F223">
            <v>131634</v>
          </cell>
        </row>
        <row r="224">
          <cell r="A224">
            <v>37162</v>
          </cell>
          <cell r="B224">
            <v>27</v>
          </cell>
          <cell r="C224" t="str">
            <v>금</v>
          </cell>
          <cell r="D224">
            <v>134410</v>
          </cell>
          <cell r="E224">
            <v>1290</v>
          </cell>
          <cell r="F224">
            <v>132919</v>
          </cell>
        </row>
        <row r="225">
          <cell r="A225">
            <v>37163</v>
          </cell>
          <cell r="B225">
            <v>28</v>
          </cell>
          <cell r="C225" t="str">
            <v>토</v>
          </cell>
          <cell r="D225">
            <v>135580</v>
          </cell>
          <cell r="E225">
            <v>1170</v>
          </cell>
          <cell r="F225">
            <v>134085</v>
          </cell>
        </row>
        <row r="226">
          <cell r="A226">
            <v>37164</v>
          </cell>
          <cell r="B226">
            <v>29</v>
          </cell>
          <cell r="C226" t="str">
            <v>일</v>
          </cell>
          <cell r="D226">
            <v>136549</v>
          </cell>
          <cell r="E226">
            <v>969</v>
          </cell>
          <cell r="F226">
            <v>135016</v>
          </cell>
        </row>
        <row r="227">
          <cell r="A227">
            <v>37165</v>
          </cell>
          <cell r="B227">
            <v>30</v>
          </cell>
          <cell r="C227" t="str">
            <v>월</v>
          </cell>
          <cell r="D227">
            <v>137191</v>
          </cell>
          <cell r="E227">
            <v>642</v>
          </cell>
          <cell r="F227">
            <v>135658</v>
          </cell>
        </row>
        <row r="228">
          <cell r="A228">
            <v>37166</v>
          </cell>
          <cell r="B228">
            <v>31</v>
          </cell>
          <cell r="C228" t="str">
            <v>화</v>
          </cell>
          <cell r="D228">
            <v>137777</v>
          </cell>
          <cell r="E228">
            <v>586</v>
          </cell>
          <cell r="F228">
            <v>136244</v>
          </cell>
        </row>
        <row r="229">
          <cell r="A229">
            <v>37167</v>
          </cell>
          <cell r="B229">
            <v>32</v>
          </cell>
          <cell r="C229" t="str">
            <v>수</v>
          </cell>
          <cell r="D229">
            <v>138568</v>
          </cell>
          <cell r="E229">
            <v>791</v>
          </cell>
          <cell r="F229">
            <v>137035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직"/>
      <sheetName val="소급"/>
      <sheetName val="특이자소급"/>
      <sheetName val="작업원본"/>
      <sheetName val="예외자"/>
      <sheetName val="백승재"/>
      <sheetName val="종합평가등급"/>
      <sheetName val="Sheet1"/>
      <sheetName val="근태특이"/>
      <sheetName val="Sheet1 (2)"/>
      <sheetName val="기본급변동"/>
      <sheetName val="현년기본급"/>
      <sheetName val="TABLE"/>
      <sheetName val="Sheet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A5" t="str">
            <v>상</v>
          </cell>
          <cell r="B5">
            <v>6.5</v>
          </cell>
          <cell r="C5">
            <v>4.5</v>
          </cell>
          <cell r="D5">
            <v>2.5</v>
          </cell>
          <cell r="E5">
            <v>0.5</v>
          </cell>
          <cell r="F5">
            <v>0</v>
          </cell>
        </row>
        <row r="6">
          <cell r="A6" t="str">
            <v>중</v>
          </cell>
          <cell r="B6">
            <v>8.5</v>
          </cell>
          <cell r="C6">
            <v>6.5</v>
          </cell>
          <cell r="D6">
            <v>4.5</v>
          </cell>
          <cell r="E6">
            <v>2.5</v>
          </cell>
          <cell r="F6">
            <v>0.5</v>
          </cell>
        </row>
        <row r="7">
          <cell r="A7" t="str">
            <v>하</v>
          </cell>
          <cell r="B7">
            <v>10.5</v>
          </cell>
          <cell r="C7">
            <v>8.5</v>
          </cell>
          <cell r="D7">
            <v>6.5</v>
          </cell>
          <cell r="E7">
            <v>4.5</v>
          </cell>
          <cell r="F7">
            <v>2.5</v>
          </cell>
        </row>
        <row r="9">
          <cell r="B9" t="str">
            <v>M</v>
          </cell>
          <cell r="C9" t="str">
            <v>S1</v>
          </cell>
          <cell r="D9" t="str">
            <v>S2</v>
          </cell>
          <cell r="E9" t="str">
            <v>S3</v>
          </cell>
        </row>
        <row r="10">
          <cell r="A10" t="str">
            <v>상</v>
          </cell>
          <cell r="B10">
            <v>2</v>
          </cell>
          <cell r="C10">
            <v>0</v>
          </cell>
          <cell r="D10">
            <v>0</v>
          </cell>
          <cell r="E10">
            <v>0</v>
          </cell>
        </row>
        <row r="11">
          <cell r="A11" t="str">
            <v>중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A12" t="str">
            <v>하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</row>
      </sheetData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공97.9"/>
      <sheetName val="설계산출표지"/>
      <sheetName val="운반비산출표지 "/>
      <sheetName val="중량산출기초표지"/>
      <sheetName val="수량산출근거표지"/>
      <sheetName val="수량산출표지"/>
      <sheetName val="단가산출기초"/>
      <sheetName val="도면치수"/>
      <sheetName val="설계산출기초"/>
      <sheetName val="마지막일위대가표"/>
      <sheetName val="공사원가계산서"/>
      <sheetName val="도급예산내역서"/>
      <sheetName val="도급예산내역서봉투"/>
      <sheetName val="도급예산내역서표지"/>
      <sheetName val="도급예산내역서총괄표"/>
      <sheetName val="단성,죽령개소별명세표"/>
      <sheetName val="단성,죽령개소별명세표도면"/>
      <sheetName val="단성,죽령개소별명세표도면 (2)"/>
      <sheetName val="수량산출근거"/>
      <sheetName val="저케CV22신설"/>
      <sheetName val="저케CV14신설"/>
      <sheetName val="옥내배선신설"/>
      <sheetName val="강관전주신설"/>
      <sheetName val="투광등기구개신"/>
      <sheetName val="옥내등신설"/>
      <sheetName val="옥내등개신40W"/>
      <sheetName val="옥내등신설20W"/>
      <sheetName val="분전함신설"/>
      <sheetName val="분전함철거"/>
      <sheetName val="단가산출표지"/>
      <sheetName val="단가단출기초"/>
      <sheetName val="단가단출기초 (2)"/>
      <sheetName val="운반비산출"/>
      <sheetName val="을부담운반비"/>
      <sheetName val="중량산출기초(전선류)"/>
      <sheetName val="(철재류)"/>
      <sheetName val="(애자류)"/>
      <sheetName val="(비계목류)"/>
      <sheetName val="(시멘근가류)"/>
      <sheetName val="(철거발생)"/>
      <sheetName val="철거발생품"/>
      <sheetName val="공사재료사정조서"/>
      <sheetName val="관급자재조서"/>
      <sheetName val="수량조서"/>
      <sheetName val="개소별명세표"/>
      <sheetName val="제4절-1"/>
      <sheetName val="전차선로 물량표"/>
      <sheetName val="동원인원"/>
      <sheetName val="BASIC (2)"/>
      <sheetName val="cost"/>
      <sheetName val="단성역외 2개소 승압기타 기타공사"/>
      <sheetName val="요율"/>
      <sheetName val="SAN"/>
      <sheetName val="Macro(차단기)"/>
      <sheetName val="MOTOR"/>
      <sheetName val="내역서"/>
      <sheetName val="단가산출2"/>
      <sheetName val="표지 (2)"/>
      <sheetName val="공량산출서"/>
      <sheetName val="실행철강하도"/>
      <sheetName val="부하계산서"/>
      <sheetName val="청천내"/>
      <sheetName val="원가계산서 "/>
      <sheetName val="POOM_MOTO"/>
      <sheetName val="POOM_MOTO2"/>
      <sheetName val="공통(20-91)"/>
      <sheetName val="자재단가"/>
      <sheetName val="봉양~조차장간고하개명(신설)"/>
      <sheetName val="ABUT수량-A1"/>
      <sheetName val="Ampecity Data"/>
      <sheetName val="1.설계조건"/>
      <sheetName val="청하배수"/>
      <sheetName val="표지"/>
      <sheetName val="한강운반비"/>
      <sheetName val="전기일위대가"/>
      <sheetName val="증감대비"/>
      <sheetName val="9GNG운반"/>
      <sheetName val="설계예산서"/>
      <sheetName val="예산내역서"/>
      <sheetName val="단가조사"/>
      <sheetName val="2.대외공문"/>
      <sheetName val="터널조도"/>
      <sheetName val="Sheet2"/>
      <sheetName val="집계표"/>
      <sheetName val="1.설계기준"/>
      <sheetName val="2000전체분"/>
      <sheetName val="2000년1차"/>
      <sheetName val="I一般比"/>
    </sheetNames>
    <sheetDataSet>
      <sheetData sheetId="0" refreshError="1"/>
      <sheetData sheetId="1" refreshError="1">
        <row r="3">
          <cell r="C3" t="str">
            <v>단성역외 2개소 승압 기타공사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COST"/>
      <sheetName val="일위산출"/>
      <sheetName val="일위대가"/>
      <sheetName val="이토변실(A3-LINE)"/>
      <sheetName val="단가산출서"/>
      <sheetName val="단가표"/>
      <sheetName val="경비_원본"/>
      <sheetName val="노임단가"/>
      <sheetName val="철거산출근거"/>
      <sheetName val="수량산출"/>
      <sheetName val="1248-일위1"/>
      <sheetName val="품셈(기초)"/>
      <sheetName val="I一般比"/>
    </sheetNames>
    <sheetDataSet>
      <sheetData sheetId="0" refreshError="1"/>
      <sheetData sheetId="1" refreshError="1">
        <row r="5">
          <cell r="A5">
            <v>11</v>
          </cell>
          <cell r="B5" t="str">
            <v>가(랙)</v>
          </cell>
          <cell r="C5" t="str">
            <v>RACK-C</v>
          </cell>
          <cell r="D5" t="str">
            <v>대</v>
          </cell>
          <cell r="L5">
            <v>0</v>
          </cell>
          <cell r="M5" t="str">
            <v>관 급</v>
          </cell>
        </row>
        <row r="6">
          <cell r="A6">
            <v>12</v>
          </cell>
          <cell r="B6" t="str">
            <v>가락지</v>
          </cell>
          <cell r="C6" t="str">
            <v>19x92mm</v>
          </cell>
          <cell r="D6" t="str">
            <v>개</v>
          </cell>
          <cell r="E6">
            <v>924</v>
          </cell>
          <cell r="F6">
            <v>320</v>
          </cell>
          <cell r="G6">
            <v>957</v>
          </cell>
          <cell r="H6">
            <v>320</v>
          </cell>
          <cell r="L6">
            <v>320</v>
          </cell>
        </row>
        <row r="7">
          <cell r="A7">
            <v>13</v>
          </cell>
          <cell r="B7" t="str">
            <v>가재</v>
          </cell>
          <cell r="C7" t="str">
            <v>30x30</v>
          </cell>
          <cell r="D7" t="str">
            <v>매</v>
          </cell>
          <cell r="E7">
            <v>1252</v>
          </cell>
          <cell r="F7">
            <v>129</v>
          </cell>
          <cell r="L7">
            <v>129</v>
          </cell>
        </row>
        <row r="8">
          <cell r="A8">
            <v>14</v>
          </cell>
          <cell r="B8" t="str">
            <v>각재</v>
          </cell>
          <cell r="C8" t="str">
            <v>외송</v>
          </cell>
          <cell r="D8" t="str">
            <v>재</v>
          </cell>
          <cell r="E8">
            <v>139</v>
          </cell>
          <cell r="F8">
            <v>900</v>
          </cell>
          <cell r="G8">
            <v>106</v>
          </cell>
          <cell r="H8">
            <v>880</v>
          </cell>
          <cell r="L8">
            <v>880</v>
          </cell>
        </row>
        <row r="9">
          <cell r="A9">
            <v>16</v>
          </cell>
          <cell r="B9" t="str">
            <v>감청수신기</v>
          </cell>
          <cell r="C9" t="str">
            <v>KR-150B</v>
          </cell>
          <cell r="D9" t="str">
            <v>대</v>
          </cell>
          <cell r="L9">
            <v>0</v>
          </cell>
          <cell r="M9" t="str">
            <v>관 급</v>
          </cell>
        </row>
        <row r="10">
          <cell r="A10">
            <v>18</v>
          </cell>
          <cell r="B10" t="str">
            <v>건전지</v>
          </cell>
          <cell r="C10" t="str">
            <v>4MD</v>
          </cell>
          <cell r="D10" t="str">
            <v>개</v>
          </cell>
          <cell r="E10">
            <v>984</v>
          </cell>
          <cell r="F10">
            <v>3400</v>
          </cell>
          <cell r="G10">
            <v>984</v>
          </cell>
          <cell r="H10">
            <v>3400</v>
          </cell>
          <cell r="L10">
            <v>3400</v>
          </cell>
        </row>
        <row r="11">
          <cell r="A11">
            <v>19</v>
          </cell>
          <cell r="B11" t="str">
            <v>결속선</v>
          </cell>
          <cell r="C11" t="str">
            <v>#20</v>
          </cell>
          <cell r="D11" t="str">
            <v>㎏</v>
          </cell>
          <cell r="E11">
            <v>70</v>
          </cell>
          <cell r="F11">
            <v>710</v>
          </cell>
          <cell r="G11">
            <v>70</v>
          </cell>
          <cell r="H11">
            <v>682</v>
          </cell>
          <cell r="L11">
            <v>682</v>
          </cell>
        </row>
        <row r="12">
          <cell r="A12">
            <v>20</v>
          </cell>
          <cell r="B12" t="str">
            <v>경고테이프</v>
          </cell>
          <cell r="D12" t="str">
            <v>m</v>
          </cell>
          <cell r="E12">
            <v>924</v>
          </cell>
          <cell r="F12">
            <v>170</v>
          </cell>
          <cell r="G12">
            <v>957</v>
          </cell>
          <cell r="H12">
            <v>170</v>
          </cell>
          <cell r="L12">
            <v>170</v>
          </cell>
        </row>
        <row r="13">
          <cell r="A13">
            <v>21</v>
          </cell>
          <cell r="B13" t="str">
            <v>경질비닐전선관</v>
          </cell>
          <cell r="C13" t="str">
            <v>HI Φ22mm</v>
          </cell>
          <cell r="D13" t="str">
            <v>m</v>
          </cell>
          <cell r="E13">
            <v>839</v>
          </cell>
          <cell r="F13">
            <v>448</v>
          </cell>
          <cell r="G13">
            <v>866</v>
          </cell>
          <cell r="H13">
            <v>313</v>
          </cell>
          <cell r="L13">
            <v>313</v>
          </cell>
        </row>
        <row r="14">
          <cell r="A14">
            <v>22</v>
          </cell>
          <cell r="B14" t="str">
            <v>경질비닐전선관</v>
          </cell>
          <cell r="C14" t="str">
            <v>HI Φ28mm</v>
          </cell>
          <cell r="D14" t="str">
            <v>m</v>
          </cell>
          <cell r="E14">
            <v>839</v>
          </cell>
          <cell r="F14">
            <v>802</v>
          </cell>
          <cell r="G14">
            <v>866</v>
          </cell>
          <cell r="H14">
            <v>606</v>
          </cell>
          <cell r="L14">
            <v>606</v>
          </cell>
        </row>
        <row r="15">
          <cell r="A15">
            <v>36</v>
          </cell>
          <cell r="B15" t="str">
            <v>광가입자장치</v>
          </cell>
          <cell r="C15" t="str">
            <v>FLC-B</v>
          </cell>
          <cell r="D15" t="str">
            <v>대</v>
          </cell>
          <cell r="L15">
            <v>0</v>
          </cell>
          <cell r="M15" t="str">
            <v>관 급</v>
          </cell>
        </row>
        <row r="16">
          <cell r="A16">
            <v>39</v>
          </cell>
          <cell r="B16" t="str">
            <v>광수신기</v>
          </cell>
          <cell r="C16" t="str">
            <v>1CH VIDEO</v>
          </cell>
          <cell r="D16" t="str">
            <v>대</v>
          </cell>
          <cell r="K16">
            <v>10000000</v>
          </cell>
          <cell r="L16">
            <v>10000000</v>
          </cell>
        </row>
        <row r="17">
          <cell r="A17">
            <v>40</v>
          </cell>
          <cell r="B17" t="str">
            <v>광점퍼코드</v>
          </cell>
          <cell r="C17" t="str">
            <v>FC/PC-FC/PC-3</v>
          </cell>
          <cell r="D17" t="str">
            <v>본</v>
          </cell>
          <cell r="K17">
            <v>61000</v>
          </cell>
          <cell r="L17">
            <v>61000</v>
          </cell>
        </row>
        <row r="18">
          <cell r="A18">
            <v>41</v>
          </cell>
          <cell r="B18" t="str">
            <v>광점퍼코드</v>
          </cell>
          <cell r="C18" t="str">
            <v>FC/PC-FC/PC-10</v>
          </cell>
          <cell r="D18" t="str">
            <v>본</v>
          </cell>
          <cell r="E18">
            <v>822</v>
          </cell>
          <cell r="F18">
            <v>145000</v>
          </cell>
          <cell r="L18">
            <v>145000</v>
          </cell>
        </row>
        <row r="19">
          <cell r="A19">
            <v>46</v>
          </cell>
          <cell r="B19" t="str">
            <v>광케이블</v>
          </cell>
          <cell r="C19" t="str">
            <v>OF-SM-24Core</v>
          </cell>
          <cell r="D19" t="str">
            <v>m</v>
          </cell>
          <cell r="L19">
            <v>0</v>
          </cell>
          <cell r="M19" t="str">
            <v>관 급</v>
          </cell>
        </row>
        <row r="20">
          <cell r="A20">
            <v>47</v>
          </cell>
          <cell r="B20" t="str">
            <v>광케이블</v>
          </cell>
          <cell r="C20" t="str">
            <v>OF-SM-4Core</v>
          </cell>
          <cell r="D20" t="str">
            <v>m</v>
          </cell>
          <cell r="L20">
            <v>0</v>
          </cell>
          <cell r="M20" t="str">
            <v>관 급</v>
          </cell>
        </row>
        <row r="21">
          <cell r="A21">
            <v>49</v>
          </cell>
          <cell r="B21" t="str">
            <v>교량지지금구</v>
          </cell>
          <cell r="C21" t="str">
            <v>철교량</v>
          </cell>
          <cell r="D21" t="str">
            <v>개소</v>
          </cell>
          <cell r="K21">
            <v>50840</v>
          </cell>
          <cell r="L21">
            <v>50840</v>
          </cell>
        </row>
        <row r="22">
          <cell r="A22">
            <v>54</v>
          </cell>
          <cell r="B22" t="str">
            <v>국내케이블</v>
          </cell>
          <cell r="C22" t="str">
            <v>200Ⅱ</v>
          </cell>
          <cell r="D22" t="str">
            <v>m</v>
          </cell>
          <cell r="I22">
            <v>416</v>
          </cell>
          <cell r="J22">
            <v>2400</v>
          </cell>
          <cell r="L22">
            <v>2400</v>
          </cell>
        </row>
        <row r="23">
          <cell r="A23">
            <v>59</v>
          </cell>
          <cell r="B23" t="str">
            <v>급전용 동축케이블</v>
          </cell>
          <cell r="C23" t="str">
            <v>RG-8U</v>
          </cell>
          <cell r="D23" t="str">
            <v>m</v>
          </cell>
          <cell r="G23">
            <v>963</v>
          </cell>
          <cell r="H23">
            <v>5000</v>
          </cell>
          <cell r="L23">
            <v>5000</v>
          </cell>
        </row>
        <row r="24">
          <cell r="A24">
            <v>60</v>
          </cell>
          <cell r="B24" t="str">
            <v>너트</v>
          </cell>
          <cell r="C24" t="str">
            <v>1/2"</v>
          </cell>
          <cell r="D24" t="str">
            <v>개</v>
          </cell>
          <cell r="E24">
            <v>96</v>
          </cell>
          <cell r="F24">
            <v>17.600000000000001</v>
          </cell>
          <cell r="G24">
            <v>79</v>
          </cell>
          <cell r="H24">
            <v>24</v>
          </cell>
          <cell r="L24">
            <v>17.600000000000001</v>
          </cell>
        </row>
        <row r="25">
          <cell r="A25">
            <v>62</v>
          </cell>
          <cell r="B25" t="str">
            <v>너트</v>
          </cell>
          <cell r="C25" t="str">
            <v>M12</v>
          </cell>
          <cell r="D25" t="str">
            <v>개</v>
          </cell>
          <cell r="E25">
            <v>96</v>
          </cell>
          <cell r="F25">
            <v>19.8</v>
          </cell>
          <cell r="G25">
            <v>79</v>
          </cell>
          <cell r="H25">
            <v>22</v>
          </cell>
          <cell r="L25">
            <v>19.8</v>
          </cell>
        </row>
        <row r="26">
          <cell r="A26">
            <v>63</v>
          </cell>
          <cell r="B26" t="str">
            <v>너트</v>
          </cell>
          <cell r="C26" t="str">
            <v>M16</v>
          </cell>
          <cell r="D26" t="str">
            <v>개</v>
          </cell>
          <cell r="E26">
            <v>96</v>
          </cell>
          <cell r="F26">
            <v>33</v>
          </cell>
          <cell r="G26">
            <v>79</v>
          </cell>
          <cell r="H26">
            <v>42</v>
          </cell>
          <cell r="L26">
            <v>33</v>
          </cell>
        </row>
        <row r="27">
          <cell r="A27">
            <v>66</v>
          </cell>
          <cell r="B27" t="str">
            <v>노말밴드</v>
          </cell>
          <cell r="C27" t="str">
            <v>115mm</v>
          </cell>
          <cell r="D27" t="str">
            <v>m</v>
          </cell>
          <cell r="K27">
            <v>40000</v>
          </cell>
          <cell r="L27">
            <v>40000</v>
          </cell>
        </row>
        <row r="28">
          <cell r="A28">
            <v>67</v>
          </cell>
          <cell r="B28" t="str">
            <v>노말밴드</v>
          </cell>
          <cell r="C28" t="str">
            <v>76mm</v>
          </cell>
          <cell r="D28" t="str">
            <v>m</v>
          </cell>
          <cell r="K28">
            <v>34545</v>
          </cell>
          <cell r="L28">
            <v>34545</v>
          </cell>
        </row>
        <row r="29">
          <cell r="A29">
            <v>68</v>
          </cell>
          <cell r="B29" t="str">
            <v>노말밴드</v>
          </cell>
          <cell r="C29" t="str">
            <v>아연도Φ104mm</v>
          </cell>
          <cell r="D29" t="str">
            <v>m</v>
          </cell>
          <cell r="E29">
            <v>835</v>
          </cell>
          <cell r="F29">
            <v>21250</v>
          </cell>
          <cell r="G29">
            <v>872</v>
          </cell>
          <cell r="H29">
            <v>20185</v>
          </cell>
          <cell r="L29">
            <v>20185</v>
          </cell>
        </row>
        <row r="30">
          <cell r="A30">
            <v>71</v>
          </cell>
          <cell r="B30" t="str">
            <v>노말밴드</v>
          </cell>
          <cell r="C30" t="str">
            <v>HI Φ42mm</v>
          </cell>
          <cell r="D30" t="str">
            <v>m</v>
          </cell>
          <cell r="E30">
            <v>835</v>
          </cell>
          <cell r="F30">
            <v>3250</v>
          </cell>
          <cell r="G30">
            <v>872</v>
          </cell>
          <cell r="H30">
            <v>3085</v>
          </cell>
          <cell r="L30">
            <v>3085</v>
          </cell>
        </row>
        <row r="31">
          <cell r="A31">
            <v>72</v>
          </cell>
          <cell r="B31" t="str">
            <v>노말밴드</v>
          </cell>
          <cell r="C31" t="str">
            <v>HI Φ54mm</v>
          </cell>
          <cell r="D31" t="str">
            <v>m</v>
          </cell>
          <cell r="E31">
            <v>835</v>
          </cell>
          <cell r="F31">
            <v>4625</v>
          </cell>
          <cell r="G31">
            <v>872</v>
          </cell>
          <cell r="H31">
            <v>4390</v>
          </cell>
          <cell r="L31">
            <v>4390</v>
          </cell>
        </row>
        <row r="32">
          <cell r="A32">
            <v>76</v>
          </cell>
          <cell r="B32" t="str">
            <v>노선별전산기(FSP)</v>
          </cell>
          <cell r="D32" t="str">
            <v>대</v>
          </cell>
          <cell r="L32">
            <v>0</v>
          </cell>
          <cell r="M32" t="str">
            <v>관 급</v>
          </cell>
        </row>
        <row r="33">
          <cell r="A33">
            <v>77</v>
          </cell>
          <cell r="B33" t="str">
            <v>노즐Box</v>
          </cell>
          <cell r="C33" t="str">
            <v>400x200x80</v>
          </cell>
          <cell r="D33" t="str">
            <v>개</v>
          </cell>
          <cell r="K33">
            <v>128800</v>
          </cell>
          <cell r="L33">
            <v>128800</v>
          </cell>
        </row>
        <row r="34">
          <cell r="A34">
            <v>78</v>
          </cell>
          <cell r="B34" t="str">
            <v>ㄷ형찬넬</v>
          </cell>
          <cell r="C34" t="str">
            <v>75x40x5x7t</v>
          </cell>
          <cell r="D34" t="str">
            <v>㎏</v>
          </cell>
          <cell r="E34">
            <v>45</v>
          </cell>
          <cell r="F34">
            <v>340</v>
          </cell>
          <cell r="G34">
            <v>46</v>
          </cell>
          <cell r="H34">
            <v>400</v>
          </cell>
          <cell r="L34">
            <v>340</v>
          </cell>
        </row>
        <row r="35">
          <cell r="A35">
            <v>79</v>
          </cell>
          <cell r="B35" t="str">
            <v>다이폴ANT</v>
          </cell>
          <cell r="C35" t="str">
            <v>1호</v>
          </cell>
          <cell r="D35" t="str">
            <v>기</v>
          </cell>
          <cell r="L35">
            <v>0</v>
          </cell>
          <cell r="M35" t="str">
            <v>관 급</v>
          </cell>
        </row>
        <row r="36">
          <cell r="A36">
            <v>81</v>
          </cell>
          <cell r="B36" t="str">
            <v>다이폴ANT</v>
          </cell>
          <cell r="C36" t="str">
            <v>3호</v>
          </cell>
          <cell r="D36" t="str">
            <v>기</v>
          </cell>
          <cell r="L36">
            <v>0</v>
          </cell>
          <cell r="M36" t="str">
            <v>관 급</v>
          </cell>
        </row>
        <row r="37">
          <cell r="A37">
            <v>82</v>
          </cell>
          <cell r="B37" t="str">
            <v>E-MUX</v>
          </cell>
          <cell r="C37" t="str">
            <v>1E1</v>
          </cell>
          <cell r="D37" t="str">
            <v>대</v>
          </cell>
          <cell r="L37">
            <v>0</v>
          </cell>
          <cell r="M37" t="str">
            <v>관 급</v>
          </cell>
        </row>
        <row r="38">
          <cell r="A38">
            <v>85</v>
          </cell>
          <cell r="B38" t="str">
            <v>달대볼트</v>
          </cell>
          <cell r="C38" t="str">
            <v>M12x1000</v>
          </cell>
          <cell r="D38" t="str">
            <v>개</v>
          </cell>
          <cell r="E38">
            <v>91</v>
          </cell>
          <cell r="F38">
            <v>410</v>
          </cell>
          <cell r="G38">
            <v>78</v>
          </cell>
          <cell r="H38">
            <v>654</v>
          </cell>
          <cell r="L38">
            <v>410</v>
          </cell>
        </row>
        <row r="39">
          <cell r="A39">
            <v>86</v>
          </cell>
          <cell r="B39" t="str">
            <v>도관전선관</v>
          </cell>
          <cell r="C39" t="str">
            <v>115mm</v>
          </cell>
          <cell r="D39" t="str">
            <v>m</v>
          </cell>
          <cell r="L39">
            <v>0</v>
          </cell>
          <cell r="M39" t="str">
            <v>관 급</v>
          </cell>
        </row>
        <row r="40">
          <cell r="A40">
            <v>87</v>
          </cell>
          <cell r="B40" t="str">
            <v>도관전선관</v>
          </cell>
          <cell r="C40" t="str">
            <v>76mm</v>
          </cell>
          <cell r="D40" t="str">
            <v>m</v>
          </cell>
          <cell r="L40">
            <v>0</v>
          </cell>
          <cell r="M40" t="str">
            <v>관 급</v>
          </cell>
        </row>
        <row r="41">
          <cell r="A41">
            <v>88</v>
          </cell>
          <cell r="B41" t="str">
            <v>도착표시기</v>
          </cell>
          <cell r="D41" t="str">
            <v>대</v>
          </cell>
          <cell r="L41">
            <v>0</v>
          </cell>
          <cell r="M41" t="str">
            <v>관 급</v>
          </cell>
        </row>
        <row r="42">
          <cell r="A42">
            <v>91</v>
          </cell>
          <cell r="B42" t="str">
            <v>디지털 회선분배장치</v>
          </cell>
          <cell r="C42" t="str">
            <v>DCS-ISX</v>
          </cell>
          <cell r="D42" t="str">
            <v>대</v>
          </cell>
          <cell r="L42">
            <v>0</v>
          </cell>
          <cell r="M42" t="str">
            <v>관 급</v>
          </cell>
        </row>
        <row r="43">
          <cell r="A43">
            <v>96</v>
          </cell>
          <cell r="B43" t="str">
            <v>멘홀용사다리</v>
          </cell>
          <cell r="C43" t="str">
            <v>L2300</v>
          </cell>
          <cell r="D43" t="str">
            <v>개</v>
          </cell>
          <cell r="E43">
            <v>926</v>
          </cell>
          <cell r="F43">
            <v>50000</v>
          </cell>
          <cell r="L43">
            <v>50000</v>
          </cell>
        </row>
        <row r="44">
          <cell r="A44">
            <v>99</v>
          </cell>
          <cell r="B44" t="str">
            <v>모래</v>
          </cell>
          <cell r="C44" t="str">
            <v>세사</v>
          </cell>
          <cell r="D44" t="str">
            <v>㎥</v>
          </cell>
          <cell r="E44">
            <v>111</v>
          </cell>
          <cell r="F44">
            <v>15000</v>
          </cell>
          <cell r="G44">
            <v>95</v>
          </cell>
          <cell r="H44">
            <v>8160</v>
          </cell>
          <cell r="L44">
            <v>8160</v>
          </cell>
        </row>
        <row r="45">
          <cell r="A45">
            <v>100</v>
          </cell>
          <cell r="B45" t="str">
            <v>모사전송동보장치카드</v>
          </cell>
          <cell r="C45" t="str">
            <v>4회선/1카드</v>
          </cell>
          <cell r="D45" t="str">
            <v>매</v>
          </cell>
          <cell r="L45">
            <v>0</v>
          </cell>
          <cell r="M45" t="str">
            <v>관 급</v>
          </cell>
        </row>
        <row r="46">
          <cell r="A46">
            <v>104</v>
          </cell>
          <cell r="B46" t="str">
            <v>박리제</v>
          </cell>
          <cell r="C46" t="str">
            <v>유성</v>
          </cell>
          <cell r="D46" t="str">
            <v>ℓ</v>
          </cell>
          <cell r="E46">
            <v>147</v>
          </cell>
          <cell r="F46">
            <v>1500</v>
          </cell>
          <cell r="G46">
            <v>111</v>
          </cell>
          <cell r="H46">
            <v>1250</v>
          </cell>
          <cell r="L46">
            <v>1250</v>
          </cell>
        </row>
        <row r="47">
          <cell r="A47">
            <v>109</v>
          </cell>
          <cell r="B47" t="str">
            <v>방송용 AMP</v>
          </cell>
          <cell r="C47" t="str">
            <v>120W(RACK TYPE)</v>
          </cell>
          <cell r="D47" t="str">
            <v>대</v>
          </cell>
          <cell r="K47">
            <v>480000</v>
          </cell>
          <cell r="L47">
            <v>480000</v>
          </cell>
        </row>
        <row r="48">
          <cell r="A48">
            <v>115</v>
          </cell>
          <cell r="B48" t="str">
            <v>방진고무</v>
          </cell>
          <cell r="D48" t="str">
            <v>개</v>
          </cell>
          <cell r="K48">
            <v>58000</v>
          </cell>
          <cell r="L48">
            <v>58000</v>
          </cell>
        </row>
        <row r="49">
          <cell r="A49">
            <v>120</v>
          </cell>
          <cell r="B49" t="str">
            <v>백관</v>
          </cell>
          <cell r="C49" t="str">
            <v>Φ100mm</v>
          </cell>
          <cell r="D49" t="str">
            <v>m</v>
          </cell>
          <cell r="E49">
            <v>490</v>
          </cell>
          <cell r="F49">
            <v>8131</v>
          </cell>
          <cell r="G49">
            <v>426</v>
          </cell>
          <cell r="H49">
            <v>8131</v>
          </cell>
          <cell r="L49">
            <v>8131</v>
          </cell>
        </row>
        <row r="50">
          <cell r="A50">
            <v>124</v>
          </cell>
          <cell r="B50" t="str">
            <v>밴드</v>
          </cell>
          <cell r="C50" t="str">
            <v>76mm</v>
          </cell>
          <cell r="D50" t="str">
            <v>m</v>
          </cell>
          <cell r="K50">
            <v>600</v>
          </cell>
          <cell r="L50">
            <v>600</v>
          </cell>
        </row>
        <row r="51">
          <cell r="A51">
            <v>126</v>
          </cell>
          <cell r="B51" t="str">
            <v>보통합판</v>
          </cell>
          <cell r="C51" t="str">
            <v>12x1210x2420</v>
          </cell>
          <cell r="D51" t="str">
            <v>매</v>
          </cell>
          <cell r="E51">
            <v>465</v>
          </cell>
          <cell r="F51">
            <v>15600</v>
          </cell>
          <cell r="G51">
            <v>352</v>
          </cell>
          <cell r="H51">
            <v>25000</v>
          </cell>
          <cell r="L51">
            <v>15600</v>
          </cell>
        </row>
        <row r="52">
          <cell r="A52">
            <v>129</v>
          </cell>
          <cell r="B52" t="str">
            <v>볼트, 너트</v>
          </cell>
          <cell r="C52" t="str">
            <v>M16xL50</v>
          </cell>
          <cell r="D52" t="str">
            <v>개</v>
          </cell>
          <cell r="E52">
            <v>96</v>
          </cell>
          <cell r="F52">
            <v>366</v>
          </cell>
          <cell r="L52">
            <v>366</v>
          </cell>
        </row>
        <row r="53">
          <cell r="A53">
            <v>133</v>
          </cell>
          <cell r="B53" t="str">
            <v>분배기</v>
          </cell>
          <cell r="C53" t="str">
            <v>2분배기</v>
          </cell>
          <cell r="D53" t="str">
            <v>개</v>
          </cell>
          <cell r="G53">
            <v>963</v>
          </cell>
          <cell r="H53">
            <v>200000</v>
          </cell>
          <cell r="K53">
            <v>550000</v>
          </cell>
          <cell r="L53">
            <v>200000</v>
          </cell>
        </row>
        <row r="54">
          <cell r="A54">
            <v>137</v>
          </cell>
          <cell r="B54" t="str">
            <v>비상신고직통전화</v>
          </cell>
          <cell r="C54" t="str">
            <v>자장치</v>
          </cell>
          <cell r="D54" t="str">
            <v>대</v>
          </cell>
          <cell r="L54">
            <v>0</v>
          </cell>
          <cell r="M54" t="str">
            <v>관 급</v>
          </cell>
        </row>
        <row r="55">
          <cell r="A55">
            <v>138</v>
          </cell>
          <cell r="B55" t="str">
            <v>비상신고직통전화주장치</v>
          </cell>
          <cell r="C55" t="str">
            <v>3회로</v>
          </cell>
          <cell r="D55" t="str">
            <v>대</v>
          </cell>
          <cell r="L55">
            <v>0</v>
          </cell>
          <cell r="M55" t="str">
            <v>관 급</v>
          </cell>
        </row>
        <row r="56">
          <cell r="A56">
            <v>139</v>
          </cell>
          <cell r="B56" t="str">
            <v>비상신고직통전화주장치</v>
          </cell>
          <cell r="C56" t="str">
            <v>5회로</v>
          </cell>
          <cell r="D56" t="str">
            <v>대</v>
          </cell>
          <cell r="L56">
            <v>0</v>
          </cell>
          <cell r="M56" t="str">
            <v>관 급</v>
          </cell>
        </row>
        <row r="57">
          <cell r="A57">
            <v>140</v>
          </cell>
          <cell r="B57" t="str">
            <v>비상신고직통전화주장치</v>
          </cell>
          <cell r="C57" t="str">
            <v>10회로</v>
          </cell>
          <cell r="D57" t="str">
            <v>대</v>
          </cell>
          <cell r="L57">
            <v>0</v>
          </cell>
          <cell r="M57" t="str">
            <v>관 급</v>
          </cell>
        </row>
        <row r="58">
          <cell r="A58">
            <v>141</v>
          </cell>
          <cell r="B58" t="str">
            <v>사다리각정</v>
          </cell>
          <cell r="C58" t="str">
            <v>19x1040mm</v>
          </cell>
          <cell r="D58" t="str">
            <v>개</v>
          </cell>
          <cell r="E58">
            <v>924</v>
          </cell>
          <cell r="F58">
            <v>2800</v>
          </cell>
          <cell r="G58">
            <v>957</v>
          </cell>
          <cell r="H58">
            <v>2800</v>
          </cell>
          <cell r="L58">
            <v>2800</v>
          </cell>
        </row>
        <row r="59">
          <cell r="A59">
            <v>149</v>
          </cell>
          <cell r="B59" t="str">
            <v>사령전화기</v>
          </cell>
          <cell r="C59" t="str">
            <v>DTMF식</v>
          </cell>
          <cell r="D59" t="str">
            <v>대</v>
          </cell>
          <cell r="L59">
            <v>0</v>
          </cell>
          <cell r="M59" t="str">
            <v>관 급</v>
          </cell>
        </row>
        <row r="60">
          <cell r="A60">
            <v>152</v>
          </cell>
          <cell r="B60" t="str">
            <v>산소</v>
          </cell>
          <cell r="C60" t="str">
            <v>99%</v>
          </cell>
          <cell r="D60" t="str">
            <v>ℓ</v>
          </cell>
          <cell r="E60">
            <v>1159</v>
          </cell>
          <cell r="F60">
            <v>250</v>
          </cell>
          <cell r="G60">
            <v>1026</v>
          </cell>
          <cell r="H60">
            <v>263</v>
          </cell>
          <cell r="L60">
            <v>250</v>
          </cell>
        </row>
        <row r="61">
          <cell r="A61">
            <v>156</v>
          </cell>
          <cell r="B61" t="str">
            <v>새들</v>
          </cell>
          <cell r="C61" t="str">
            <v xml:space="preserve"> Φ28mm</v>
          </cell>
          <cell r="D61" t="str">
            <v>개</v>
          </cell>
          <cell r="E61">
            <v>835</v>
          </cell>
          <cell r="F61">
            <v>85</v>
          </cell>
          <cell r="G61">
            <v>872</v>
          </cell>
          <cell r="H61">
            <v>65</v>
          </cell>
          <cell r="L61">
            <v>65</v>
          </cell>
        </row>
        <row r="62">
          <cell r="A62">
            <v>158</v>
          </cell>
          <cell r="B62" t="str">
            <v>새들</v>
          </cell>
          <cell r="C62" t="str">
            <v>Φ54mm</v>
          </cell>
          <cell r="D62" t="str">
            <v>개</v>
          </cell>
          <cell r="E62">
            <v>835</v>
          </cell>
          <cell r="F62">
            <v>220</v>
          </cell>
          <cell r="G62">
            <v>872</v>
          </cell>
          <cell r="H62">
            <v>170</v>
          </cell>
          <cell r="L62">
            <v>170</v>
          </cell>
        </row>
        <row r="63">
          <cell r="A63">
            <v>162</v>
          </cell>
          <cell r="B63" t="str">
            <v>소철선</v>
          </cell>
          <cell r="C63" t="str">
            <v>#8</v>
          </cell>
          <cell r="D63" t="str">
            <v>㎏</v>
          </cell>
          <cell r="E63">
            <v>66</v>
          </cell>
          <cell r="F63">
            <v>500</v>
          </cell>
          <cell r="G63">
            <v>70</v>
          </cell>
          <cell r="H63">
            <v>450</v>
          </cell>
          <cell r="L63">
            <v>450</v>
          </cell>
        </row>
        <row r="64">
          <cell r="A64">
            <v>164</v>
          </cell>
          <cell r="B64" t="str">
            <v>수공뚜껑</v>
          </cell>
          <cell r="C64" t="str">
            <v>1120x620x132</v>
          </cell>
          <cell r="D64" t="str">
            <v>개</v>
          </cell>
          <cell r="E64">
            <v>178</v>
          </cell>
          <cell r="F64">
            <v>13500</v>
          </cell>
          <cell r="G64">
            <v>880</v>
          </cell>
          <cell r="H64">
            <v>10600</v>
          </cell>
          <cell r="L64">
            <v>10600</v>
          </cell>
        </row>
        <row r="65">
          <cell r="A65">
            <v>165</v>
          </cell>
          <cell r="B65" t="str">
            <v>스파이럴슬리브</v>
          </cell>
          <cell r="C65" t="str">
            <v>케이블보호용</v>
          </cell>
          <cell r="D65" t="str">
            <v>m</v>
          </cell>
          <cell r="E65">
            <v>924</v>
          </cell>
          <cell r="F65">
            <v>5410</v>
          </cell>
          <cell r="G65">
            <v>957</v>
          </cell>
          <cell r="H65">
            <v>5410</v>
          </cell>
          <cell r="L65">
            <v>5410</v>
          </cell>
        </row>
        <row r="66">
          <cell r="A66">
            <v>167</v>
          </cell>
          <cell r="B66" t="str">
            <v>스피커</v>
          </cell>
          <cell r="C66" t="str">
            <v>천정형5W</v>
          </cell>
          <cell r="D66" t="str">
            <v>개</v>
          </cell>
          <cell r="E66">
            <v>940</v>
          </cell>
          <cell r="F66">
            <v>20000</v>
          </cell>
          <cell r="G66">
            <v>953</v>
          </cell>
          <cell r="L66">
            <v>20000</v>
          </cell>
        </row>
        <row r="67">
          <cell r="A67">
            <v>172</v>
          </cell>
          <cell r="B67" t="str">
            <v>스피커</v>
          </cell>
          <cell r="C67" t="str">
            <v>HORN형25W</v>
          </cell>
          <cell r="D67" t="str">
            <v>대</v>
          </cell>
          <cell r="E67">
            <v>942</v>
          </cell>
          <cell r="F67">
            <v>55000</v>
          </cell>
          <cell r="G67">
            <v>954</v>
          </cell>
          <cell r="L67">
            <v>55000</v>
          </cell>
        </row>
        <row r="68">
          <cell r="A68">
            <v>176</v>
          </cell>
          <cell r="B68" t="str">
            <v>제어케이블</v>
          </cell>
          <cell r="C68" t="str">
            <v>CVV-SB 6C</v>
          </cell>
          <cell r="D68" t="str">
            <v>m</v>
          </cell>
          <cell r="E68">
            <v>810</v>
          </cell>
          <cell r="F68">
            <v>783</v>
          </cell>
          <cell r="G68">
            <v>853</v>
          </cell>
          <cell r="H68">
            <v>902</v>
          </cell>
          <cell r="L68">
            <v>783</v>
          </cell>
        </row>
        <row r="69">
          <cell r="A69">
            <v>182</v>
          </cell>
          <cell r="B69" t="str">
            <v>시멘트</v>
          </cell>
          <cell r="C69" t="str">
            <v>40㎏</v>
          </cell>
          <cell r="D69" t="str">
            <v>포</v>
          </cell>
          <cell r="E69">
            <v>113</v>
          </cell>
          <cell r="F69">
            <v>2800</v>
          </cell>
          <cell r="G69">
            <v>96</v>
          </cell>
          <cell r="H69">
            <v>2700</v>
          </cell>
          <cell r="L69">
            <v>2700</v>
          </cell>
        </row>
        <row r="70">
          <cell r="A70">
            <v>183</v>
          </cell>
          <cell r="B70" t="str">
            <v>시외케이블</v>
          </cell>
          <cell r="C70" t="str">
            <v>FS/JF 0.65x25P(15%차폐)</v>
          </cell>
          <cell r="D70" t="str">
            <v>m</v>
          </cell>
          <cell r="L70">
            <v>0</v>
          </cell>
          <cell r="M70" t="str">
            <v>관 급</v>
          </cell>
        </row>
        <row r="71">
          <cell r="A71">
            <v>184</v>
          </cell>
          <cell r="B71" t="str">
            <v>시외케이블</v>
          </cell>
          <cell r="C71" t="str">
            <v>FS/JF 0.65x15P(15%차폐)</v>
          </cell>
          <cell r="D71" t="str">
            <v>m</v>
          </cell>
          <cell r="L71">
            <v>0</v>
          </cell>
          <cell r="M71" t="str">
            <v>관 급</v>
          </cell>
        </row>
        <row r="72">
          <cell r="A72">
            <v>186</v>
          </cell>
          <cell r="B72" t="str">
            <v>신나</v>
          </cell>
          <cell r="D72" t="str">
            <v>ℓ</v>
          </cell>
          <cell r="E72">
            <v>415</v>
          </cell>
          <cell r="F72">
            <v>1300</v>
          </cell>
          <cell r="G72">
            <v>281</v>
          </cell>
          <cell r="H72">
            <v>1133</v>
          </cell>
          <cell r="L72">
            <v>1133</v>
          </cell>
        </row>
        <row r="73">
          <cell r="A73">
            <v>187</v>
          </cell>
          <cell r="B73" t="str">
            <v>써지보호기</v>
          </cell>
          <cell r="C73" t="str">
            <v>FLC 전원용</v>
          </cell>
          <cell r="D73" t="str">
            <v>개</v>
          </cell>
          <cell r="K73">
            <v>125160</v>
          </cell>
          <cell r="L73">
            <v>125160</v>
          </cell>
        </row>
        <row r="74">
          <cell r="A74">
            <v>188</v>
          </cell>
          <cell r="B74" t="str">
            <v>써지보호기</v>
          </cell>
          <cell r="C74" t="str">
            <v>음성회선용</v>
          </cell>
          <cell r="D74" t="str">
            <v>개</v>
          </cell>
          <cell r="K74">
            <v>63560</v>
          </cell>
          <cell r="L74">
            <v>63560</v>
          </cell>
        </row>
        <row r="75">
          <cell r="A75">
            <v>189</v>
          </cell>
          <cell r="B75" t="str">
            <v>아세틸렌</v>
          </cell>
          <cell r="C75" t="str">
            <v>98%</v>
          </cell>
          <cell r="D75" t="str">
            <v>㎏</v>
          </cell>
          <cell r="E75">
            <v>1143</v>
          </cell>
          <cell r="F75">
            <v>6000</v>
          </cell>
          <cell r="G75">
            <v>1026</v>
          </cell>
          <cell r="H75">
            <v>8000</v>
          </cell>
          <cell r="L75">
            <v>6000</v>
          </cell>
        </row>
        <row r="76">
          <cell r="A76">
            <v>191</v>
          </cell>
          <cell r="B76" t="str">
            <v>압착터미날단자</v>
          </cell>
          <cell r="C76" t="str">
            <v>22㎟</v>
          </cell>
          <cell r="D76" t="str">
            <v>개</v>
          </cell>
          <cell r="E76">
            <v>814</v>
          </cell>
          <cell r="F76">
            <v>88</v>
          </cell>
          <cell r="G76">
            <v>861</v>
          </cell>
          <cell r="H76">
            <v>72</v>
          </cell>
          <cell r="L76">
            <v>72</v>
          </cell>
        </row>
        <row r="77">
          <cell r="A77">
            <v>192</v>
          </cell>
          <cell r="B77" t="str">
            <v>앙카볼트</v>
          </cell>
          <cell r="C77" t="str">
            <v>(3/8")M10xL150</v>
          </cell>
          <cell r="D77" t="str">
            <v>개</v>
          </cell>
          <cell r="E77">
            <v>94</v>
          </cell>
          <cell r="F77">
            <v>59</v>
          </cell>
          <cell r="G77">
            <v>77</v>
          </cell>
          <cell r="H77">
            <v>50</v>
          </cell>
          <cell r="L77">
            <v>50</v>
          </cell>
        </row>
        <row r="78">
          <cell r="A78">
            <v>193</v>
          </cell>
          <cell r="B78" t="str">
            <v>앙카볼트</v>
          </cell>
          <cell r="C78" t="str">
            <v>(5/8")M16xL250</v>
          </cell>
          <cell r="D78" t="str">
            <v>개</v>
          </cell>
          <cell r="E78">
            <v>96</v>
          </cell>
          <cell r="F78">
            <v>180</v>
          </cell>
          <cell r="G78">
            <v>76</v>
          </cell>
          <cell r="H78">
            <v>260</v>
          </cell>
          <cell r="L78">
            <v>180</v>
          </cell>
        </row>
        <row r="79">
          <cell r="A79">
            <v>194</v>
          </cell>
          <cell r="B79" t="str">
            <v>앙카볼트</v>
          </cell>
          <cell r="C79" t="str">
            <v>(7/8")M22xL250</v>
          </cell>
          <cell r="D79" t="str">
            <v>개</v>
          </cell>
          <cell r="E79">
            <v>95</v>
          </cell>
          <cell r="F79">
            <v>540</v>
          </cell>
          <cell r="G79">
            <v>77</v>
          </cell>
          <cell r="H79">
            <v>1500</v>
          </cell>
          <cell r="L79">
            <v>540</v>
          </cell>
        </row>
        <row r="80">
          <cell r="A80">
            <v>195</v>
          </cell>
          <cell r="B80" t="str">
            <v>앙카볼트</v>
          </cell>
          <cell r="C80" t="str">
            <v>1/2"x150</v>
          </cell>
          <cell r="D80" t="str">
            <v>개</v>
          </cell>
          <cell r="E80">
            <v>96</v>
          </cell>
          <cell r="F80">
            <v>190</v>
          </cell>
          <cell r="G80">
            <v>77</v>
          </cell>
          <cell r="H80">
            <v>140</v>
          </cell>
          <cell r="L80">
            <v>140</v>
          </cell>
        </row>
        <row r="81">
          <cell r="A81">
            <v>198</v>
          </cell>
          <cell r="B81" t="str">
            <v>여객안내제어장치</v>
          </cell>
          <cell r="C81" t="str">
            <v>역장치</v>
          </cell>
          <cell r="D81" t="str">
            <v>대</v>
          </cell>
          <cell r="L81">
            <v>0</v>
          </cell>
          <cell r="M81" t="str">
            <v>관 급</v>
          </cell>
        </row>
        <row r="82">
          <cell r="A82">
            <v>200</v>
          </cell>
          <cell r="B82" t="str">
            <v>열차무선송수신기(유무선결합기포함)</v>
          </cell>
          <cell r="C82" t="str">
            <v>15W 역용</v>
          </cell>
          <cell r="D82" t="str">
            <v>대</v>
          </cell>
          <cell r="L82">
            <v>0</v>
          </cell>
          <cell r="M82" t="str">
            <v>관 급</v>
          </cell>
        </row>
        <row r="83">
          <cell r="A83">
            <v>201</v>
          </cell>
          <cell r="B83" t="str">
            <v>연마지</v>
          </cell>
          <cell r="C83" t="str">
            <v>AA100#</v>
          </cell>
          <cell r="D83" t="str">
            <v>매</v>
          </cell>
          <cell r="E83">
            <v>1110</v>
          </cell>
          <cell r="F83">
            <v>340</v>
          </cell>
          <cell r="G83">
            <v>782</v>
          </cell>
          <cell r="H83">
            <v>330</v>
          </cell>
          <cell r="L83">
            <v>330</v>
          </cell>
        </row>
        <row r="84">
          <cell r="A84">
            <v>202</v>
          </cell>
          <cell r="B84" t="str">
            <v>연선전화기</v>
          </cell>
          <cell r="C84" t="str">
            <v>3회로</v>
          </cell>
          <cell r="D84" t="str">
            <v>대</v>
          </cell>
          <cell r="L84">
            <v>0</v>
          </cell>
          <cell r="M84" t="str">
            <v>관 급</v>
          </cell>
        </row>
        <row r="85">
          <cell r="A85">
            <v>203</v>
          </cell>
          <cell r="B85" t="str">
            <v>열수축튜브</v>
          </cell>
          <cell r="D85" t="str">
            <v>개</v>
          </cell>
          <cell r="G85">
            <v>864</v>
          </cell>
          <cell r="H85">
            <v>880</v>
          </cell>
          <cell r="L85">
            <v>880</v>
          </cell>
        </row>
        <row r="86">
          <cell r="A86">
            <v>204</v>
          </cell>
          <cell r="B86" t="str">
            <v>열연강판</v>
          </cell>
          <cell r="C86" t="str">
            <v>6t</v>
          </cell>
          <cell r="D86" t="str">
            <v>㎏</v>
          </cell>
          <cell r="E86">
            <v>52</v>
          </cell>
          <cell r="F86">
            <v>354</v>
          </cell>
          <cell r="G86">
            <v>50</v>
          </cell>
          <cell r="H86">
            <v>305</v>
          </cell>
          <cell r="L86">
            <v>305</v>
          </cell>
        </row>
        <row r="87">
          <cell r="A87">
            <v>205</v>
          </cell>
          <cell r="B87" t="str">
            <v>열연강판</v>
          </cell>
          <cell r="C87" t="str">
            <v>9t</v>
          </cell>
          <cell r="D87" t="str">
            <v>㎏</v>
          </cell>
          <cell r="E87">
            <v>52</v>
          </cell>
          <cell r="F87">
            <v>357</v>
          </cell>
          <cell r="G87">
            <v>50</v>
          </cell>
          <cell r="H87">
            <v>310</v>
          </cell>
          <cell r="L87">
            <v>310</v>
          </cell>
        </row>
        <row r="88">
          <cell r="A88">
            <v>208</v>
          </cell>
          <cell r="B88" t="str">
            <v>열차무선전원장치함</v>
          </cell>
          <cell r="C88" t="str">
            <v>RT.BATT내장형</v>
          </cell>
          <cell r="D88" t="str">
            <v>대</v>
          </cell>
          <cell r="L88">
            <v>0</v>
          </cell>
          <cell r="M88" t="str">
            <v>관 급</v>
          </cell>
        </row>
        <row r="89">
          <cell r="A89">
            <v>209</v>
          </cell>
          <cell r="B89" t="str">
            <v>용접봉</v>
          </cell>
          <cell r="C89" t="str">
            <v>Φ3.2</v>
          </cell>
          <cell r="D89" t="str">
            <v>㎏</v>
          </cell>
          <cell r="E89">
            <v>1079</v>
          </cell>
          <cell r="F89">
            <v>1220</v>
          </cell>
          <cell r="G89">
            <v>750</v>
          </cell>
          <cell r="H89">
            <v>1260</v>
          </cell>
          <cell r="L89">
            <v>1220</v>
          </cell>
        </row>
        <row r="90">
          <cell r="A90">
            <v>212</v>
          </cell>
          <cell r="B90" t="str">
            <v>육각볼트</v>
          </cell>
          <cell r="C90" t="str">
            <v>M12xL30</v>
          </cell>
          <cell r="D90" t="str">
            <v>개</v>
          </cell>
          <cell r="E90">
            <v>90</v>
          </cell>
          <cell r="F90">
            <v>46</v>
          </cell>
          <cell r="G90">
            <v>75</v>
          </cell>
          <cell r="H90">
            <v>45</v>
          </cell>
          <cell r="L90">
            <v>45</v>
          </cell>
        </row>
        <row r="91">
          <cell r="A91">
            <v>215</v>
          </cell>
          <cell r="B91" t="str">
            <v>이도함</v>
          </cell>
          <cell r="C91" t="str">
            <v>Φ115</v>
          </cell>
          <cell r="D91" t="str">
            <v>조</v>
          </cell>
          <cell r="K91">
            <v>180000</v>
          </cell>
          <cell r="L91">
            <v>180000</v>
          </cell>
        </row>
        <row r="92">
          <cell r="A92">
            <v>217</v>
          </cell>
          <cell r="B92" t="str">
            <v>이도함지지금구</v>
          </cell>
          <cell r="C92" t="str">
            <v>Φ115</v>
          </cell>
          <cell r="D92" t="str">
            <v>조</v>
          </cell>
          <cell r="K92">
            <v>7445</v>
          </cell>
          <cell r="L92">
            <v>7445</v>
          </cell>
        </row>
        <row r="93">
          <cell r="A93">
            <v>219</v>
          </cell>
          <cell r="B93" t="str">
            <v>이동방지 PLUG</v>
          </cell>
          <cell r="C93" t="str">
            <v>Φ100 - 4구</v>
          </cell>
          <cell r="D93" t="str">
            <v>개</v>
          </cell>
          <cell r="G93">
            <v>957</v>
          </cell>
          <cell r="H93">
            <v>16500</v>
          </cell>
          <cell r="L93">
            <v>16500</v>
          </cell>
        </row>
        <row r="94">
          <cell r="A94">
            <v>221</v>
          </cell>
          <cell r="B94" t="str">
            <v>이형철근</v>
          </cell>
          <cell r="C94" t="str">
            <v>D-10 SD30A</v>
          </cell>
          <cell r="D94" t="str">
            <v>TON</v>
          </cell>
          <cell r="E94">
            <v>43</v>
          </cell>
          <cell r="F94">
            <v>347000</v>
          </cell>
          <cell r="G94">
            <v>42</v>
          </cell>
          <cell r="H94">
            <v>375000</v>
          </cell>
          <cell r="L94">
            <v>347000</v>
          </cell>
        </row>
        <row r="95">
          <cell r="A95">
            <v>222</v>
          </cell>
          <cell r="B95" t="str">
            <v>이형철근</v>
          </cell>
          <cell r="C95" t="str">
            <v>D-13 SD30A</v>
          </cell>
          <cell r="D95" t="str">
            <v>TON</v>
          </cell>
          <cell r="E95">
            <v>43</v>
          </cell>
          <cell r="F95">
            <v>342000</v>
          </cell>
          <cell r="G95">
            <v>42</v>
          </cell>
          <cell r="H95">
            <v>375000</v>
          </cell>
          <cell r="L95">
            <v>342000</v>
          </cell>
        </row>
        <row r="96">
          <cell r="A96">
            <v>224</v>
          </cell>
          <cell r="B96" t="str">
            <v>자갈</v>
          </cell>
          <cell r="C96" t="str">
            <v>#57</v>
          </cell>
          <cell r="D96" t="str">
            <v>㎥</v>
          </cell>
          <cell r="E96">
            <v>111</v>
          </cell>
          <cell r="F96">
            <v>14000</v>
          </cell>
          <cell r="G96">
            <v>95</v>
          </cell>
          <cell r="H96">
            <v>5460</v>
          </cell>
          <cell r="I96">
            <v>317</v>
          </cell>
          <cell r="J96">
            <v>11363</v>
          </cell>
          <cell r="L96">
            <v>5460</v>
          </cell>
        </row>
        <row r="97">
          <cell r="A97">
            <v>225</v>
          </cell>
          <cell r="B97" t="str">
            <v>자갈</v>
          </cell>
          <cell r="C97" t="str">
            <v>#467(40mm)</v>
          </cell>
          <cell r="D97" t="str">
            <v>㎥</v>
          </cell>
          <cell r="E97">
            <v>111</v>
          </cell>
          <cell r="F97">
            <v>13000</v>
          </cell>
          <cell r="G97">
            <v>95</v>
          </cell>
          <cell r="H97">
            <v>4760</v>
          </cell>
          <cell r="L97">
            <v>4760</v>
          </cell>
        </row>
        <row r="98">
          <cell r="A98">
            <v>234</v>
          </cell>
          <cell r="B98" t="str">
            <v>전원분배반</v>
          </cell>
          <cell r="C98" t="str">
            <v>PDS</v>
          </cell>
          <cell r="D98" t="str">
            <v>대</v>
          </cell>
          <cell r="L98">
            <v>0</v>
          </cell>
          <cell r="M98" t="str">
            <v>관 급</v>
          </cell>
        </row>
        <row r="99">
          <cell r="A99">
            <v>237</v>
          </cell>
          <cell r="B99" t="str">
            <v>전원케이블</v>
          </cell>
          <cell r="C99" t="str">
            <v>CV 2Cx5.5㎟</v>
          </cell>
          <cell r="D99" t="str">
            <v>m</v>
          </cell>
          <cell r="E99">
            <v>814</v>
          </cell>
          <cell r="F99">
            <v>820</v>
          </cell>
          <cell r="G99">
            <v>851</v>
          </cell>
          <cell r="H99">
            <v>685</v>
          </cell>
          <cell r="L99">
            <v>685</v>
          </cell>
        </row>
        <row r="100">
          <cell r="A100">
            <v>240</v>
          </cell>
          <cell r="B100" t="str">
            <v>전화기</v>
          </cell>
          <cell r="C100" t="str">
            <v>MFC</v>
          </cell>
          <cell r="D100" t="str">
            <v>대</v>
          </cell>
          <cell r="L100">
            <v>0</v>
          </cell>
          <cell r="M100" t="str">
            <v>관 급</v>
          </cell>
        </row>
        <row r="101">
          <cell r="A101">
            <v>249</v>
          </cell>
          <cell r="B101" t="str">
            <v>접지봉</v>
          </cell>
          <cell r="C101" t="str">
            <v>16Dx1800mm</v>
          </cell>
          <cell r="D101" t="str">
            <v>개</v>
          </cell>
          <cell r="E101">
            <v>903</v>
          </cell>
          <cell r="F101">
            <v>4900</v>
          </cell>
          <cell r="G101">
            <v>930</v>
          </cell>
          <cell r="H101">
            <v>4500</v>
          </cell>
          <cell r="L101">
            <v>4500</v>
          </cell>
        </row>
        <row r="102">
          <cell r="A102">
            <v>250</v>
          </cell>
          <cell r="B102" t="str">
            <v>접지슬리브</v>
          </cell>
          <cell r="C102" t="str">
            <v>60-60,38㎟</v>
          </cell>
          <cell r="D102" t="str">
            <v>개</v>
          </cell>
          <cell r="E102">
            <v>903</v>
          </cell>
          <cell r="F102">
            <v>1500</v>
          </cell>
          <cell r="G102">
            <v>930</v>
          </cell>
          <cell r="H102">
            <v>1500</v>
          </cell>
          <cell r="L102">
            <v>1500</v>
          </cell>
        </row>
        <row r="103">
          <cell r="A103">
            <v>253</v>
          </cell>
          <cell r="B103" t="str">
            <v>접지용전선</v>
          </cell>
          <cell r="C103" t="str">
            <v>GV 14㎟</v>
          </cell>
          <cell r="D103" t="str">
            <v>m</v>
          </cell>
          <cell r="E103">
            <v>811</v>
          </cell>
          <cell r="F103">
            <v>946</v>
          </cell>
          <cell r="G103">
            <v>843</v>
          </cell>
          <cell r="H103">
            <v>928</v>
          </cell>
          <cell r="L103">
            <v>928</v>
          </cell>
        </row>
        <row r="104">
          <cell r="A104">
            <v>254</v>
          </cell>
          <cell r="B104" t="str">
            <v>접지용전선</v>
          </cell>
          <cell r="C104" t="str">
            <v>GV 22㎟</v>
          </cell>
          <cell r="D104" t="str">
            <v>m</v>
          </cell>
          <cell r="E104">
            <v>811</v>
          </cell>
          <cell r="F104">
            <v>1313</v>
          </cell>
          <cell r="G104">
            <v>843</v>
          </cell>
          <cell r="H104">
            <v>1288</v>
          </cell>
          <cell r="L104">
            <v>1288</v>
          </cell>
        </row>
        <row r="105">
          <cell r="A105">
            <v>259</v>
          </cell>
          <cell r="B105" t="str">
            <v>접지저항저감제</v>
          </cell>
          <cell r="C105" t="str">
            <v>통신접지용(10㎏)</v>
          </cell>
          <cell r="D105" t="str">
            <v>포</v>
          </cell>
          <cell r="E105">
            <v>903</v>
          </cell>
          <cell r="F105">
            <v>25000</v>
          </cell>
          <cell r="G105">
            <v>930</v>
          </cell>
          <cell r="H105">
            <v>25000</v>
          </cell>
          <cell r="L105">
            <v>25000</v>
          </cell>
        </row>
        <row r="106">
          <cell r="A106">
            <v>260</v>
          </cell>
          <cell r="B106" t="str">
            <v>접착제</v>
          </cell>
          <cell r="D106" t="str">
            <v>g</v>
          </cell>
          <cell r="E106">
            <v>129</v>
          </cell>
          <cell r="F106">
            <v>11</v>
          </cell>
          <cell r="L106">
            <v>11</v>
          </cell>
        </row>
        <row r="107">
          <cell r="A107">
            <v>263</v>
          </cell>
          <cell r="B107" t="str">
            <v>정류기 유니트</v>
          </cell>
          <cell r="C107" t="str">
            <v>REC-U</v>
          </cell>
          <cell r="D107" t="str">
            <v>대</v>
          </cell>
          <cell r="L107">
            <v>0</v>
          </cell>
          <cell r="M107" t="str">
            <v>관 급</v>
          </cell>
        </row>
        <row r="108">
          <cell r="A108">
            <v>264</v>
          </cell>
          <cell r="B108" t="str">
            <v>정류기샐프</v>
          </cell>
          <cell r="C108" t="str">
            <v>REC-SH</v>
          </cell>
          <cell r="D108" t="str">
            <v>대</v>
          </cell>
          <cell r="L108">
            <v>0</v>
          </cell>
          <cell r="M108" t="str">
            <v>관 급</v>
          </cell>
        </row>
        <row r="109">
          <cell r="A109">
            <v>265</v>
          </cell>
          <cell r="B109" t="str">
            <v>제어반</v>
          </cell>
          <cell r="C109" t="str">
            <v>PNC</v>
          </cell>
          <cell r="D109" t="str">
            <v>대</v>
          </cell>
          <cell r="L109">
            <v>0</v>
          </cell>
          <cell r="M109" t="str">
            <v>관 급</v>
          </cell>
        </row>
        <row r="110">
          <cell r="A110">
            <v>279</v>
          </cell>
          <cell r="B110" t="str">
            <v>젤리세척제</v>
          </cell>
          <cell r="D110" t="str">
            <v>ℓ</v>
          </cell>
          <cell r="G110">
            <v>958</v>
          </cell>
          <cell r="H110">
            <v>8000</v>
          </cell>
          <cell r="L110">
            <v>8000</v>
          </cell>
        </row>
        <row r="111">
          <cell r="A111">
            <v>281</v>
          </cell>
          <cell r="B111" t="str">
            <v>조합페인트</v>
          </cell>
          <cell r="C111" t="str">
            <v>황색</v>
          </cell>
          <cell r="D111" t="str">
            <v>ℓ</v>
          </cell>
          <cell r="E111">
            <v>397</v>
          </cell>
          <cell r="F111">
            <v>3265</v>
          </cell>
          <cell r="G111">
            <v>276</v>
          </cell>
          <cell r="H111">
            <v>4753</v>
          </cell>
          <cell r="L111">
            <v>3265</v>
          </cell>
        </row>
        <row r="112">
          <cell r="A112">
            <v>284</v>
          </cell>
          <cell r="B112" t="str">
            <v>조합페인트</v>
          </cell>
          <cell r="C112" t="str">
            <v>청색</v>
          </cell>
          <cell r="D112" t="str">
            <v>ℓ</v>
          </cell>
          <cell r="E112">
            <v>412</v>
          </cell>
          <cell r="F112">
            <v>2786</v>
          </cell>
          <cell r="G112">
            <v>277</v>
          </cell>
          <cell r="H112">
            <v>2786</v>
          </cell>
          <cell r="L112">
            <v>2786</v>
          </cell>
        </row>
        <row r="113">
          <cell r="A113">
            <v>285</v>
          </cell>
          <cell r="B113" t="str">
            <v>종단저항</v>
          </cell>
          <cell r="C113" t="str">
            <v>50Ω</v>
          </cell>
          <cell r="D113" t="str">
            <v>개</v>
          </cell>
          <cell r="E113">
            <v>973</v>
          </cell>
          <cell r="F113">
            <v>100000</v>
          </cell>
          <cell r="G113">
            <v>963</v>
          </cell>
          <cell r="H113">
            <v>96000</v>
          </cell>
          <cell r="K113">
            <v>90000</v>
          </cell>
          <cell r="L113">
            <v>90000</v>
          </cell>
        </row>
        <row r="114">
          <cell r="A114">
            <v>294</v>
          </cell>
          <cell r="B114" t="str">
            <v>직통전화기</v>
          </cell>
          <cell r="C114" t="str">
            <v>주파수식</v>
          </cell>
          <cell r="D114" t="str">
            <v>대</v>
          </cell>
          <cell r="L114">
            <v>0</v>
          </cell>
          <cell r="M114" t="str">
            <v>관 급</v>
          </cell>
        </row>
        <row r="115">
          <cell r="A115">
            <v>295</v>
          </cell>
          <cell r="B115" t="str">
            <v>철못</v>
          </cell>
          <cell r="C115" t="str">
            <v>50mm</v>
          </cell>
          <cell r="D115" t="str">
            <v>㎏</v>
          </cell>
          <cell r="E115">
            <v>69</v>
          </cell>
          <cell r="F115">
            <v>800</v>
          </cell>
          <cell r="G115">
            <v>70</v>
          </cell>
          <cell r="H115">
            <v>608</v>
          </cell>
          <cell r="L115">
            <v>608</v>
          </cell>
        </row>
        <row r="116">
          <cell r="A116">
            <v>296</v>
          </cell>
          <cell r="B116" t="str">
            <v>축전지</v>
          </cell>
          <cell r="C116" t="str">
            <v>48V 150AH</v>
          </cell>
          <cell r="D116" t="str">
            <v>조</v>
          </cell>
          <cell r="L116">
            <v>0</v>
          </cell>
          <cell r="M116" t="str">
            <v>관 급</v>
          </cell>
        </row>
        <row r="117">
          <cell r="A117">
            <v>298</v>
          </cell>
          <cell r="B117" t="str">
            <v>출발표시기</v>
          </cell>
          <cell r="D117" t="str">
            <v>대</v>
          </cell>
          <cell r="L117">
            <v>0</v>
          </cell>
          <cell r="M117" t="str">
            <v>관 급</v>
          </cell>
        </row>
        <row r="118">
          <cell r="A118">
            <v>303</v>
          </cell>
          <cell r="B118" t="str">
            <v>케이블걸이쇠</v>
          </cell>
          <cell r="C118" t="str">
            <v>3조</v>
          </cell>
          <cell r="D118" t="str">
            <v>개</v>
          </cell>
          <cell r="E118">
            <v>924</v>
          </cell>
          <cell r="F118">
            <v>1850</v>
          </cell>
          <cell r="G118">
            <v>957</v>
          </cell>
          <cell r="H118">
            <v>1850</v>
          </cell>
          <cell r="L118">
            <v>1850</v>
          </cell>
        </row>
        <row r="119">
          <cell r="A119">
            <v>307</v>
          </cell>
          <cell r="B119" t="str">
            <v>케이블받침대</v>
          </cell>
          <cell r="C119" t="str">
            <v>75x40x5x550</v>
          </cell>
          <cell r="D119" t="str">
            <v>개</v>
          </cell>
          <cell r="E119">
            <v>924</v>
          </cell>
          <cell r="F119">
            <v>5500</v>
          </cell>
          <cell r="G119">
            <v>957</v>
          </cell>
          <cell r="H119">
            <v>5500</v>
          </cell>
          <cell r="L119">
            <v>5500</v>
          </cell>
        </row>
        <row r="120">
          <cell r="A120">
            <v>308</v>
          </cell>
          <cell r="B120" t="str">
            <v>케이블심선접속자</v>
          </cell>
          <cell r="C120" t="str">
            <v>0.4-0.9(ULG)</v>
          </cell>
          <cell r="D120" t="str">
            <v>개</v>
          </cell>
          <cell r="E120">
            <v>833</v>
          </cell>
          <cell r="F120">
            <v>170</v>
          </cell>
          <cell r="G120">
            <v>865</v>
          </cell>
          <cell r="H120">
            <v>2800</v>
          </cell>
          <cell r="L120">
            <v>170</v>
          </cell>
        </row>
        <row r="121">
          <cell r="A121">
            <v>309</v>
          </cell>
          <cell r="B121" t="str">
            <v>케이블접속제</v>
          </cell>
          <cell r="C121" t="str">
            <v>75-300</v>
          </cell>
          <cell r="D121" t="str">
            <v>KIT</v>
          </cell>
          <cell r="L121">
            <v>0</v>
          </cell>
          <cell r="M121" t="str">
            <v>관 급</v>
          </cell>
        </row>
        <row r="122">
          <cell r="A122">
            <v>310</v>
          </cell>
          <cell r="B122" t="str">
            <v>케이블접속제</v>
          </cell>
          <cell r="C122" t="str">
            <v>75-600</v>
          </cell>
          <cell r="D122" t="str">
            <v>KIT</v>
          </cell>
          <cell r="L122">
            <v>0</v>
          </cell>
          <cell r="M122" t="str">
            <v>관 급</v>
          </cell>
        </row>
        <row r="123">
          <cell r="A123">
            <v>311</v>
          </cell>
          <cell r="B123" t="str">
            <v>켑타이어케이블</v>
          </cell>
          <cell r="C123" t="str">
            <v>CTC 2P</v>
          </cell>
          <cell r="D123" t="str">
            <v>m</v>
          </cell>
          <cell r="L123">
            <v>0</v>
          </cell>
          <cell r="M123" t="str">
            <v>관 급</v>
          </cell>
        </row>
        <row r="124">
          <cell r="A124">
            <v>320</v>
          </cell>
          <cell r="B124" t="str">
            <v>토크백자장치</v>
          </cell>
          <cell r="C124" t="str">
            <v>옥내용(3W)</v>
          </cell>
          <cell r="D124" t="str">
            <v>대</v>
          </cell>
          <cell r="K124">
            <v>350000</v>
          </cell>
          <cell r="L124">
            <v>350000</v>
          </cell>
        </row>
        <row r="125">
          <cell r="A125">
            <v>322</v>
          </cell>
          <cell r="B125" t="str">
            <v>통신용멘홀</v>
          </cell>
          <cell r="C125" t="str">
            <v>수공철개</v>
          </cell>
          <cell r="D125" t="str">
            <v>조</v>
          </cell>
          <cell r="E125">
            <v>178</v>
          </cell>
          <cell r="F125">
            <v>250000</v>
          </cell>
          <cell r="G125">
            <v>161</v>
          </cell>
          <cell r="H125">
            <v>250000</v>
          </cell>
          <cell r="L125">
            <v>250000</v>
          </cell>
        </row>
        <row r="126">
          <cell r="A126">
            <v>337</v>
          </cell>
          <cell r="B126" t="str">
            <v>팩시밀리</v>
          </cell>
          <cell r="C126" t="str">
            <v xml:space="preserve"> GⅢ</v>
          </cell>
          <cell r="D126" t="str">
            <v>대</v>
          </cell>
          <cell r="L126">
            <v>0</v>
          </cell>
          <cell r="M126" t="str">
            <v>관 급</v>
          </cell>
        </row>
        <row r="127">
          <cell r="A127">
            <v>338</v>
          </cell>
          <cell r="B127" t="str">
            <v>퍼티</v>
          </cell>
          <cell r="C127" t="str">
            <v>회색</v>
          </cell>
          <cell r="D127" t="str">
            <v>ℓ</v>
          </cell>
          <cell r="E127">
            <v>418</v>
          </cell>
          <cell r="F127">
            <v>2143</v>
          </cell>
          <cell r="G127">
            <v>280</v>
          </cell>
          <cell r="H127">
            <v>1764</v>
          </cell>
          <cell r="L127">
            <v>1764</v>
          </cell>
        </row>
        <row r="128">
          <cell r="A128">
            <v>339</v>
          </cell>
          <cell r="B128" t="str">
            <v>평와샤</v>
          </cell>
          <cell r="C128" t="str">
            <v>M12</v>
          </cell>
          <cell r="D128" t="str">
            <v>개</v>
          </cell>
          <cell r="E128">
            <v>97</v>
          </cell>
          <cell r="F128">
            <v>5.4</v>
          </cell>
          <cell r="G128">
            <v>80</v>
          </cell>
          <cell r="H128">
            <v>35</v>
          </cell>
          <cell r="L128">
            <v>5.4</v>
          </cell>
        </row>
        <row r="129">
          <cell r="A129">
            <v>340</v>
          </cell>
          <cell r="B129" t="str">
            <v>평와샤</v>
          </cell>
          <cell r="C129" t="str">
            <v>M16</v>
          </cell>
          <cell r="D129" t="str">
            <v>개</v>
          </cell>
          <cell r="E129">
            <v>97</v>
          </cell>
          <cell r="F129">
            <v>9.9</v>
          </cell>
          <cell r="G129">
            <v>79</v>
          </cell>
          <cell r="H129">
            <v>27</v>
          </cell>
          <cell r="L129">
            <v>9.9</v>
          </cell>
        </row>
        <row r="130">
          <cell r="A130">
            <v>344</v>
          </cell>
          <cell r="B130" t="str">
            <v>표주(콘크리트제)</v>
          </cell>
          <cell r="C130" t="str">
            <v>100x100x500mm</v>
          </cell>
          <cell r="D130" t="str">
            <v>본</v>
          </cell>
          <cell r="K130">
            <v>6000</v>
          </cell>
          <cell r="L130">
            <v>6000</v>
          </cell>
        </row>
        <row r="131">
          <cell r="A131">
            <v>346</v>
          </cell>
          <cell r="B131" t="str">
            <v>풀박스</v>
          </cell>
          <cell r="C131" t="str">
            <v>200x200x100</v>
          </cell>
          <cell r="D131" t="str">
            <v>개</v>
          </cell>
          <cell r="E131">
            <v>825</v>
          </cell>
          <cell r="F131">
            <v>3647</v>
          </cell>
          <cell r="G131">
            <v>883</v>
          </cell>
          <cell r="H131">
            <v>3420</v>
          </cell>
          <cell r="I131">
            <v>386</v>
          </cell>
          <cell r="J131">
            <v>35740</v>
          </cell>
          <cell r="L131">
            <v>3420</v>
          </cell>
        </row>
        <row r="132">
          <cell r="A132">
            <v>352</v>
          </cell>
          <cell r="B132" t="str">
            <v>항온항습기</v>
          </cell>
          <cell r="C132" t="str">
            <v>5HP</v>
          </cell>
          <cell r="D132" t="str">
            <v>대</v>
          </cell>
          <cell r="E132">
            <v>682</v>
          </cell>
          <cell r="F132">
            <v>8200000</v>
          </cell>
          <cell r="G132">
            <v>636</v>
          </cell>
          <cell r="H132">
            <v>8480000</v>
          </cell>
          <cell r="L132">
            <v>8200000</v>
          </cell>
        </row>
        <row r="133">
          <cell r="A133">
            <v>360</v>
          </cell>
          <cell r="B133" t="str">
            <v>후강전선관</v>
          </cell>
          <cell r="C133" t="str">
            <v>아연도Φ28mm</v>
          </cell>
          <cell r="D133" t="str">
            <v>m</v>
          </cell>
          <cell r="E133">
            <v>820</v>
          </cell>
          <cell r="F133">
            <v>1825</v>
          </cell>
          <cell r="G133">
            <v>866</v>
          </cell>
          <cell r="H133">
            <v>1785</v>
          </cell>
          <cell r="I133">
            <v>389</v>
          </cell>
          <cell r="J133">
            <v>1440</v>
          </cell>
          <cell r="L133">
            <v>1440</v>
          </cell>
        </row>
        <row r="134">
          <cell r="A134">
            <v>362</v>
          </cell>
          <cell r="B134" t="str">
            <v>후강전선관</v>
          </cell>
          <cell r="C134" t="str">
            <v>아연도Φ42mm</v>
          </cell>
          <cell r="D134" t="str">
            <v>m</v>
          </cell>
          <cell r="E134">
            <v>820</v>
          </cell>
          <cell r="F134">
            <v>2224</v>
          </cell>
          <cell r="G134">
            <v>866</v>
          </cell>
          <cell r="H134">
            <v>2171</v>
          </cell>
          <cell r="I134">
            <v>389</v>
          </cell>
          <cell r="J134">
            <v>2048</v>
          </cell>
          <cell r="L134">
            <v>2048</v>
          </cell>
        </row>
        <row r="135">
          <cell r="A135">
            <v>363</v>
          </cell>
          <cell r="B135" t="str">
            <v>후강전선관</v>
          </cell>
          <cell r="C135" t="str">
            <v>아연도Φ54mm</v>
          </cell>
          <cell r="D135" t="str">
            <v>m</v>
          </cell>
          <cell r="E135">
            <v>820</v>
          </cell>
          <cell r="F135">
            <v>3600</v>
          </cell>
          <cell r="G135">
            <v>866</v>
          </cell>
          <cell r="H135">
            <v>3724</v>
          </cell>
          <cell r="I135">
            <v>389</v>
          </cell>
          <cell r="J135">
            <v>2856</v>
          </cell>
          <cell r="L135">
            <v>2856</v>
          </cell>
        </row>
        <row r="136">
          <cell r="A136">
            <v>369</v>
          </cell>
          <cell r="B136" t="str">
            <v>후렉시블전선관</v>
          </cell>
          <cell r="C136" t="str">
            <v>22C</v>
          </cell>
          <cell r="D136" t="str">
            <v>m</v>
          </cell>
          <cell r="G136">
            <v>869</v>
          </cell>
          <cell r="H136">
            <v>2640</v>
          </cell>
          <cell r="L136">
            <v>2640</v>
          </cell>
        </row>
        <row r="137">
          <cell r="A137">
            <v>371</v>
          </cell>
          <cell r="B137" t="str">
            <v>ANT</v>
          </cell>
          <cell r="C137" t="str">
            <v>G.P</v>
          </cell>
          <cell r="D137" t="str">
            <v>기</v>
          </cell>
          <cell r="L137">
            <v>0</v>
          </cell>
          <cell r="M137" t="str">
            <v>관 급</v>
          </cell>
        </row>
        <row r="138">
          <cell r="A138">
            <v>374</v>
          </cell>
          <cell r="B138" t="str">
            <v>BLACKET</v>
          </cell>
          <cell r="C138" t="str">
            <v>DEAD-END</v>
          </cell>
          <cell r="D138" t="str">
            <v>개</v>
          </cell>
          <cell r="G138">
            <v>963</v>
          </cell>
          <cell r="H138">
            <v>15000</v>
          </cell>
          <cell r="K138">
            <v>40000</v>
          </cell>
          <cell r="L138">
            <v>15000</v>
          </cell>
        </row>
        <row r="139">
          <cell r="A139">
            <v>375</v>
          </cell>
          <cell r="B139" t="str">
            <v>BLACKET</v>
          </cell>
          <cell r="C139" t="str">
            <v>STRAIN</v>
          </cell>
          <cell r="D139" t="str">
            <v>개</v>
          </cell>
          <cell r="K139">
            <v>45000</v>
          </cell>
          <cell r="L139">
            <v>45000</v>
          </cell>
        </row>
        <row r="140">
          <cell r="A140">
            <v>382</v>
          </cell>
          <cell r="B140" t="str">
            <v>CABLE접속방호함</v>
          </cell>
          <cell r="C140" t="str">
            <v>분기</v>
          </cell>
          <cell r="D140" t="str">
            <v>개</v>
          </cell>
          <cell r="K140">
            <v>1350000</v>
          </cell>
          <cell r="L140">
            <v>1350000</v>
          </cell>
        </row>
        <row r="141">
          <cell r="A141">
            <v>383</v>
          </cell>
          <cell r="B141" t="str">
            <v>CABLE접속방호함</v>
          </cell>
          <cell r="C141" t="str">
            <v>직선</v>
          </cell>
          <cell r="D141" t="str">
            <v>개</v>
          </cell>
          <cell r="K141">
            <v>1350000</v>
          </cell>
          <cell r="L141">
            <v>1350000</v>
          </cell>
        </row>
        <row r="142">
          <cell r="A142">
            <v>392</v>
          </cell>
          <cell r="B142" t="str">
            <v>ECX 케이블</v>
          </cell>
          <cell r="C142" t="str">
            <v>ECX 10D-2V</v>
          </cell>
          <cell r="D142" t="str">
            <v>m</v>
          </cell>
          <cell r="G142">
            <v>963</v>
          </cell>
          <cell r="H142">
            <v>5000</v>
          </cell>
          <cell r="L142">
            <v>5000</v>
          </cell>
        </row>
        <row r="143">
          <cell r="A143">
            <v>393</v>
          </cell>
          <cell r="B143" t="str">
            <v>ELP전선관</v>
          </cell>
          <cell r="C143" t="str">
            <v>Φ50</v>
          </cell>
          <cell r="D143" t="str">
            <v>m</v>
          </cell>
          <cell r="E143">
            <v>840</v>
          </cell>
          <cell r="F143">
            <v>860</v>
          </cell>
          <cell r="G143">
            <v>867</v>
          </cell>
          <cell r="H143">
            <v>560</v>
          </cell>
          <cell r="L143">
            <v>560</v>
          </cell>
        </row>
        <row r="144">
          <cell r="A144">
            <v>396</v>
          </cell>
          <cell r="B144" t="str">
            <v>FC관</v>
          </cell>
          <cell r="C144" t="str">
            <v>Φ100mm</v>
          </cell>
          <cell r="D144" t="str">
            <v>m</v>
          </cell>
          <cell r="L144">
            <v>0</v>
          </cell>
          <cell r="M144" t="str">
            <v>관 급</v>
          </cell>
        </row>
        <row r="145">
          <cell r="A145">
            <v>397</v>
          </cell>
          <cell r="B145" t="str">
            <v>HFC 케이블</v>
          </cell>
          <cell r="C145" t="str">
            <v>HFC-22D</v>
          </cell>
          <cell r="D145" t="str">
            <v>m</v>
          </cell>
          <cell r="E145">
            <v>973</v>
          </cell>
          <cell r="F145">
            <v>13000</v>
          </cell>
          <cell r="G145">
            <v>963</v>
          </cell>
          <cell r="H145">
            <v>13000</v>
          </cell>
          <cell r="L145">
            <v>13000</v>
          </cell>
        </row>
        <row r="146">
          <cell r="A146">
            <v>398</v>
          </cell>
          <cell r="B146" t="str">
            <v>HILTI핀</v>
          </cell>
          <cell r="D146" t="str">
            <v>발</v>
          </cell>
          <cell r="E146">
            <v>1109</v>
          </cell>
          <cell r="F146">
            <v>240</v>
          </cell>
          <cell r="G146">
            <v>777</v>
          </cell>
          <cell r="H146">
            <v>240</v>
          </cell>
          <cell r="L146">
            <v>240</v>
          </cell>
        </row>
        <row r="147">
          <cell r="A147">
            <v>399</v>
          </cell>
          <cell r="B147" t="str">
            <v>HI-PVC</v>
          </cell>
          <cell r="C147" t="str">
            <v>Φ36㎜</v>
          </cell>
          <cell r="D147" t="str">
            <v>m</v>
          </cell>
          <cell r="E147">
            <v>839</v>
          </cell>
          <cell r="F147">
            <v>1138</v>
          </cell>
          <cell r="G147">
            <v>866</v>
          </cell>
          <cell r="H147">
            <v>877</v>
          </cell>
          <cell r="L147">
            <v>877</v>
          </cell>
        </row>
        <row r="148">
          <cell r="A148">
            <v>406</v>
          </cell>
          <cell r="B148" t="str">
            <v>LCX케이블</v>
          </cell>
          <cell r="C148" t="str">
            <v>LCX-42D-1486</v>
          </cell>
          <cell r="D148" t="str">
            <v>m</v>
          </cell>
          <cell r="L148">
            <v>0</v>
          </cell>
          <cell r="M148" t="str">
            <v>관 급</v>
          </cell>
        </row>
        <row r="149">
          <cell r="A149">
            <v>411</v>
          </cell>
          <cell r="B149" t="str">
            <v>OFD</v>
          </cell>
          <cell r="C149" t="str">
            <v>10Core</v>
          </cell>
          <cell r="D149" t="str">
            <v>대</v>
          </cell>
          <cell r="L149">
            <v>0</v>
          </cell>
          <cell r="M149" t="str">
            <v>관 급</v>
          </cell>
        </row>
        <row r="150">
          <cell r="A150">
            <v>412</v>
          </cell>
          <cell r="B150" t="str">
            <v>OFD</v>
          </cell>
          <cell r="C150" t="str">
            <v>8Core</v>
          </cell>
          <cell r="D150" t="str">
            <v>대</v>
          </cell>
          <cell r="L150">
            <v>0</v>
          </cell>
          <cell r="M150" t="str">
            <v>관 급</v>
          </cell>
        </row>
        <row r="151">
          <cell r="A151">
            <v>415</v>
          </cell>
          <cell r="B151" t="str">
            <v>PCM 국내케이블</v>
          </cell>
          <cell r="C151" t="str">
            <v>6P</v>
          </cell>
          <cell r="D151" t="str">
            <v>m</v>
          </cell>
          <cell r="I151">
            <v>415</v>
          </cell>
          <cell r="J151">
            <v>565</v>
          </cell>
          <cell r="L151">
            <v>565</v>
          </cell>
        </row>
        <row r="152">
          <cell r="A152">
            <v>416</v>
          </cell>
          <cell r="B152" t="str">
            <v>PE전선관</v>
          </cell>
          <cell r="C152" t="str">
            <v>Φ28mm</v>
          </cell>
          <cell r="D152" t="str">
            <v>m</v>
          </cell>
          <cell r="L152">
            <v>0</v>
          </cell>
          <cell r="M152" t="str">
            <v>관 급</v>
          </cell>
        </row>
        <row r="153">
          <cell r="A153">
            <v>420</v>
          </cell>
          <cell r="B153" t="str">
            <v>PP로프</v>
          </cell>
          <cell r="C153" t="str">
            <v>4mm</v>
          </cell>
          <cell r="D153" t="str">
            <v>m</v>
          </cell>
          <cell r="E153">
            <v>1150</v>
          </cell>
          <cell r="F153">
            <v>111</v>
          </cell>
          <cell r="L153">
            <v>111</v>
          </cell>
        </row>
        <row r="154">
          <cell r="A154">
            <v>421</v>
          </cell>
          <cell r="B154" t="str">
            <v>PP헌마대</v>
          </cell>
          <cell r="C154" t="str">
            <v>60x100</v>
          </cell>
          <cell r="D154" t="str">
            <v>개</v>
          </cell>
          <cell r="E154">
            <v>1176</v>
          </cell>
          <cell r="F154">
            <v>160</v>
          </cell>
          <cell r="L154">
            <v>160</v>
          </cell>
        </row>
        <row r="155">
          <cell r="A155">
            <v>422</v>
          </cell>
          <cell r="B155" t="str">
            <v>PVC 전선관</v>
          </cell>
          <cell r="C155" t="str">
            <v>Φ36mm</v>
          </cell>
          <cell r="D155" t="str">
            <v>m</v>
          </cell>
          <cell r="E155">
            <v>839</v>
          </cell>
          <cell r="F155">
            <v>3239</v>
          </cell>
          <cell r="G155">
            <v>850</v>
          </cell>
          <cell r="H155">
            <v>2772</v>
          </cell>
          <cell r="L155">
            <v>2772</v>
          </cell>
        </row>
        <row r="156">
          <cell r="A156">
            <v>426</v>
          </cell>
          <cell r="B156" t="str">
            <v>SUSPENSION CLAMP</v>
          </cell>
          <cell r="C156" t="str">
            <v>고정용</v>
          </cell>
          <cell r="D156" t="str">
            <v>개</v>
          </cell>
          <cell r="G156">
            <v>963</v>
          </cell>
          <cell r="H156">
            <v>4000</v>
          </cell>
          <cell r="L156">
            <v>4000</v>
          </cell>
        </row>
        <row r="157">
          <cell r="A157">
            <v>428</v>
          </cell>
          <cell r="B157" t="str">
            <v>TALK-BACK</v>
          </cell>
          <cell r="C157" t="str">
            <v>TR30W, 12회로</v>
          </cell>
          <cell r="D157" t="str">
            <v>대</v>
          </cell>
          <cell r="K157">
            <v>5600000</v>
          </cell>
          <cell r="L157">
            <v>5600000</v>
          </cell>
        </row>
        <row r="158">
          <cell r="A158">
            <v>429</v>
          </cell>
          <cell r="B158" t="str">
            <v>TALK-BACK</v>
          </cell>
          <cell r="C158" t="str">
            <v>TR30W, 24회로</v>
          </cell>
          <cell r="D158" t="str">
            <v>대</v>
          </cell>
          <cell r="K158">
            <v>6500000</v>
          </cell>
          <cell r="L158">
            <v>6500000</v>
          </cell>
        </row>
        <row r="159">
          <cell r="A159">
            <v>433</v>
          </cell>
          <cell r="B159" t="str">
            <v>TROUGH</v>
          </cell>
          <cell r="C159" t="str">
            <v>200x170x500</v>
          </cell>
          <cell r="D159" t="str">
            <v>조</v>
          </cell>
          <cell r="E159">
            <v>843</v>
          </cell>
          <cell r="F159">
            <v>1078</v>
          </cell>
          <cell r="L159">
            <v>1078</v>
          </cell>
        </row>
        <row r="160">
          <cell r="A160">
            <v>449</v>
          </cell>
          <cell r="B160" t="str">
            <v>아스팔트콘크리트</v>
          </cell>
          <cell r="C160" t="str">
            <v>#467</v>
          </cell>
          <cell r="D160" t="str">
            <v>ton</v>
          </cell>
          <cell r="E160">
            <v>154</v>
          </cell>
          <cell r="F160">
            <v>28500</v>
          </cell>
          <cell r="G160">
            <v>150</v>
          </cell>
          <cell r="H160">
            <v>30000</v>
          </cell>
          <cell r="L160">
            <v>28500</v>
          </cell>
        </row>
        <row r="161">
          <cell r="A161">
            <v>450</v>
          </cell>
          <cell r="B161" t="str">
            <v>아스팔트콘크리트</v>
          </cell>
          <cell r="C161" t="str">
            <v>#78</v>
          </cell>
          <cell r="D161" t="str">
            <v>ton</v>
          </cell>
          <cell r="E161">
            <v>154</v>
          </cell>
          <cell r="F161">
            <v>33550</v>
          </cell>
          <cell r="G161">
            <v>150</v>
          </cell>
          <cell r="H161">
            <v>35500</v>
          </cell>
          <cell r="L161">
            <v>33550</v>
          </cell>
        </row>
        <row r="162">
          <cell r="A162">
            <v>451</v>
          </cell>
          <cell r="B162" t="str">
            <v>보도블럭</v>
          </cell>
          <cell r="C162" t="str">
            <v>30x30x6㎝</v>
          </cell>
          <cell r="D162" t="str">
            <v>개</v>
          </cell>
          <cell r="E162">
            <v>156</v>
          </cell>
          <cell r="F162">
            <v>650</v>
          </cell>
          <cell r="G162">
            <v>155</v>
          </cell>
          <cell r="H162">
            <v>700</v>
          </cell>
          <cell r="L162">
            <v>650</v>
          </cell>
        </row>
        <row r="163">
          <cell r="A163">
            <v>452</v>
          </cell>
          <cell r="B163" t="str">
            <v>밴드</v>
          </cell>
          <cell r="C163" t="str">
            <v>115㎜</v>
          </cell>
          <cell r="D163" t="str">
            <v>m</v>
          </cell>
          <cell r="K163">
            <v>800</v>
          </cell>
          <cell r="L163">
            <v>800</v>
          </cell>
        </row>
        <row r="164">
          <cell r="A164">
            <v>454</v>
          </cell>
          <cell r="B164" t="str">
            <v>광분배함</v>
          </cell>
          <cell r="C164" t="str">
            <v>4Core</v>
          </cell>
          <cell r="D164" t="str">
            <v>대</v>
          </cell>
          <cell r="L164">
            <v>0</v>
          </cell>
          <cell r="M164" t="str">
            <v>관 급</v>
          </cell>
        </row>
        <row r="165">
          <cell r="A165">
            <v>455</v>
          </cell>
          <cell r="B165" t="str">
            <v>광접속함체</v>
          </cell>
          <cell r="C165" t="str">
            <v>36Core</v>
          </cell>
          <cell r="D165" t="str">
            <v>조</v>
          </cell>
          <cell r="L165">
            <v>0</v>
          </cell>
          <cell r="M165" t="str">
            <v>관 급</v>
          </cell>
        </row>
        <row r="166">
          <cell r="A166">
            <v>456</v>
          </cell>
          <cell r="B166" t="str">
            <v>광케이블</v>
          </cell>
          <cell r="C166" t="str">
            <v>OF-SM-8Core</v>
          </cell>
          <cell r="D166" t="str">
            <v>m</v>
          </cell>
          <cell r="L166">
            <v>0</v>
          </cell>
          <cell r="M166" t="str">
            <v>관 급</v>
          </cell>
        </row>
        <row r="167">
          <cell r="A167">
            <v>460</v>
          </cell>
          <cell r="B167" t="str">
            <v>나연동선</v>
          </cell>
          <cell r="C167" t="str">
            <v>50㎟</v>
          </cell>
          <cell r="D167" t="str">
            <v>m</v>
          </cell>
          <cell r="E167">
            <v>808</v>
          </cell>
          <cell r="F167">
            <v>2362</v>
          </cell>
          <cell r="L167">
            <v>2362</v>
          </cell>
        </row>
        <row r="168">
          <cell r="A168">
            <v>461</v>
          </cell>
          <cell r="B168" t="str">
            <v>PCM 국내케이블</v>
          </cell>
          <cell r="C168" t="str">
            <v>12P</v>
          </cell>
          <cell r="D168" t="str">
            <v>m</v>
          </cell>
          <cell r="I168">
            <v>415</v>
          </cell>
          <cell r="J168">
            <v>810</v>
          </cell>
          <cell r="L168">
            <v>810</v>
          </cell>
        </row>
        <row r="169">
          <cell r="A169">
            <v>462</v>
          </cell>
          <cell r="B169" t="str">
            <v>PCM 국내케이블</v>
          </cell>
          <cell r="C169" t="str">
            <v>16P</v>
          </cell>
          <cell r="D169" t="str">
            <v>m</v>
          </cell>
          <cell r="I169">
            <v>415</v>
          </cell>
          <cell r="J169">
            <v>1013</v>
          </cell>
          <cell r="L169">
            <v>1013</v>
          </cell>
        </row>
        <row r="170">
          <cell r="A170">
            <v>463</v>
          </cell>
          <cell r="B170" t="str">
            <v>전원케이블</v>
          </cell>
          <cell r="C170" t="str">
            <v>CV 3Cx22㎟</v>
          </cell>
          <cell r="D170" t="str">
            <v>m</v>
          </cell>
          <cell r="E170">
            <v>814</v>
          </cell>
          <cell r="F170">
            <v>3314</v>
          </cell>
          <cell r="G170">
            <v>851</v>
          </cell>
          <cell r="H170">
            <v>2766</v>
          </cell>
          <cell r="L170">
            <v>2766</v>
          </cell>
        </row>
        <row r="171">
          <cell r="A171">
            <v>464</v>
          </cell>
          <cell r="B171" t="str">
            <v>TALK-BACK</v>
          </cell>
          <cell r="C171" t="str">
            <v>자장치</v>
          </cell>
          <cell r="D171" t="str">
            <v>SET</v>
          </cell>
          <cell r="K171">
            <v>400000</v>
          </cell>
          <cell r="L171">
            <v>400000</v>
          </cell>
        </row>
        <row r="172">
          <cell r="A172">
            <v>465</v>
          </cell>
          <cell r="B172" t="str">
            <v>트라프</v>
          </cell>
          <cell r="D172" t="str">
            <v>m</v>
          </cell>
          <cell r="E172">
            <v>828</v>
          </cell>
          <cell r="F172">
            <v>15220</v>
          </cell>
          <cell r="G172">
            <v>865</v>
          </cell>
          <cell r="H172">
            <v>14280</v>
          </cell>
          <cell r="L172">
            <v>14280</v>
          </cell>
        </row>
        <row r="173">
          <cell r="A173">
            <v>466</v>
          </cell>
          <cell r="B173" t="str">
            <v>사령운용장치</v>
          </cell>
          <cell r="D173" t="str">
            <v>대</v>
          </cell>
          <cell r="L173">
            <v>0</v>
          </cell>
          <cell r="M173" t="str">
            <v>관 급</v>
          </cell>
        </row>
        <row r="174">
          <cell r="A174">
            <v>467</v>
          </cell>
          <cell r="B174" t="str">
            <v>VIDEO ENCODER</v>
          </cell>
          <cell r="C174" t="str">
            <v>E1급</v>
          </cell>
          <cell r="D174" t="str">
            <v>대</v>
          </cell>
          <cell r="K174">
            <v>40000000</v>
          </cell>
          <cell r="L174">
            <v>40000000</v>
          </cell>
        </row>
        <row r="175">
          <cell r="A175">
            <v>468</v>
          </cell>
          <cell r="B175" t="str">
            <v>중계선용카드</v>
          </cell>
          <cell r="C175" t="str">
            <v>E1</v>
          </cell>
          <cell r="D175" t="str">
            <v>매</v>
          </cell>
          <cell r="L175">
            <v>0</v>
          </cell>
          <cell r="M175" t="str">
            <v>관 급</v>
          </cell>
        </row>
        <row r="176">
          <cell r="A176">
            <v>469</v>
          </cell>
          <cell r="B176" t="str">
            <v>가입자 회선카드</v>
          </cell>
          <cell r="C176" t="str">
            <v>2W</v>
          </cell>
          <cell r="D176" t="str">
            <v>매</v>
          </cell>
          <cell r="L176">
            <v>0</v>
          </cell>
          <cell r="M176" t="str">
            <v>관 급</v>
          </cell>
        </row>
        <row r="177">
          <cell r="A177">
            <v>470</v>
          </cell>
          <cell r="B177" t="str">
            <v>프로그램 수정</v>
          </cell>
          <cell r="D177" t="str">
            <v>개소</v>
          </cell>
          <cell r="L177">
            <v>0</v>
          </cell>
          <cell r="M177" t="str">
            <v>관 급</v>
          </cell>
        </row>
        <row r="178">
          <cell r="A178">
            <v>471</v>
          </cell>
          <cell r="B178" t="str">
            <v>E-MUX</v>
          </cell>
          <cell r="C178" t="str">
            <v>2E1</v>
          </cell>
          <cell r="D178" t="str">
            <v>대</v>
          </cell>
          <cell r="L178">
            <v>0</v>
          </cell>
          <cell r="M178" t="str">
            <v>관 급</v>
          </cell>
        </row>
        <row r="179">
          <cell r="A179">
            <v>474</v>
          </cell>
          <cell r="B179" t="str">
            <v>VIDEO DECODER</v>
          </cell>
          <cell r="C179" t="str">
            <v>E1급</v>
          </cell>
          <cell r="D179" t="str">
            <v>대</v>
          </cell>
          <cell r="K179">
            <v>40000000</v>
          </cell>
          <cell r="L179">
            <v>40000000</v>
          </cell>
        </row>
        <row r="180">
          <cell r="A180">
            <v>475</v>
          </cell>
          <cell r="B180" t="str">
            <v>써지보호기</v>
          </cell>
          <cell r="C180" t="str">
            <v>RF용</v>
          </cell>
          <cell r="D180" t="str">
            <v>개</v>
          </cell>
          <cell r="K180">
            <v>54450</v>
          </cell>
          <cell r="L180">
            <v>54450</v>
          </cell>
        </row>
        <row r="181">
          <cell r="A181">
            <v>476</v>
          </cell>
          <cell r="B181" t="str">
            <v>강판</v>
          </cell>
          <cell r="C181" t="str">
            <v>9t</v>
          </cell>
          <cell r="D181" t="str">
            <v>ton</v>
          </cell>
          <cell r="E181">
            <v>53</v>
          </cell>
          <cell r="F181">
            <v>358700</v>
          </cell>
          <cell r="G181">
            <v>50</v>
          </cell>
          <cell r="H181">
            <v>370000</v>
          </cell>
          <cell r="L181">
            <v>358700</v>
          </cell>
        </row>
        <row r="182">
          <cell r="A182">
            <v>477</v>
          </cell>
          <cell r="B182" t="str">
            <v>보조강판</v>
          </cell>
          <cell r="C182" t="str">
            <v>6t</v>
          </cell>
          <cell r="D182" t="str">
            <v>ton</v>
          </cell>
          <cell r="E182">
            <v>53</v>
          </cell>
          <cell r="F182">
            <v>381600</v>
          </cell>
          <cell r="G182">
            <v>50</v>
          </cell>
          <cell r="H182">
            <v>365000</v>
          </cell>
          <cell r="L182">
            <v>365000</v>
          </cell>
        </row>
        <row r="183">
          <cell r="A183">
            <v>478</v>
          </cell>
          <cell r="B183" t="str">
            <v>육각너트</v>
          </cell>
          <cell r="C183" t="str">
            <v>M16x32</v>
          </cell>
          <cell r="D183" t="str">
            <v>개</v>
          </cell>
          <cell r="G183">
            <v>73</v>
          </cell>
          <cell r="H183">
            <v>92</v>
          </cell>
          <cell r="L183">
            <v>92</v>
          </cell>
        </row>
        <row r="184">
          <cell r="A184">
            <v>479</v>
          </cell>
          <cell r="B184" t="str">
            <v>앙카볼트</v>
          </cell>
          <cell r="C184" t="str">
            <v>M16x350</v>
          </cell>
          <cell r="D184" t="str">
            <v>개</v>
          </cell>
          <cell r="G184">
            <v>76</v>
          </cell>
          <cell r="H184">
            <v>540</v>
          </cell>
          <cell r="L184">
            <v>540</v>
          </cell>
        </row>
        <row r="185">
          <cell r="A185">
            <v>480</v>
          </cell>
          <cell r="B185" t="str">
            <v>앙카볼트</v>
          </cell>
          <cell r="C185" t="str">
            <v>1/2x100</v>
          </cell>
          <cell r="D185" t="str">
            <v>개</v>
          </cell>
          <cell r="E185">
            <v>95</v>
          </cell>
          <cell r="F185">
            <v>150</v>
          </cell>
          <cell r="G185">
            <v>77</v>
          </cell>
          <cell r="H185">
            <v>140</v>
          </cell>
          <cell r="L185">
            <v>140</v>
          </cell>
        </row>
        <row r="186">
          <cell r="A186">
            <v>481</v>
          </cell>
          <cell r="B186" t="str">
            <v>분할핀</v>
          </cell>
          <cell r="C186" t="str">
            <v>25x25</v>
          </cell>
          <cell r="D186" t="str">
            <v>개</v>
          </cell>
          <cell r="E186">
            <v>1109</v>
          </cell>
          <cell r="F186">
            <v>240</v>
          </cell>
          <cell r="G186">
            <v>777</v>
          </cell>
          <cell r="H186">
            <v>240</v>
          </cell>
          <cell r="L186">
            <v>240</v>
          </cell>
        </row>
        <row r="187">
          <cell r="A187">
            <v>482</v>
          </cell>
          <cell r="B187" t="str">
            <v>운용자데스크</v>
          </cell>
          <cell r="C187" t="str">
            <v>1600x800x720</v>
          </cell>
          <cell r="D187" t="str">
            <v>개</v>
          </cell>
          <cell r="E187">
            <v>1168</v>
          </cell>
          <cell r="F187">
            <v>220000</v>
          </cell>
          <cell r="G187">
            <v>1033</v>
          </cell>
          <cell r="H187">
            <v>254000</v>
          </cell>
          <cell r="L187">
            <v>220000</v>
          </cell>
        </row>
        <row r="188">
          <cell r="A188">
            <v>483</v>
          </cell>
          <cell r="B188" t="str">
            <v>전원케이블</v>
          </cell>
          <cell r="C188" t="str">
            <v>CV 2C/8㎟</v>
          </cell>
          <cell r="D188" t="str">
            <v>m</v>
          </cell>
          <cell r="E188">
            <v>814</v>
          </cell>
          <cell r="F188">
            <v>1034</v>
          </cell>
          <cell r="G188">
            <v>851</v>
          </cell>
          <cell r="H188">
            <v>863</v>
          </cell>
          <cell r="L188">
            <v>863</v>
          </cell>
        </row>
        <row r="189">
          <cell r="A189">
            <v>484</v>
          </cell>
          <cell r="B189" t="str">
            <v>공포</v>
          </cell>
          <cell r="D189" t="str">
            <v>발</v>
          </cell>
          <cell r="E189">
            <v>1108</v>
          </cell>
          <cell r="F189">
            <v>115</v>
          </cell>
          <cell r="G189">
            <v>777</v>
          </cell>
          <cell r="H189">
            <v>115</v>
          </cell>
          <cell r="L189">
            <v>115</v>
          </cell>
        </row>
        <row r="190">
          <cell r="A190">
            <v>37</v>
          </cell>
          <cell r="B190" t="str">
            <v>광명단</v>
          </cell>
          <cell r="D190" t="str">
            <v>ℓ</v>
          </cell>
          <cell r="E190">
            <v>412</v>
          </cell>
          <cell r="F190">
            <v>4372</v>
          </cell>
          <cell r="G190">
            <v>279</v>
          </cell>
          <cell r="H190">
            <v>3439</v>
          </cell>
          <cell r="L190">
            <v>3439</v>
          </cell>
        </row>
        <row r="191">
          <cell r="A191">
            <v>485</v>
          </cell>
          <cell r="B191" t="str">
            <v>운용자단말기</v>
          </cell>
          <cell r="D191" t="str">
            <v>대</v>
          </cell>
          <cell r="L191">
            <v>0</v>
          </cell>
          <cell r="M191" t="str">
            <v>관 급</v>
          </cell>
        </row>
        <row r="192">
          <cell r="A192">
            <v>486</v>
          </cell>
          <cell r="B192" t="str">
            <v>보수자단말기</v>
          </cell>
          <cell r="D192" t="str">
            <v>대</v>
          </cell>
          <cell r="L192">
            <v>0</v>
          </cell>
          <cell r="M192" t="str">
            <v>관 급</v>
          </cell>
        </row>
        <row r="193">
          <cell r="A193">
            <v>487</v>
          </cell>
          <cell r="B193" t="str">
            <v>열차무선원격제어장치</v>
          </cell>
          <cell r="C193" t="str">
            <v>주장치</v>
          </cell>
          <cell r="D193" t="str">
            <v>대</v>
          </cell>
          <cell r="L193">
            <v>0</v>
          </cell>
          <cell r="M193" t="str">
            <v>관 급</v>
          </cell>
        </row>
        <row r="194">
          <cell r="A194">
            <v>488</v>
          </cell>
          <cell r="B194" t="str">
            <v>열차무선원격제어장치</v>
          </cell>
          <cell r="C194" t="str">
            <v>콘솔</v>
          </cell>
          <cell r="D194" t="str">
            <v>대</v>
          </cell>
          <cell r="L194">
            <v>0</v>
          </cell>
          <cell r="M194" t="str">
            <v>관 급</v>
          </cell>
        </row>
        <row r="195">
          <cell r="A195">
            <v>490</v>
          </cell>
          <cell r="B195" t="str">
            <v>유무선결합기</v>
          </cell>
          <cell r="C195" t="str">
            <v>역용</v>
          </cell>
          <cell r="D195" t="str">
            <v>대</v>
          </cell>
          <cell r="L195">
            <v>0</v>
          </cell>
          <cell r="M195" t="str">
            <v>관 급</v>
          </cell>
        </row>
        <row r="196">
          <cell r="A196">
            <v>491</v>
          </cell>
          <cell r="B196" t="str">
            <v>터널무선중계장치</v>
          </cell>
          <cell r="C196" t="str">
            <v>유무선결합기내장형</v>
          </cell>
          <cell r="D196" t="str">
            <v>대</v>
          </cell>
          <cell r="L196">
            <v>0</v>
          </cell>
          <cell r="M196" t="str">
            <v>관 급</v>
          </cell>
        </row>
        <row r="197">
          <cell r="A197">
            <v>492</v>
          </cell>
          <cell r="B197" t="str">
            <v>유무선결합기</v>
          </cell>
          <cell r="C197" t="str">
            <v>터널중계기용</v>
          </cell>
          <cell r="D197" t="str">
            <v>m</v>
          </cell>
          <cell r="L197">
            <v>0</v>
          </cell>
          <cell r="M197" t="str">
            <v>관 급</v>
          </cell>
        </row>
        <row r="198">
          <cell r="A198">
            <v>493</v>
          </cell>
          <cell r="B198" t="str">
            <v>홈표시기</v>
          </cell>
          <cell r="C198" t="str">
            <v>천정용</v>
          </cell>
          <cell r="D198" t="str">
            <v>대</v>
          </cell>
          <cell r="L198">
            <v>0</v>
          </cell>
          <cell r="M198" t="str">
            <v>관 급</v>
          </cell>
        </row>
        <row r="199">
          <cell r="A199">
            <v>494</v>
          </cell>
          <cell r="B199" t="str">
            <v>백관</v>
          </cell>
          <cell r="C199" t="str">
            <v>Φ60㎟</v>
          </cell>
          <cell r="D199" t="str">
            <v>m</v>
          </cell>
          <cell r="E199">
            <v>474</v>
          </cell>
          <cell r="F199">
            <v>4514</v>
          </cell>
          <cell r="G199">
            <v>425</v>
          </cell>
          <cell r="H199">
            <v>3421</v>
          </cell>
          <cell r="L199">
            <v>3421</v>
          </cell>
        </row>
        <row r="200">
          <cell r="A200">
            <v>495</v>
          </cell>
          <cell r="B200" t="str">
            <v>플레이트</v>
          </cell>
          <cell r="C200" t="str">
            <v>t10x110x160</v>
          </cell>
          <cell r="D200" t="str">
            <v>kg</v>
          </cell>
          <cell r="G200">
            <v>50</v>
          </cell>
          <cell r="H200">
            <v>420</v>
          </cell>
          <cell r="L200">
            <v>420</v>
          </cell>
        </row>
        <row r="201">
          <cell r="A201">
            <v>496</v>
          </cell>
          <cell r="B201" t="str">
            <v>플레이트</v>
          </cell>
          <cell r="C201" t="str">
            <v>t6x40x100</v>
          </cell>
          <cell r="D201" t="str">
            <v>kg</v>
          </cell>
          <cell r="G201">
            <v>50</v>
          </cell>
          <cell r="H201">
            <v>450</v>
          </cell>
          <cell r="L201">
            <v>450</v>
          </cell>
        </row>
        <row r="202">
          <cell r="A202">
            <v>497</v>
          </cell>
          <cell r="B202" t="str">
            <v>플레이트</v>
          </cell>
          <cell r="C202" t="str">
            <v>t6x23x100</v>
          </cell>
          <cell r="D202" t="str">
            <v>kg</v>
          </cell>
          <cell r="G202">
            <v>50</v>
          </cell>
          <cell r="H202">
            <v>450</v>
          </cell>
          <cell r="L202">
            <v>450</v>
          </cell>
        </row>
        <row r="203">
          <cell r="A203">
            <v>498</v>
          </cell>
          <cell r="B203" t="str">
            <v>홈표시기</v>
          </cell>
          <cell r="C203" t="str">
            <v>POLE용</v>
          </cell>
          <cell r="D203" t="str">
            <v>대</v>
          </cell>
          <cell r="L203">
            <v>0</v>
          </cell>
          <cell r="M203" t="str">
            <v>관 급</v>
          </cell>
        </row>
        <row r="204">
          <cell r="A204">
            <v>499</v>
          </cell>
          <cell r="B204" t="str">
            <v>POLE</v>
          </cell>
          <cell r="C204" t="str">
            <v>1대용</v>
          </cell>
          <cell r="D204" t="str">
            <v>개</v>
          </cell>
          <cell r="K204">
            <v>980000</v>
          </cell>
          <cell r="L204">
            <v>980000</v>
          </cell>
        </row>
        <row r="205">
          <cell r="A205">
            <v>500</v>
          </cell>
          <cell r="B205" t="str">
            <v>풀박스</v>
          </cell>
          <cell r="C205" t="str">
            <v>400x400x150</v>
          </cell>
          <cell r="D205" t="str">
            <v>개</v>
          </cell>
          <cell r="E205">
            <v>840</v>
          </cell>
          <cell r="F205">
            <v>11000</v>
          </cell>
          <cell r="G205">
            <v>883</v>
          </cell>
          <cell r="H205">
            <v>960</v>
          </cell>
          <cell r="L205">
            <v>960</v>
          </cell>
        </row>
        <row r="206">
          <cell r="A206">
            <v>701</v>
          </cell>
          <cell r="B206" t="str">
            <v>풀박스</v>
          </cell>
          <cell r="C206" t="str">
            <v>400x400x200</v>
          </cell>
          <cell r="D206" t="str">
            <v>개</v>
          </cell>
          <cell r="E206">
            <v>840</v>
          </cell>
          <cell r="F206">
            <v>12000</v>
          </cell>
          <cell r="G206">
            <v>883</v>
          </cell>
          <cell r="H206">
            <v>1054</v>
          </cell>
          <cell r="L206">
            <v>1054</v>
          </cell>
        </row>
        <row r="207">
          <cell r="A207">
            <v>702</v>
          </cell>
          <cell r="B207" t="str">
            <v>지지금구류</v>
          </cell>
          <cell r="D207" t="str">
            <v>식</v>
          </cell>
          <cell r="K207">
            <v>165270</v>
          </cell>
          <cell r="L207">
            <v>165270</v>
          </cell>
        </row>
        <row r="208">
          <cell r="A208">
            <v>703</v>
          </cell>
          <cell r="B208" t="str">
            <v>배선반</v>
          </cell>
          <cell r="C208" t="str">
            <v>38/300</v>
          </cell>
          <cell r="D208" t="str">
            <v>대</v>
          </cell>
          <cell r="L208">
            <v>0</v>
          </cell>
          <cell r="M208" t="str">
            <v>관 급</v>
          </cell>
        </row>
        <row r="209">
          <cell r="A209">
            <v>704</v>
          </cell>
          <cell r="B209" t="str">
            <v>제어기통신장비</v>
          </cell>
          <cell r="C209" t="str">
            <v>DELMONS</v>
          </cell>
          <cell r="D209" t="str">
            <v>대</v>
          </cell>
          <cell r="L209">
            <v>0</v>
          </cell>
          <cell r="M209" t="str">
            <v>관 급</v>
          </cell>
        </row>
        <row r="210">
          <cell r="A210">
            <v>705</v>
          </cell>
          <cell r="B210" t="str">
            <v>이형철근</v>
          </cell>
          <cell r="C210" t="str">
            <v>D-10 SD24A</v>
          </cell>
          <cell r="D210" t="str">
            <v>TON</v>
          </cell>
          <cell r="E210">
            <v>43</v>
          </cell>
          <cell r="F210">
            <v>325500</v>
          </cell>
          <cell r="G210">
            <v>42</v>
          </cell>
          <cell r="H210">
            <v>352000</v>
          </cell>
          <cell r="L210">
            <v>325500</v>
          </cell>
        </row>
        <row r="211">
          <cell r="A211">
            <v>706</v>
          </cell>
          <cell r="B211" t="str">
            <v>이형철근</v>
          </cell>
          <cell r="C211" t="str">
            <v>D-13 SD24A</v>
          </cell>
          <cell r="D211" t="str">
            <v>TON</v>
          </cell>
          <cell r="E211">
            <v>43</v>
          </cell>
          <cell r="F211">
            <v>320300</v>
          </cell>
          <cell r="G211">
            <v>42</v>
          </cell>
          <cell r="H211">
            <v>347000</v>
          </cell>
          <cell r="L211">
            <v>320300</v>
          </cell>
        </row>
        <row r="212">
          <cell r="A212">
            <v>707</v>
          </cell>
          <cell r="B212" t="str">
            <v>케이블걸이쇠</v>
          </cell>
          <cell r="C212" t="str">
            <v>1조</v>
          </cell>
          <cell r="D212" t="str">
            <v>개</v>
          </cell>
          <cell r="E212">
            <v>924</v>
          </cell>
          <cell r="F212">
            <v>1500</v>
          </cell>
          <cell r="G212">
            <v>959</v>
          </cell>
          <cell r="H212">
            <v>1710</v>
          </cell>
          <cell r="L212">
            <v>1500</v>
          </cell>
        </row>
        <row r="213">
          <cell r="A213">
            <v>708</v>
          </cell>
          <cell r="B213" t="str">
            <v>가락지</v>
          </cell>
          <cell r="C213" t="str">
            <v>P28x95mm</v>
          </cell>
          <cell r="D213" t="str">
            <v>개</v>
          </cell>
          <cell r="E213">
            <v>909</v>
          </cell>
          <cell r="F213">
            <v>280</v>
          </cell>
          <cell r="G213">
            <v>958</v>
          </cell>
          <cell r="H213">
            <v>320</v>
          </cell>
          <cell r="L213">
            <v>280</v>
          </cell>
        </row>
        <row r="214">
          <cell r="A214">
            <v>709</v>
          </cell>
          <cell r="B214" t="str">
            <v>광케이블</v>
          </cell>
          <cell r="C214" t="str">
            <v>OF-SM-28Core</v>
          </cell>
          <cell r="D214" t="str">
            <v>m</v>
          </cell>
          <cell r="L214">
            <v>0</v>
          </cell>
          <cell r="M214" t="str">
            <v>관 급</v>
          </cell>
        </row>
        <row r="215">
          <cell r="A215">
            <v>710</v>
          </cell>
          <cell r="B215" t="str">
            <v>광케이블</v>
          </cell>
          <cell r="C215" t="str">
            <v>OF-SM-32Core</v>
          </cell>
          <cell r="D215" t="str">
            <v>m</v>
          </cell>
          <cell r="L215">
            <v>0</v>
          </cell>
          <cell r="M215" t="str">
            <v>관 급</v>
          </cell>
        </row>
        <row r="216">
          <cell r="A216">
            <v>711</v>
          </cell>
          <cell r="B216" t="str">
            <v>편단코드</v>
          </cell>
          <cell r="C216" t="str">
            <v>OJC-SM-3-SC</v>
          </cell>
          <cell r="D216" t="str">
            <v>본</v>
          </cell>
          <cell r="M216" t="str">
            <v>관 급</v>
          </cell>
        </row>
        <row r="217">
          <cell r="A217">
            <v>712</v>
          </cell>
          <cell r="B217" t="str">
            <v>열수축 슬리브</v>
          </cell>
          <cell r="D217" t="str">
            <v>개</v>
          </cell>
          <cell r="G217">
            <v>853</v>
          </cell>
          <cell r="H217">
            <v>650</v>
          </cell>
          <cell r="L217">
            <v>650</v>
          </cell>
        </row>
        <row r="218">
          <cell r="A218">
            <v>312</v>
          </cell>
          <cell r="B218" t="str">
            <v>콘넥터</v>
          </cell>
          <cell r="C218" t="str">
            <v>N-J-42D</v>
          </cell>
          <cell r="D218" t="str">
            <v>개</v>
          </cell>
          <cell r="G218">
            <v>963</v>
          </cell>
          <cell r="H218">
            <v>130000</v>
          </cell>
          <cell r="K218">
            <v>13000</v>
          </cell>
          <cell r="L218">
            <v>13000</v>
          </cell>
        </row>
        <row r="219">
          <cell r="A219">
            <v>313</v>
          </cell>
          <cell r="B219" t="str">
            <v>콘넥터</v>
          </cell>
          <cell r="C219" t="str">
            <v>N-P-10D</v>
          </cell>
          <cell r="D219" t="str">
            <v>개</v>
          </cell>
          <cell r="G219">
            <v>963</v>
          </cell>
          <cell r="H219">
            <v>9000</v>
          </cell>
          <cell r="K219">
            <v>9000</v>
          </cell>
          <cell r="L219">
            <v>9000</v>
          </cell>
        </row>
        <row r="220">
          <cell r="A220">
            <v>314</v>
          </cell>
          <cell r="B220" t="str">
            <v>콘넥터</v>
          </cell>
          <cell r="C220" t="str">
            <v>N-J-22D</v>
          </cell>
          <cell r="D220" t="str">
            <v>개</v>
          </cell>
          <cell r="G220">
            <v>963</v>
          </cell>
          <cell r="H220">
            <v>110000</v>
          </cell>
          <cell r="K220">
            <v>9000</v>
          </cell>
          <cell r="L220">
            <v>9000</v>
          </cell>
        </row>
        <row r="221">
          <cell r="A221">
            <v>713</v>
          </cell>
          <cell r="B221" t="str">
            <v>CABLE TRAY</v>
          </cell>
          <cell r="C221" t="str">
            <v>H120×H100×2.0t</v>
          </cell>
          <cell r="D221" t="str">
            <v>m</v>
          </cell>
          <cell r="E221">
            <v>847</v>
          </cell>
          <cell r="F221">
            <v>10000</v>
          </cell>
          <cell r="G221">
            <v>878</v>
          </cell>
          <cell r="H221">
            <v>10200</v>
          </cell>
          <cell r="L221">
            <v>10000</v>
          </cell>
        </row>
        <row r="222">
          <cell r="A222">
            <v>714</v>
          </cell>
          <cell r="B222" t="str">
            <v>CABLE TRAY</v>
          </cell>
          <cell r="C222" t="str">
            <v>H200×H75×2.0t</v>
          </cell>
          <cell r="D222" t="str">
            <v>m</v>
          </cell>
          <cell r="E222">
            <v>849</v>
          </cell>
          <cell r="F222">
            <v>10320</v>
          </cell>
          <cell r="G222">
            <v>878</v>
          </cell>
          <cell r="H222">
            <v>10600</v>
          </cell>
          <cell r="L222">
            <v>10320</v>
          </cell>
        </row>
        <row r="223">
          <cell r="A223">
            <v>715</v>
          </cell>
          <cell r="B223" t="str">
            <v>셋트앙카</v>
          </cell>
          <cell r="C223" t="str">
            <v>3/8"×75</v>
          </cell>
          <cell r="D223" t="str">
            <v>개</v>
          </cell>
          <cell r="G223">
            <v>77</v>
          </cell>
          <cell r="H223">
            <v>68</v>
          </cell>
          <cell r="L223">
            <v>68</v>
          </cell>
        </row>
        <row r="224">
          <cell r="A224">
            <v>716</v>
          </cell>
          <cell r="B224" t="str">
            <v>달대볼트</v>
          </cell>
          <cell r="C224" t="str">
            <v>M10×1000</v>
          </cell>
          <cell r="D224" t="str">
            <v>개</v>
          </cell>
          <cell r="E224">
            <v>93</v>
          </cell>
          <cell r="F224">
            <v>275</v>
          </cell>
          <cell r="G224">
            <v>78</v>
          </cell>
          <cell r="H224">
            <v>466</v>
          </cell>
          <cell r="L224">
            <v>275</v>
          </cell>
        </row>
        <row r="225">
          <cell r="A225">
            <v>717</v>
          </cell>
          <cell r="B225" t="str">
            <v>CABLE DUCT</v>
          </cell>
          <cell r="C225" t="str">
            <v>W300×H100×2.0t</v>
          </cell>
          <cell r="D225" t="str">
            <v>m</v>
          </cell>
          <cell r="G225">
            <v>879</v>
          </cell>
          <cell r="H225">
            <v>23400</v>
          </cell>
          <cell r="L225">
            <v>23400</v>
          </cell>
        </row>
        <row r="226">
          <cell r="A226">
            <v>718</v>
          </cell>
          <cell r="B226" t="str">
            <v>광케이블</v>
          </cell>
          <cell r="C226" t="str">
            <v>OF-SM-36Core</v>
          </cell>
          <cell r="D226" t="str">
            <v>m</v>
          </cell>
          <cell r="L226">
            <v>0</v>
          </cell>
          <cell r="M226" t="str">
            <v>관 급</v>
          </cell>
        </row>
        <row r="227">
          <cell r="A227">
            <v>719</v>
          </cell>
          <cell r="B227" t="str">
            <v>광케이블</v>
          </cell>
          <cell r="C227" t="str">
            <v>OF-SM-40Core</v>
          </cell>
          <cell r="D227" t="str">
            <v>m</v>
          </cell>
          <cell r="L227">
            <v>0</v>
          </cell>
          <cell r="M227" t="str">
            <v>관 급</v>
          </cell>
        </row>
        <row r="228">
          <cell r="A228">
            <v>720</v>
          </cell>
          <cell r="B228" t="str">
            <v>광케이블</v>
          </cell>
          <cell r="C228" t="str">
            <v>OF-SM-44Core</v>
          </cell>
          <cell r="D228" t="str">
            <v>m</v>
          </cell>
          <cell r="L228">
            <v>0</v>
          </cell>
          <cell r="M228" t="str">
            <v>관 급</v>
          </cell>
        </row>
        <row r="229">
          <cell r="A229">
            <v>721</v>
          </cell>
          <cell r="B229" t="str">
            <v>HI-PVC</v>
          </cell>
          <cell r="C229" t="str">
            <v>Φ100mm</v>
          </cell>
          <cell r="D229" t="str">
            <v>m</v>
          </cell>
          <cell r="E229">
            <v>839</v>
          </cell>
          <cell r="F229">
            <v>4897</v>
          </cell>
          <cell r="G229">
            <v>866</v>
          </cell>
          <cell r="H229">
            <v>4550</v>
          </cell>
          <cell r="L229">
            <v>4550</v>
          </cell>
        </row>
        <row r="230">
          <cell r="A230">
            <v>722</v>
          </cell>
          <cell r="B230" t="str">
            <v>새들</v>
          </cell>
          <cell r="C230" t="str">
            <v>Φ100mm</v>
          </cell>
          <cell r="D230" t="str">
            <v>개</v>
          </cell>
          <cell r="E230">
            <v>839</v>
          </cell>
          <cell r="F230">
            <v>700</v>
          </cell>
          <cell r="G230">
            <v>872</v>
          </cell>
          <cell r="H230">
            <v>570</v>
          </cell>
          <cell r="L230">
            <v>570</v>
          </cell>
        </row>
        <row r="231">
          <cell r="A231">
            <v>723</v>
          </cell>
          <cell r="B231" t="str">
            <v>광접속함체</v>
          </cell>
          <cell r="C231" t="str">
            <v>4Core</v>
          </cell>
          <cell r="D231" t="str">
            <v>조</v>
          </cell>
          <cell r="L231">
            <v>0</v>
          </cell>
          <cell r="M231" t="str">
            <v>관 급</v>
          </cell>
        </row>
        <row r="232">
          <cell r="A232">
            <v>724</v>
          </cell>
          <cell r="B232" t="str">
            <v>광접속함체</v>
          </cell>
          <cell r="C232" t="str">
            <v>8Core</v>
          </cell>
          <cell r="D232" t="str">
            <v>조</v>
          </cell>
          <cell r="L232">
            <v>0</v>
          </cell>
          <cell r="M232" t="str">
            <v>관 급</v>
          </cell>
        </row>
        <row r="233">
          <cell r="A233">
            <v>725</v>
          </cell>
          <cell r="B233" t="str">
            <v>접지용전선</v>
          </cell>
          <cell r="C233" t="str">
            <v>GV 38㎟</v>
          </cell>
          <cell r="D233" t="str">
            <v>m</v>
          </cell>
          <cell r="E233">
            <v>811</v>
          </cell>
          <cell r="F233">
            <v>1978</v>
          </cell>
          <cell r="G233">
            <v>843</v>
          </cell>
          <cell r="H233">
            <v>1940</v>
          </cell>
          <cell r="L233">
            <v>1940</v>
          </cell>
        </row>
        <row r="234">
          <cell r="A234">
            <v>726</v>
          </cell>
          <cell r="B234" t="str">
            <v>새들</v>
          </cell>
          <cell r="C234" t="str">
            <v>Φ36mm</v>
          </cell>
          <cell r="D234" t="str">
            <v>개</v>
          </cell>
          <cell r="E234">
            <v>835</v>
          </cell>
          <cell r="F234">
            <v>110</v>
          </cell>
          <cell r="G234">
            <v>872</v>
          </cell>
          <cell r="H234">
            <v>85</v>
          </cell>
          <cell r="L234">
            <v>85</v>
          </cell>
        </row>
        <row r="235">
          <cell r="A235">
            <v>727</v>
          </cell>
          <cell r="B235" t="str">
            <v>사령원격방송장치</v>
          </cell>
          <cell r="C235" t="str">
            <v>자장치</v>
          </cell>
          <cell r="D235" t="str">
            <v>대</v>
          </cell>
          <cell r="L235">
            <v>0</v>
          </cell>
          <cell r="M235" t="str">
            <v>관 급</v>
          </cell>
        </row>
        <row r="236">
          <cell r="A236">
            <v>728</v>
          </cell>
          <cell r="B236" t="str">
            <v>디지털 신호송신기</v>
          </cell>
          <cell r="C236" t="str">
            <v>MPEG 4IN 1OUT</v>
          </cell>
          <cell r="D236" t="str">
            <v>대</v>
          </cell>
          <cell r="K236">
            <v>15000000</v>
          </cell>
          <cell r="L236">
            <v>15000000</v>
          </cell>
        </row>
        <row r="237">
          <cell r="A237">
            <v>729</v>
          </cell>
          <cell r="B237" t="str">
            <v>광분배함</v>
          </cell>
          <cell r="C237" t="str">
            <v>24PORT</v>
          </cell>
          <cell r="D237" t="str">
            <v>대</v>
          </cell>
          <cell r="K237">
            <v>700000</v>
          </cell>
          <cell r="L237">
            <v>700000</v>
          </cell>
        </row>
        <row r="238">
          <cell r="A238">
            <v>730</v>
          </cell>
          <cell r="B238" t="str">
            <v>광점퍼코드</v>
          </cell>
          <cell r="C238" t="str">
            <v>ST-ST.MM</v>
          </cell>
          <cell r="D238" t="str">
            <v>개</v>
          </cell>
          <cell r="K238">
            <v>50000</v>
          </cell>
          <cell r="L238">
            <v>50000</v>
          </cell>
        </row>
        <row r="239">
          <cell r="A239">
            <v>731</v>
          </cell>
          <cell r="B239" t="str">
            <v>비디오케이블</v>
          </cell>
          <cell r="C239" t="str">
            <v>RG-59</v>
          </cell>
          <cell r="D239" t="str">
            <v>m</v>
          </cell>
          <cell r="K239">
            <v>400</v>
          </cell>
          <cell r="L239">
            <v>400</v>
          </cell>
        </row>
        <row r="240">
          <cell r="A240">
            <v>732</v>
          </cell>
          <cell r="B240" t="str">
            <v>전원케이블</v>
          </cell>
          <cell r="C240" t="str">
            <v>CV 3C/1.25㎟</v>
          </cell>
          <cell r="D240" t="str">
            <v>m</v>
          </cell>
          <cell r="K240">
            <v>500</v>
          </cell>
          <cell r="L240">
            <v>500</v>
          </cell>
        </row>
        <row r="241">
          <cell r="A241">
            <v>733</v>
          </cell>
          <cell r="B241" t="str">
            <v>데이터케이블</v>
          </cell>
          <cell r="C241" t="str">
            <v>UTP CAT.5</v>
          </cell>
          <cell r="D241" t="str">
            <v>m</v>
          </cell>
          <cell r="K241">
            <v>500</v>
          </cell>
          <cell r="L241">
            <v>500</v>
          </cell>
        </row>
        <row r="242">
          <cell r="A242">
            <v>734</v>
          </cell>
          <cell r="B242" t="str">
            <v>다이폴ANT</v>
          </cell>
          <cell r="C242" t="str">
            <v>2호</v>
          </cell>
          <cell r="D242" t="str">
            <v>기</v>
          </cell>
          <cell r="L242">
            <v>0</v>
          </cell>
          <cell r="M242" t="str">
            <v>관 급</v>
          </cell>
        </row>
        <row r="243">
          <cell r="A243">
            <v>735</v>
          </cell>
          <cell r="B243" t="str">
            <v>역단위전산기(SACU)</v>
          </cell>
          <cell r="D243" t="str">
            <v>대</v>
          </cell>
          <cell r="L243">
            <v>0</v>
          </cell>
          <cell r="M243" t="str">
            <v>관 급</v>
          </cell>
        </row>
        <row r="244">
          <cell r="A244">
            <v>736</v>
          </cell>
          <cell r="B244" t="str">
            <v>발권기(TOM)</v>
          </cell>
          <cell r="D244" t="str">
            <v>대</v>
          </cell>
          <cell r="L244">
            <v>0</v>
          </cell>
          <cell r="M244" t="str">
            <v>관 급</v>
          </cell>
        </row>
        <row r="245">
          <cell r="A245">
            <v>737</v>
          </cell>
          <cell r="B245" t="str">
            <v>자동발매기(POM)</v>
          </cell>
          <cell r="C245" t="str">
            <v>보통권용</v>
          </cell>
          <cell r="D245" t="str">
            <v>대</v>
          </cell>
          <cell r="L245">
            <v>0</v>
          </cell>
          <cell r="M245" t="str">
            <v>관 급</v>
          </cell>
        </row>
        <row r="246">
          <cell r="A246">
            <v>738</v>
          </cell>
          <cell r="B246" t="str">
            <v>자동개.집표기(AGM)</v>
          </cell>
          <cell r="C246" t="str">
            <v>FLAP형</v>
          </cell>
          <cell r="D246" t="str">
            <v>대</v>
          </cell>
          <cell r="L246">
            <v>0</v>
          </cell>
          <cell r="M246" t="str">
            <v>관 급</v>
          </cell>
        </row>
        <row r="247">
          <cell r="A247">
            <v>739</v>
          </cell>
          <cell r="B247" t="str">
            <v>자동개.집표기(AGM)</v>
          </cell>
          <cell r="C247" t="str">
            <v>FLAP-3형</v>
          </cell>
          <cell r="D247" t="str">
            <v>대</v>
          </cell>
          <cell r="L247">
            <v>0</v>
          </cell>
          <cell r="M247" t="str">
            <v>관 급</v>
          </cell>
        </row>
        <row r="248">
          <cell r="A248">
            <v>740</v>
          </cell>
          <cell r="B248" t="str">
            <v>승차권판독기</v>
          </cell>
          <cell r="D248" t="str">
            <v>대</v>
          </cell>
          <cell r="L248">
            <v>0</v>
          </cell>
          <cell r="M248" t="str">
            <v>관 급</v>
          </cell>
        </row>
        <row r="249">
          <cell r="A249">
            <v>741</v>
          </cell>
          <cell r="B249" t="str">
            <v>원격제어반</v>
          </cell>
          <cell r="C249" t="str">
            <v>5회로용</v>
          </cell>
          <cell r="D249" t="str">
            <v>대</v>
          </cell>
          <cell r="M249" t="str">
            <v>관 급</v>
          </cell>
        </row>
        <row r="250">
          <cell r="A250">
            <v>742</v>
          </cell>
          <cell r="B250" t="str">
            <v>디지털 신호수신기</v>
          </cell>
          <cell r="C250" t="str">
            <v>1CH, MPEG 1</v>
          </cell>
          <cell r="D250" t="str">
            <v>EA</v>
          </cell>
        </row>
        <row r="251">
          <cell r="A251">
            <v>743</v>
          </cell>
          <cell r="B251" t="str">
            <v>비디오캠코더</v>
          </cell>
          <cell r="C251" t="str">
            <v>LC-H440V</v>
          </cell>
          <cell r="D251" t="str">
            <v>SET</v>
          </cell>
        </row>
        <row r="252">
          <cell r="A252">
            <v>744</v>
          </cell>
          <cell r="B252" t="str">
            <v>휴대용 조명설비</v>
          </cell>
          <cell r="C252" t="str">
            <v>LPL-4A</v>
          </cell>
          <cell r="D252" t="str">
            <v>EA</v>
          </cell>
        </row>
        <row r="253">
          <cell r="A253">
            <v>745</v>
          </cell>
          <cell r="B253" t="str">
            <v>광케이블 드럼</v>
          </cell>
          <cell r="C253" t="str">
            <v>SPECIAL</v>
          </cell>
          <cell r="D253" t="str">
            <v>m</v>
          </cell>
        </row>
        <row r="254">
          <cell r="A254">
            <v>746</v>
          </cell>
          <cell r="B254" t="str">
            <v>광송신기</v>
          </cell>
          <cell r="C254" t="str">
            <v>1CH, VIDEO</v>
          </cell>
          <cell r="D254" t="str">
            <v>EA</v>
          </cell>
        </row>
        <row r="255">
          <cell r="A255">
            <v>747</v>
          </cell>
          <cell r="B255" t="str">
            <v>휴대용 전원공급기</v>
          </cell>
          <cell r="C255" t="str">
            <v>SPECIAL</v>
          </cell>
          <cell r="D255" t="str">
            <v>SET</v>
          </cell>
        </row>
        <row r="256">
          <cell r="A256">
            <v>748</v>
          </cell>
          <cell r="B256" t="str">
            <v>이동용 장비 보관함</v>
          </cell>
          <cell r="C256" t="str">
            <v>SPECIAL</v>
          </cell>
          <cell r="D256" t="str">
            <v>SET</v>
          </cell>
        </row>
        <row r="257">
          <cell r="A257">
            <v>749</v>
          </cell>
          <cell r="B257" t="str">
            <v>동축 케이블</v>
          </cell>
          <cell r="C257" t="str">
            <v>5C</v>
          </cell>
          <cell r="D257" t="str">
            <v>100m</v>
          </cell>
        </row>
        <row r="273">
          <cell r="A273">
            <v>501</v>
          </cell>
          <cell r="B273" t="str">
            <v>형틀목공</v>
          </cell>
          <cell r="D273" t="str">
            <v>인</v>
          </cell>
          <cell r="L273">
            <v>62603</v>
          </cell>
        </row>
        <row r="274">
          <cell r="A274">
            <v>502</v>
          </cell>
          <cell r="B274" t="str">
            <v>철골공</v>
          </cell>
          <cell r="D274" t="str">
            <v>인</v>
          </cell>
          <cell r="L274">
            <v>60500</v>
          </cell>
        </row>
        <row r="275">
          <cell r="A275">
            <v>503</v>
          </cell>
          <cell r="B275" t="str">
            <v>철공</v>
          </cell>
          <cell r="D275" t="str">
            <v>인</v>
          </cell>
          <cell r="L275">
            <v>59797</v>
          </cell>
        </row>
        <row r="276">
          <cell r="A276">
            <v>504</v>
          </cell>
          <cell r="B276" t="str">
            <v>철근공</v>
          </cell>
          <cell r="D276" t="str">
            <v>인</v>
          </cell>
          <cell r="L276">
            <v>65147</v>
          </cell>
        </row>
        <row r="277">
          <cell r="A277">
            <v>505</v>
          </cell>
          <cell r="B277" t="str">
            <v>비계공</v>
          </cell>
          <cell r="D277" t="str">
            <v>인</v>
          </cell>
          <cell r="L277">
            <v>66531</v>
          </cell>
        </row>
        <row r="278">
          <cell r="A278">
            <v>506</v>
          </cell>
          <cell r="B278" t="str">
            <v>콘크리트공</v>
          </cell>
          <cell r="D278" t="str">
            <v>인</v>
          </cell>
          <cell r="L278">
            <v>60596</v>
          </cell>
        </row>
        <row r="279">
          <cell r="A279">
            <v>507</v>
          </cell>
          <cell r="B279" t="str">
            <v>배관공</v>
          </cell>
          <cell r="D279" t="str">
            <v>인</v>
          </cell>
          <cell r="L279">
            <v>48833</v>
          </cell>
        </row>
        <row r="280">
          <cell r="A280">
            <v>508</v>
          </cell>
          <cell r="B280" t="str">
            <v>도장공</v>
          </cell>
          <cell r="D280" t="str">
            <v>인</v>
          </cell>
          <cell r="L280">
            <v>52915</v>
          </cell>
        </row>
        <row r="281">
          <cell r="A281">
            <v>509</v>
          </cell>
          <cell r="B281" t="str">
            <v>궤도공</v>
          </cell>
          <cell r="D281" t="str">
            <v>인</v>
          </cell>
          <cell r="L281">
            <v>53629</v>
          </cell>
        </row>
        <row r="282">
          <cell r="A282">
            <v>510</v>
          </cell>
          <cell r="B282" t="str">
            <v>용접공(철도)</v>
          </cell>
          <cell r="D282" t="str">
            <v>인</v>
          </cell>
          <cell r="L282">
            <v>58661</v>
          </cell>
        </row>
        <row r="283">
          <cell r="A283">
            <v>511</v>
          </cell>
          <cell r="B283" t="str">
            <v>플랜트전공</v>
          </cell>
          <cell r="D283" t="str">
            <v>인</v>
          </cell>
          <cell r="L283">
            <v>52369</v>
          </cell>
        </row>
        <row r="284">
          <cell r="A284">
            <v>512</v>
          </cell>
          <cell r="B284" t="str">
            <v>내선전공</v>
          </cell>
          <cell r="D284" t="str">
            <v>인</v>
          </cell>
          <cell r="L284">
            <v>47911</v>
          </cell>
        </row>
        <row r="285">
          <cell r="A285">
            <v>513</v>
          </cell>
          <cell r="B285" t="str">
            <v>고압케이블전공</v>
          </cell>
          <cell r="D285" t="str">
            <v>인</v>
          </cell>
          <cell r="L285">
            <v>66547</v>
          </cell>
        </row>
        <row r="286">
          <cell r="A286">
            <v>514</v>
          </cell>
          <cell r="B286" t="str">
            <v>저압케이블공</v>
          </cell>
          <cell r="D286" t="str">
            <v>인</v>
          </cell>
          <cell r="L286">
            <v>59146</v>
          </cell>
        </row>
        <row r="287">
          <cell r="A287">
            <v>515</v>
          </cell>
          <cell r="B287" t="str">
            <v>철도신호공</v>
          </cell>
          <cell r="D287" t="str">
            <v>인</v>
          </cell>
          <cell r="L287">
            <v>79766</v>
          </cell>
        </row>
        <row r="288">
          <cell r="A288">
            <v>516</v>
          </cell>
          <cell r="B288" t="str">
            <v>통신외선공</v>
          </cell>
          <cell r="D288" t="str">
            <v>인</v>
          </cell>
          <cell r="L288">
            <v>73980</v>
          </cell>
        </row>
        <row r="289">
          <cell r="A289">
            <v>517</v>
          </cell>
          <cell r="B289" t="str">
            <v>통신설비공</v>
          </cell>
          <cell r="D289" t="str">
            <v>인</v>
          </cell>
          <cell r="L289">
            <v>64758</v>
          </cell>
        </row>
        <row r="290">
          <cell r="A290">
            <v>518</v>
          </cell>
          <cell r="B290" t="str">
            <v>통신내선공</v>
          </cell>
          <cell r="D290" t="str">
            <v>인</v>
          </cell>
          <cell r="L290">
            <v>60168</v>
          </cell>
        </row>
        <row r="291">
          <cell r="A291">
            <v>519</v>
          </cell>
          <cell r="B291" t="str">
            <v>통신케이블공</v>
          </cell>
          <cell r="D291" t="str">
            <v>인</v>
          </cell>
          <cell r="L291">
            <v>75788</v>
          </cell>
        </row>
        <row r="292">
          <cell r="A292">
            <v>520</v>
          </cell>
          <cell r="B292" t="str">
            <v>무선안테나공</v>
          </cell>
          <cell r="D292" t="str">
            <v>인</v>
          </cell>
          <cell r="L292">
            <v>91475</v>
          </cell>
        </row>
        <row r="293">
          <cell r="A293">
            <v>521</v>
          </cell>
          <cell r="B293" t="str">
            <v>조력공</v>
          </cell>
          <cell r="D293" t="str">
            <v>인</v>
          </cell>
          <cell r="L293">
            <v>39371</v>
          </cell>
        </row>
        <row r="294">
          <cell r="A294">
            <v>522</v>
          </cell>
          <cell r="B294" t="str">
            <v>특별인부</v>
          </cell>
          <cell r="D294" t="str">
            <v>인</v>
          </cell>
          <cell r="L294">
            <v>48674</v>
          </cell>
        </row>
        <row r="295">
          <cell r="A295">
            <v>523</v>
          </cell>
          <cell r="B295" t="str">
            <v>보통인부</v>
          </cell>
          <cell r="D295" t="str">
            <v>인</v>
          </cell>
          <cell r="L295">
            <v>33755</v>
          </cell>
        </row>
        <row r="296">
          <cell r="A296">
            <v>524</v>
          </cell>
          <cell r="B296" t="str">
            <v>시험사1급</v>
          </cell>
          <cell r="D296" t="str">
            <v>인</v>
          </cell>
          <cell r="L296">
            <v>48017</v>
          </cell>
        </row>
        <row r="297">
          <cell r="A297">
            <v>525</v>
          </cell>
          <cell r="B297" t="str">
            <v>시험사2급</v>
          </cell>
          <cell r="D297" t="str">
            <v>인</v>
          </cell>
          <cell r="L297">
            <v>36857</v>
          </cell>
        </row>
        <row r="298">
          <cell r="A298">
            <v>526</v>
          </cell>
          <cell r="B298" t="str">
            <v>용접공(일반)</v>
          </cell>
          <cell r="D298" t="str">
            <v>인</v>
          </cell>
          <cell r="L298">
            <v>60784</v>
          </cell>
        </row>
        <row r="299">
          <cell r="A299">
            <v>527</v>
          </cell>
          <cell r="B299" t="str">
            <v>H/W설치기사</v>
          </cell>
          <cell r="D299" t="str">
            <v>인</v>
          </cell>
          <cell r="L299">
            <v>83297</v>
          </cell>
        </row>
        <row r="300">
          <cell r="A300">
            <v>528</v>
          </cell>
          <cell r="B300" t="str">
            <v>H/W시험기사</v>
          </cell>
          <cell r="D300" t="str">
            <v>인</v>
          </cell>
          <cell r="L300">
            <v>85165</v>
          </cell>
        </row>
        <row r="301">
          <cell r="A301">
            <v>529</v>
          </cell>
          <cell r="B301" t="str">
            <v>S/W시험기사</v>
          </cell>
          <cell r="D301" t="str">
            <v>인</v>
          </cell>
          <cell r="L301">
            <v>81182</v>
          </cell>
        </row>
        <row r="302">
          <cell r="A302">
            <v>530</v>
          </cell>
          <cell r="B302" t="str">
            <v>CPU시험기사</v>
          </cell>
          <cell r="D302" t="str">
            <v>인</v>
          </cell>
          <cell r="L302">
            <v>81182</v>
          </cell>
        </row>
        <row r="303">
          <cell r="A303">
            <v>531</v>
          </cell>
          <cell r="B303" t="str">
            <v>광통신기사</v>
          </cell>
          <cell r="D303" t="str">
            <v>인</v>
          </cell>
          <cell r="L303">
            <v>108175</v>
          </cell>
        </row>
        <row r="304">
          <cell r="A304">
            <v>532</v>
          </cell>
          <cell r="B304" t="str">
            <v>광케이블기사</v>
          </cell>
          <cell r="D304" t="str">
            <v>인</v>
          </cell>
          <cell r="L304">
            <v>90147</v>
          </cell>
        </row>
        <row r="305">
          <cell r="A305">
            <v>533</v>
          </cell>
          <cell r="B305" t="str">
            <v>통신기사1급</v>
          </cell>
          <cell r="D305" t="str">
            <v>인</v>
          </cell>
          <cell r="L305">
            <v>84229</v>
          </cell>
        </row>
        <row r="306">
          <cell r="A306">
            <v>534</v>
          </cell>
          <cell r="B306" t="str">
            <v>통신기사2급</v>
          </cell>
          <cell r="D306" t="str">
            <v>인</v>
          </cell>
          <cell r="L306">
            <v>79642</v>
          </cell>
        </row>
        <row r="307">
          <cell r="A307">
            <v>535</v>
          </cell>
          <cell r="B307" t="str">
            <v>미장공</v>
          </cell>
          <cell r="D307" t="str">
            <v>인</v>
          </cell>
          <cell r="L307">
            <v>59451</v>
          </cell>
        </row>
        <row r="308">
          <cell r="A308">
            <v>536</v>
          </cell>
          <cell r="B308" t="str">
            <v>할석공</v>
          </cell>
          <cell r="D308" t="str">
            <v>인</v>
          </cell>
          <cell r="L308">
            <v>63951</v>
          </cell>
        </row>
        <row r="309">
          <cell r="A309">
            <v>537</v>
          </cell>
          <cell r="B309" t="str">
            <v>계장공</v>
          </cell>
          <cell r="D309" t="str">
            <v>인</v>
          </cell>
          <cell r="L309">
            <v>50009</v>
          </cell>
        </row>
        <row r="310">
          <cell r="A310">
            <v>538</v>
          </cell>
          <cell r="B310" t="str">
            <v>기계설치공</v>
          </cell>
          <cell r="D310" t="str">
            <v>인</v>
          </cell>
          <cell r="L310">
            <v>56925</v>
          </cell>
        </row>
        <row r="311">
          <cell r="A311">
            <v>539</v>
          </cell>
          <cell r="B311" t="str">
            <v>목도</v>
          </cell>
          <cell r="D311" t="str">
            <v>인</v>
          </cell>
          <cell r="L311">
            <v>64408</v>
          </cell>
        </row>
        <row r="312">
          <cell r="A312">
            <v>540</v>
          </cell>
          <cell r="B312" t="str">
            <v>기계공</v>
          </cell>
          <cell r="D312" t="str">
            <v>인</v>
          </cell>
          <cell r="L312">
            <v>49611</v>
          </cell>
        </row>
        <row r="313">
          <cell r="A313">
            <v>545</v>
          </cell>
          <cell r="B313" t="str">
            <v>포설공</v>
          </cell>
          <cell r="D313" t="str">
            <v>인</v>
          </cell>
          <cell r="L313">
            <v>53731</v>
          </cell>
        </row>
        <row r="314">
          <cell r="A314">
            <v>546</v>
          </cell>
          <cell r="B314" t="str">
            <v>포장공</v>
          </cell>
          <cell r="D314" t="str">
            <v>인</v>
          </cell>
          <cell r="L314">
            <v>59695</v>
          </cell>
        </row>
        <row r="315">
          <cell r="A315">
            <v>547</v>
          </cell>
          <cell r="B315" t="str">
            <v>철판공</v>
          </cell>
          <cell r="D315" t="str">
            <v>인</v>
          </cell>
          <cell r="L315">
            <v>61774</v>
          </cell>
        </row>
        <row r="316">
          <cell r="A316">
            <v>548</v>
          </cell>
          <cell r="B316" t="str">
            <v>배전전공</v>
          </cell>
          <cell r="D316" t="str">
            <v>인</v>
          </cell>
          <cell r="L316">
            <v>176615</v>
          </cell>
        </row>
        <row r="318">
          <cell r="L318">
            <v>0</v>
          </cell>
        </row>
        <row r="319">
          <cell r="A319">
            <v>541</v>
          </cell>
          <cell r="B319" t="str">
            <v>가. 재료비</v>
          </cell>
          <cell r="L319">
            <v>0</v>
          </cell>
        </row>
        <row r="320">
          <cell r="A320">
            <v>542</v>
          </cell>
          <cell r="B320" t="str">
            <v>나. 노무비</v>
          </cell>
          <cell r="L320">
            <v>0</v>
          </cell>
        </row>
        <row r="321">
          <cell r="A321">
            <v>543</v>
          </cell>
          <cell r="B321" t="str">
            <v>다. 공구손료</v>
          </cell>
          <cell r="C321" t="str">
            <v>노무비x3%</v>
          </cell>
          <cell r="L321">
            <v>0</v>
          </cell>
        </row>
        <row r="322">
          <cell r="A322">
            <v>544</v>
          </cell>
          <cell r="B322" t="str">
            <v>소    계</v>
          </cell>
          <cell r="L322">
            <v>0</v>
          </cell>
        </row>
        <row r="324">
          <cell r="A324">
            <v>600</v>
          </cell>
          <cell r="B324" t="str">
            <v>PCM단국장치</v>
          </cell>
          <cell r="C324" t="str">
            <v>K-D/I MUX</v>
          </cell>
          <cell r="D324" t="str">
            <v>대</v>
          </cell>
          <cell r="L324">
            <v>0</v>
          </cell>
          <cell r="M324" t="str">
            <v>철 거</v>
          </cell>
        </row>
        <row r="325">
          <cell r="A325">
            <v>601</v>
          </cell>
          <cell r="B325" t="str">
            <v>PCM단국장치</v>
          </cell>
          <cell r="C325" t="str">
            <v>DE-4E</v>
          </cell>
          <cell r="D325" t="str">
            <v>대</v>
          </cell>
          <cell r="L325">
            <v>0</v>
          </cell>
          <cell r="M325" t="str">
            <v>철 거</v>
          </cell>
        </row>
        <row r="326">
          <cell r="A326">
            <v>602</v>
          </cell>
          <cell r="B326" t="str">
            <v>정류기</v>
          </cell>
          <cell r="C326" t="str">
            <v>48V 10A</v>
          </cell>
          <cell r="D326" t="str">
            <v>대</v>
          </cell>
          <cell r="L326">
            <v>0</v>
          </cell>
          <cell r="M326" t="str">
            <v>철 거</v>
          </cell>
        </row>
        <row r="327">
          <cell r="A327">
            <v>603</v>
          </cell>
          <cell r="B327" t="str">
            <v>축전지</v>
          </cell>
          <cell r="C327" t="str">
            <v>48V</v>
          </cell>
          <cell r="D327" t="str">
            <v>대</v>
          </cell>
          <cell r="L327">
            <v>0</v>
          </cell>
          <cell r="M327" t="str">
            <v>철 거</v>
          </cell>
        </row>
        <row r="328">
          <cell r="A328">
            <v>604</v>
          </cell>
          <cell r="B328" t="str">
            <v>방송용AMP</v>
          </cell>
          <cell r="D328" t="str">
            <v>대</v>
          </cell>
          <cell r="L328">
            <v>0</v>
          </cell>
          <cell r="M328" t="str">
            <v>철 거</v>
          </cell>
        </row>
        <row r="329">
          <cell r="A329">
            <v>605</v>
          </cell>
          <cell r="B329" t="str">
            <v>TALK-BACK</v>
          </cell>
          <cell r="C329" t="str">
            <v>모장치</v>
          </cell>
          <cell r="D329" t="str">
            <v>대</v>
          </cell>
          <cell r="L329">
            <v>0</v>
          </cell>
          <cell r="M329" t="str">
            <v>철 거</v>
          </cell>
        </row>
        <row r="330">
          <cell r="A330">
            <v>606</v>
          </cell>
          <cell r="B330" t="str">
            <v>TALK-BACK</v>
          </cell>
          <cell r="C330" t="str">
            <v>자장치</v>
          </cell>
          <cell r="D330" t="str">
            <v>대</v>
          </cell>
          <cell r="L330">
            <v>0</v>
          </cell>
          <cell r="M330" t="str">
            <v>철 거</v>
          </cell>
        </row>
        <row r="331">
          <cell r="A331">
            <v>607</v>
          </cell>
          <cell r="B331" t="str">
            <v>사령전화기</v>
          </cell>
          <cell r="C331" t="str">
            <v>자장치</v>
          </cell>
          <cell r="D331" t="str">
            <v>대</v>
          </cell>
          <cell r="L331">
            <v>0</v>
          </cell>
          <cell r="M331" t="str">
            <v>철 거</v>
          </cell>
        </row>
        <row r="332">
          <cell r="A332">
            <v>608</v>
          </cell>
          <cell r="B332" t="str">
            <v>열차무선전원장치함</v>
          </cell>
          <cell r="D332" t="str">
            <v>식</v>
          </cell>
          <cell r="L332">
            <v>0</v>
          </cell>
          <cell r="M332" t="str">
            <v>철 거</v>
          </cell>
        </row>
        <row r="333">
          <cell r="A333">
            <v>609</v>
          </cell>
          <cell r="B333" t="str">
            <v>스피커</v>
          </cell>
          <cell r="C333" t="str">
            <v>10W</v>
          </cell>
          <cell r="D333" t="str">
            <v>개</v>
          </cell>
          <cell r="L333">
            <v>0</v>
          </cell>
          <cell r="M333" t="str">
            <v>철 거</v>
          </cell>
        </row>
        <row r="334">
          <cell r="A334">
            <v>610</v>
          </cell>
          <cell r="B334" t="str">
            <v>열차무선송수신기</v>
          </cell>
          <cell r="C334" t="str">
            <v>15W</v>
          </cell>
          <cell r="D334" t="str">
            <v>대</v>
          </cell>
          <cell r="L334">
            <v>0</v>
          </cell>
          <cell r="M334" t="str">
            <v>철 거</v>
          </cell>
        </row>
        <row r="335">
          <cell r="A335">
            <v>611</v>
          </cell>
          <cell r="B335" t="str">
            <v>열차무선감청수신기</v>
          </cell>
          <cell r="C335" t="str">
            <v>열차무선용</v>
          </cell>
          <cell r="D335" t="str">
            <v>대</v>
          </cell>
          <cell r="L335">
            <v>0</v>
          </cell>
          <cell r="M335" t="str">
            <v>철 거</v>
          </cell>
        </row>
        <row r="336">
          <cell r="A336">
            <v>612</v>
          </cell>
          <cell r="B336" t="str">
            <v>열차무선안테나</v>
          </cell>
          <cell r="C336" t="str">
            <v>다이폴1호</v>
          </cell>
          <cell r="D336" t="str">
            <v>대</v>
          </cell>
          <cell r="L336">
            <v>0</v>
          </cell>
          <cell r="M336" t="str">
            <v>철 거</v>
          </cell>
        </row>
        <row r="337">
          <cell r="A337">
            <v>613</v>
          </cell>
          <cell r="B337" t="str">
            <v>철관주</v>
          </cell>
          <cell r="C337" t="str">
            <v>8M</v>
          </cell>
          <cell r="D337" t="str">
            <v>개소</v>
          </cell>
          <cell r="L337">
            <v>0</v>
          </cell>
          <cell r="M337" t="str">
            <v>철 거</v>
          </cell>
        </row>
        <row r="338">
          <cell r="A338">
            <v>614</v>
          </cell>
          <cell r="B338" t="str">
            <v>배선반</v>
          </cell>
          <cell r="D338" t="str">
            <v>대</v>
          </cell>
          <cell r="L338">
            <v>0</v>
          </cell>
          <cell r="M338" t="str">
            <v>철 거</v>
          </cell>
        </row>
        <row r="339">
          <cell r="A339">
            <v>615</v>
          </cell>
          <cell r="B339" t="str">
            <v>열차무선안테나</v>
          </cell>
          <cell r="C339" t="str">
            <v>다이폴2호</v>
          </cell>
          <cell r="D339" t="str">
            <v>대</v>
          </cell>
          <cell r="M339" t="str">
            <v>철 거</v>
          </cell>
        </row>
        <row r="340">
          <cell r="A340">
            <v>616</v>
          </cell>
          <cell r="B340" t="str">
            <v>PCM선로중계기</v>
          </cell>
          <cell r="C340" t="str">
            <v>PCM중계용</v>
          </cell>
          <cell r="D340" t="str">
            <v>대</v>
          </cell>
          <cell r="M340" t="str">
            <v>철 거</v>
          </cell>
        </row>
        <row r="341">
          <cell r="A341">
            <v>617</v>
          </cell>
          <cell r="B341" t="str">
            <v>연선전화기</v>
          </cell>
          <cell r="C341" t="str">
            <v>3회로</v>
          </cell>
          <cell r="D341" t="str">
            <v>대</v>
          </cell>
          <cell r="M341" t="str">
            <v>철 거</v>
          </cell>
        </row>
        <row r="342">
          <cell r="A342">
            <v>618</v>
          </cell>
          <cell r="B342" t="str">
            <v>철탑</v>
          </cell>
          <cell r="C342" t="str">
            <v>7.5M+7.5M</v>
          </cell>
          <cell r="D342" t="str">
            <v>개소</v>
          </cell>
          <cell r="M342" t="str">
            <v>철 거</v>
          </cell>
        </row>
        <row r="343">
          <cell r="A343">
            <v>619</v>
          </cell>
          <cell r="B343" t="str">
            <v>철탑</v>
          </cell>
          <cell r="C343" t="str">
            <v>25M</v>
          </cell>
          <cell r="D343" t="str">
            <v>개소</v>
          </cell>
          <cell r="M343" t="str">
            <v>철 거</v>
          </cell>
        </row>
        <row r="344">
          <cell r="A344">
            <v>620</v>
          </cell>
          <cell r="B344" t="str">
            <v>철탑</v>
          </cell>
          <cell r="C344" t="str">
            <v>20M</v>
          </cell>
          <cell r="D344" t="str">
            <v>개소</v>
          </cell>
          <cell r="M344" t="str">
            <v>철 거</v>
          </cell>
        </row>
        <row r="345">
          <cell r="A345">
            <v>621</v>
          </cell>
          <cell r="B345" t="str">
            <v>시외케이블</v>
          </cell>
          <cell r="C345" t="str">
            <v>PEF 0.9x38P</v>
          </cell>
          <cell r="D345" t="str">
            <v>m</v>
          </cell>
          <cell r="M345" t="str">
            <v>철 거</v>
          </cell>
        </row>
        <row r="346">
          <cell r="A346">
            <v>622</v>
          </cell>
          <cell r="B346" t="str">
            <v>도관전선관</v>
          </cell>
          <cell r="D346" t="str">
            <v>m</v>
          </cell>
          <cell r="M346" t="str">
            <v>철 거</v>
          </cell>
        </row>
        <row r="347">
          <cell r="A347">
            <v>623</v>
          </cell>
          <cell r="B347" t="str">
            <v>폐색전화기</v>
          </cell>
          <cell r="C347" t="str">
            <v>직통</v>
          </cell>
          <cell r="D347" t="str">
            <v>대</v>
          </cell>
          <cell r="M347" t="str">
            <v>철 거</v>
          </cell>
        </row>
        <row r="348">
          <cell r="A348">
            <v>624</v>
          </cell>
          <cell r="B348" t="str">
            <v>선로중계장치</v>
          </cell>
          <cell r="C348" t="str">
            <v>LR-H2-6</v>
          </cell>
          <cell r="D348" t="str">
            <v>대</v>
          </cell>
          <cell r="M348" t="str">
            <v>철 거</v>
          </cell>
        </row>
        <row r="349">
          <cell r="A349">
            <v>625</v>
          </cell>
          <cell r="B349" t="str">
            <v>PCM반송단국</v>
          </cell>
          <cell r="C349" t="str">
            <v>PCM-32T</v>
          </cell>
          <cell r="D349" t="str">
            <v>대</v>
          </cell>
          <cell r="M349" t="str">
            <v>철 거</v>
          </cell>
        </row>
        <row r="350">
          <cell r="A350">
            <v>626</v>
          </cell>
          <cell r="B350" t="str">
            <v>스피커</v>
          </cell>
          <cell r="C350" t="str">
            <v>20W</v>
          </cell>
          <cell r="D350" t="str">
            <v>개</v>
          </cell>
          <cell r="M350" t="str">
            <v>철 거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"/>
      <sheetName val="자재단가"/>
      <sheetName val="48수량"/>
      <sheetName val="48인공"/>
      <sheetName val="48일위"/>
      <sheetName val="48수량(기존)"/>
      <sheetName val="48인공(기존)"/>
      <sheetName val="48일위(기존)"/>
      <sheetName val="총괄표"/>
      <sheetName val="공내역"/>
      <sheetName val="공내역(기존)"/>
      <sheetName val="품셈(기초)"/>
      <sheetName val="지선량"/>
      <sheetName val="토공집계표"/>
      <sheetName val="DATA"/>
      <sheetName val="설계산출표지"/>
      <sheetName val="COST"/>
      <sheetName val="수량산출"/>
      <sheetName val="22수량"/>
      <sheetName val="예비"/>
      <sheetName val="TARGET"/>
      <sheetName val="내역서(1단계1공구)"/>
      <sheetName val="상 부"/>
      <sheetName val="G.R300경비"/>
      <sheetName val="2.대외공문"/>
      <sheetName val="말뚝물량"/>
      <sheetName val="Macro1"/>
      <sheetName val="단락전류-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B2" t="str">
            <v>공 사 종 류</v>
          </cell>
          <cell r="C2" t="str">
            <v>규      격</v>
          </cell>
          <cell r="D2" t="str">
            <v>단위</v>
          </cell>
          <cell r="E2" t="str">
            <v>당           초</v>
          </cell>
          <cell r="N2" t="str">
            <v>변            경</v>
          </cell>
          <cell r="X2" t="str">
            <v>기  사</v>
          </cell>
        </row>
        <row r="3">
          <cell r="E3" t="str">
            <v>수 량</v>
          </cell>
          <cell r="F3" t="str">
            <v>재  료  비</v>
          </cell>
          <cell r="H3" t="str">
            <v>노  무  비</v>
          </cell>
          <cell r="J3" t="str">
            <v>경   비</v>
          </cell>
          <cell r="L3" t="str">
            <v>계</v>
          </cell>
          <cell r="N3" t="str">
            <v>수 량</v>
          </cell>
          <cell r="O3" t="str">
            <v>재  료  비</v>
          </cell>
          <cell r="Q3" t="str">
            <v>노  무  비</v>
          </cell>
          <cell r="S3" t="str">
            <v>경   비</v>
          </cell>
          <cell r="U3" t="str">
            <v>계</v>
          </cell>
          <cell r="W3" t="str">
            <v>증  감</v>
          </cell>
        </row>
        <row r="4">
          <cell r="F4" t="str">
            <v>단가</v>
          </cell>
          <cell r="G4" t="str">
            <v>금  액</v>
          </cell>
          <cell r="H4" t="str">
            <v>단가</v>
          </cell>
          <cell r="I4" t="str">
            <v>금  액</v>
          </cell>
          <cell r="J4" t="str">
            <v>단가</v>
          </cell>
          <cell r="K4" t="str">
            <v>금  액</v>
          </cell>
          <cell r="L4" t="str">
            <v>단가</v>
          </cell>
          <cell r="M4" t="str">
            <v>금  액</v>
          </cell>
          <cell r="O4" t="str">
            <v>단가</v>
          </cell>
          <cell r="P4" t="str">
            <v>금  액</v>
          </cell>
          <cell r="Q4" t="str">
            <v>단가</v>
          </cell>
          <cell r="R4" t="str">
            <v>금  액</v>
          </cell>
          <cell r="S4" t="str">
            <v>단가</v>
          </cell>
          <cell r="T4" t="str">
            <v>금  액</v>
          </cell>
          <cell r="U4" t="str">
            <v>단가</v>
          </cell>
          <cell r="V4" t="str">
            <v>금  액</v>
          </cell>
        </row>
        <row r="5">
          <cell r="A5" t="str">
            <v>일위1</v>
          </cell>
          <cell r="B5" t="str">
            <v xml:space="preserve"> 1. 전선 가선</v>
          </cell>
          <cell r="C5" t="str">
            <v>ACSR/AW-OC  95㎟</v>
          </cell>
          <cell r="D5" t="str">
            <v>m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X5">
            <v>0</v>
          </cell>
        </row>
        <row r="6">
          <cell r="B6" t="str">
            <v>알루미늄절연전선</v>
          </cell>
          <cell r="C6" t="str">
            <v>ACSR/AW-OC  95㎟</v>
          </cell>
          <cell r="D6" t="str">
            <v>m</v>
          </cell>
          <cell r="E6">
            <v>48957</v>
          </cell>
          <cell r="F6">
            <v>0</v>
          </cell>
          <cell r="G6" t="str">
            <v>관 급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W6">
            <v>0</v>
          </cell>
          <cell r="X6">
            <v>0</v>
          </cell>
        </row>
        <row r="7">
          <cell r="B7" t="str">
            <v>압축슬리브</v>
          </cell>
          <cell r="C7" t="str">
            <v>ACSR  95</v>
          </cell>
          <cell r="D7" t="str">
            <v>개</v>
          </cell>
          <cell r="E7">
            <v>80</v>
          </cell>
          <cell r="F7">
            <v>5000</v>
          </cell>
          <cell r="G7">
            <v>400000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5000</v>
          </cell>
          <cell r="M7">
            <v>400000</v>
          </cell>
          <cell r="N7">
            <v>0</v>
          </cell>
          <cell r="W7">
            <v>-400000</v>
          </cell>
          <cell r="X7">
            <v>0</v>
          </cell>
        </row>
        <row r="8">
          <cell r="B8" t="str">
            <v>노무비</v>
          </cell>
          <cell r="C8" t="str">
            <v>배전전공</v>
          </cell>
          <cell r="D8" t="str">
            <v>인</v>
          </cell>
          <cell r="E8">
            <v>726.11</v>
          </cell>
          <cell r="F8">
            <v>0</v>
          </cell>
          <cell r="G8">
            <v>0</v>
          </cell>
          <cell r="H8">
            <v>182333</v>
          </cell>
          <cell r="I8">
            <v>132393814</v>
          </cell>
          <cell r="J8">
            <v>0</v>
          </cell>
          <cell r="K8">
            <v>0</v>
          </cell>
          <cell r="L8">
            <v>182333</v>
          </cell>
          <cell r="M8">
            <v>132393814</v>
          </cell>
          <cell r="N8">
            <v>0</v>
          </cell>
          <cell r="W8">
            <v>-132393814</v>
          </cell>
          <cell r="X8">
            <v>0</v>
          </cell>
        </row>
        <row r="9">
          <cell r="B9" t="str">
            <v>노무비</v>
          </cell>
          <cell r="C9" t="str">
            <v>보통인부</v>
          </cell>
          <cell r="D9" t="str">
            <v>인</v>
          </cell>
          <cell r="E9">
            <v>366.78</v>
          </cell>
          <cell r="F9">
            <v>0</v>
          </cell>
          <cell r="G9">
            <v>0</v>
          </cell>
          <cell r="H9">
            <v>34360</v>
          </cell>
          <cell r="I9">
            <v>12602560</v>
          </cell>
          <cell r="J9">
            <v>0</v>
          </cell>
          <cell r="K9">
            <v>0</v>
          </cell>
          <cell r="L9">
            <v>34360</v>
          </cell>
          <cell r="M9">
            <v>12602560</v>
          </cell>
          <cell r="W9">
            <v>-12602560</v>
          </cell>
          <cell r="X9">
            <v>0</v>
          </cell>
        </row>
        <row r="10">
          <cell r="B10" t="str">
            <v>공구손료</v>
          </cell>
          <cell r="C10" t="str">
            <v>노무비의 3%</v>
          </cell>
          <cell r="D10" t="str">
            <v>식</v>
          </cell>
          <cell r="E10">
            <v>1</v>
          </cell>
          <cell r="F10">
            <v>0</v>
          </cell>
          <cell r="G10">
            <v>4349891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4349891</v>
          </cell>
          <cell r="W10">
            <v>-4349891</v>
          </cell>
          <cell r="X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W11">
            <v>0</v>
          </cell>
          <cell r="X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W12">
            <v>0</v>
          </cell>
          <cell r="X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W13">
            <v>0</v>
          </cell>
          <cell r="X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W14">
            <v>0</v>
          </cell>
          <cell r="X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W15">
            <v>0</v>
          </cell>
          <cell r="X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W16">
            <v>0</v>
          </cell>
          <cell r="X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W17">
            <v>0</v>
          </cell>
          <cell r="X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W18">
            <v>0</v>
          </cell>
          <cell r="X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W19">
            <v>0</v>
          </cell>
          <cell r="X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W20">
            <v>0</v>
          </cell>
          <cell r="X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W21">
            <v>0</v>
          </cell>
          <cell r="X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W22">
            <v>0</v>
          </cell>
          <cell r="X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W23">
            <v>0</v>
          </cell>
          <cell r="X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W24">
            <v>0</v>
          </cell>
          <cell r="X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W25">
            <v>0</v>
          </cell>
          <cell r="X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W26">
            <v>0</v>
          </cell>
          <cell r="X26">
            <v>0</v>
          </cell>
        </row>
        <row r="27">
          <cell r="B27" t="str">
            <v>계</v>
          </cell>
          <cell r="C27">
            <v>0</v>
          </cell>
          <cell r="D27">
            <v>0</v>
          </cell>
          <cell r="E27">
            <v>0</v>
          </cell>
          <cell r="G27">
            <v>4749891</v>
          </cell>
          <cell r="I27">
            <v>144996374</v>
          </cell>
          <cell r="J27">
            <v>0</v>
          </cell>
          <cell r="K27">
            <v>0</v>
          </cell>
          <cell r="M27">
            <v>149746265</v>
          </cell>
          <cell r="W27">
            <v>-149746265</v>
          </cell>
          <cell r="X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W28">
            <v>0</v>
          </cell>
          <cell r="X28">
            <v>0</v>
          </cell>
        </row>
        <row r="29">
          <cell r="A29" t="str">
            <v>일위1-1</v>
          </cell>
          <cell r="B29" t="str">
            <v>낙착율</v>
          </cell>
          <cell r="C29">
            <v>0.80800000000000005</v>
          </cell>
          <cell r="D29">
            <v>0</v>
          </cell>
          <cell r="E29">
            <v>48957</v>
          </cell>
          <cell r="F29">
            <v>0</v>
          </cell>
          <cell r="G29">
            <v>4749891</v>
          </cell>
          <cell r="H29">
            <v>0</v>
          </cell>
          <cell r="I29">
            <v>144996374</v>
          </cell>
          <cell r="J29">
            <v>0</v>
          </cell>
          <cell r="L29">
            <v>25923</v>
          </cell>
          <cell r="M29">
            <v>120901218</v>
          </cell>
          <cell r="W29">
            <v>-120901218</v>
          </cell>
          <cell r="X29">
            <v>0</v>
          </cell>
        </row>
        <row r="30">
          <cell r="A30" t="str">
            <v>일위2</v>
          </cell>
          <cell r="B30" t="str">
            <v xml:space="preserve"> 2. 전선 가선</v>
          </cell>
          <cell r="C30" t="str">
            <v>ACSR  58㎟</v>
          </cell>
          <cell r="D30" t="str">
            <v>m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W30">
            <v>0</v>
          </cell>
          <cell r="X30">
            <v>0</v>
          </cell>
        </row>
        <row r="31">
          <cell r="B31" t="str">
            <v>알루미늄절연전선</v>
          </cell>
          <cell r="C31" t="str">
            <v>ACSR  58㎟</v>
          </cell>
          <cell r="D31" t="str">
            <v>m</v>
          </cell>
          <cell r="E31">
            <v>16319</v>
          </cell>
          <cell r="F31">
            <v>0</v>
          </cell>
          <cell r="G31" t="str">
            <v>관 급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W31">
            <v>0</v>
          </cell>
          <cell r="X31">
            <v>0</v>
          </cell>
        </row>
        <row r="32">
          <cell r="B32" t="str">
            <v>압축슬리브</v>
          </cell>
          <cell r="C32" t="str">
            <v>ACSR  58㎟</v>
          </cell>
          <cell r="D32" t="str">
            <v>개</v>
          </cell>
          <cell r="E32">
            <v>26</v>
          </cell>
          <cell r="F32">
            <v>5000</v>
          </cell>
          <cell r="G32">
            <v>130000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5000</v>
          </cell>
          <cell r="M32">
            <v>130000</v>
          </cell>
          <cell r="W32">
            <v>-130000</v>
          </cell>
          <cell r="X32">
            <v>0</v>
          </cell>
        </row>
        <row r="33">
          <cell r="B33" t="str">
            <v>노무비</v>
          </cell>
          <cell r="C33" t="str">
            <v>배전전공</v>
          </cell>
          <cell r="D33" t="str">
            <v>인</v>
          </cell>
          <cell r="E33">
            <v>113.41</v>
          </cell>
          <cell r="F33">
            <v>0</v>
          </cell>
          <cell r="G33">
            <v>0</v>
          </cell>
          <cell r="H33">
            <v>182333</v>
          </cell>
          <cell r="I33">
            <v>20678385</v>
          </cell>
          <cell r="J33">
            <v>0</v>
          </cell>
          <cell r="K33">
            <v>0</v>
          </cell>
          <cell r="L33">
            <v>182333</v>
          </cell>
          <cell r="M33">
            <v>20678385</v>
          </cell>
          <cell r="W33">
            <v>-20678385</v>
          </cell>
          <cell r="X33">
            <v>0</v>
          </cell>
        </row>
        <row r="34">
          <cell r="B34" t="str">
            <v>노무비</v>
          </cell>
          <cell r="C34" t="str">
            <v>보통인부</v>
          </cell>
          <cell r="D34" t="str">
            <v>인</v>
          </cell>
          <cell r="E34">
            <v>58.2</v>
          </cell>
          <cell r="F34">
            <v>0</v>
          </cell>
          <cell r="G34">
            <v>0</v>
          </cell>
          <cell r="H34">
            <v>34360</v>
          </cell>
          <cell r="I34">
            <v>1999752</v>
          </cell>
          <cell r="J34">
            <v>0</v>
          </cell>
          <cell r="K34">
            <v>0</v>
          </cell>
          <cell r="L34">
            <v>34360</v>
          </cell>
          <cell r="M34">
            <v>1999752</v>
          </cell>
          <cell r="W34">
            <v>-1999752</v>
          </cell>
          <cell r="X34">
            <v>0</v>
          </cell>
        </row>
        <row r="35">
          <cell r="B35" t="str">
            <v>공구손료</v>
          </cell>
          <cell r="C35" t="str">
            <v>노무비의 3%</v>
          </cell>
          <cell r="D35" t="str">
            <v>식</v>
          </cell>
          <cell r="E35">
            <v>1</v>
          </cell>
          <cell r="F35">
            <v>0</v>
          </cell>
          <cell r="G35">
            <v>680344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680344</v>
          </cell>
          <cell r="W35">
            <v>-680344</v>
          </cell>
          <cell r="X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W36">
            <v>0</v>
          </cell>
          <cell r="X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W37">
            <v>0</v>
          </cell>
          <cell r="X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W38">
            <v>0</v>
          </cell>
          <cell r="X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W39">
            <v>0</v>
          </cell>
          <cell r="X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W40">
            <v>0</v>
          </cell>
          <cell r="X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W41">
            <v>0</v>
          </cell>
          <cell r="X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W42">
            <v>0</v>
          </cell>
          <cell r="X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W43">
            <v>0</v>
          </cell>
          <cell r="X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W44">
            <v>0</v>
          </cell>
          <cell r="X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W45">
            <v>0</v>
          </cell>
          <cell r="X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W46">
            <v>0</v>
          </cell>
          <cell r="X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W47">
            <v>0</v>
          </cell>
          <cell r="X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W48">
            <v>0</v>
          </cell>
          <cell r="X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W49">
            <v>0</v>
          </cell>
          <cell r="X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W50">
            <v>0</v>
          </cell>
          <cell r="X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W51">
            <v>0</v>
          </cell>
          <cell r="X51">
            <v>0</v>
          </cell>
        </row>
        <row r="52">
          <cell r="B52" t="str">
            <v>계</v>
          </cell>
          <cell r="C52">
            <v>0</v>
          </cell>
          <cell r="D52">
            <v>0</v>
          </cell>
          <cell r="E52">
            <v>0</v>
          </cell>
          <cell r="G52">
            <v>810344</v>
          </cell>
          <cell r="I52">
            <v>22678137</v>
          </cell>
          <cell r="J52">
            <v>0</v>
          </cell>
          <cell r="K52">
            <v>0</v>
          </cell>
          <cell r="M52">
            <v>23488481</v>
          </cell>
          <cell r="W52">
            <v>-23488481</v>
          </cell>
          <cell r="X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W53">
            <v>0</v>
          </cell>
          <cell r="X53">
            <v>0</v>
          </cell>
        </row>
        <row r="54">
          <cell r="A54" t="str">
            <v>일위2-1</v>
          </cell>
          <cell r="B54" t="str">
            <v>낙착율</v>
          </cell>
          <cell r="C54">
            <v>0.80800000000000005</v>
          </cell>
          <cell r="D54">
            <v>0</v>
          </cell>
          <cell r="E54">
            <v>16319</v>
          </cell>
          <cell r="F54">
            <v>0</v>
          </cell>
          <cell r="G54">
            <v>810344</v>
          </cell>
          <cell r="H54">
            <v>0</v>
          </cell>
          <cell r="I54">
            <v>22678137</v>
          </cell>
          <cell r="J54">
            <v>0</v>
          </cell>
          <cell r="K54">
            <v>0</v>
          </cell>
          <cell r="L54">
            <v>1220</v>
          </cell>
          <cell r="M54">
            <v>18961240</v>
          </cell>
          <cell r="W54">
            <v>-18961240</v>
          </cell>
          <cell r="X54">
            <v>0</v>
          </cell>
        </row>
        <row r="55">
          <cell r="A55" t="str">
            <v>일위3</v>
          </cell>
          <cell r="B55" t="str">
            <v xml:space="preserve"> 3. 절연전력케이블신설</v>
          </cell>
          <cell r="C55" t="str">
            <v>22.9KV CN/CV 60㎟X1c</v>
          </cell>
          <cell r="D55" t="str">
            <v>m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W55">
            <v>0</v>
          </cell>
          <cell r="X55">
            <v>0</v>
          </cell>
        </row>
        <row r="56">
          <cell r="B56" t="str">
            <v>절연전력케이블신설</v>
          </cell>
          <cell r="C56" t="str">
            <v>22.9KV CN/CV 60㎟X1c</v>
          </cell>
          <cell r="D56" t="str">
            <v>m</v>
          </cell>
          <cell r="E56">
            <v>494</v>
          </cell>
          <cell r="F56">
            <v>9573</v>
          </cell>
          <cell r="G56">
            <v>4729062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9573</v>
          </cell>
          <cell r="M56">
            <v>4729062</v>
          </cell>
          <cell r="W56">
            <v>-4729062</v>
          </cell>
          <cell r="X56">
            <v>0</v>
          </cell>
        </row>
        <row r="57">
          <cell r="B57" t="str">
            <v>조립형 단말처리제</v>
          </cell>
          <cell r="C57" t="str">
            <v>22.9KV CN/CV 60㎟X1c</v>
          </cell>
          <cell r="D57" t="str">
            <v>개</v>
          </cell>
          <cell r="E57">
            <v>18</v>
          </cell>
          <cell r="F57">
            <v>0</v>
          </cell>
          <cell r="G57" t="str">
            <v>관급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 t="str">
            <v>관급</v>
          </cell>
          <cell r="X57">
            <v>0</v>
          </cell>
        </row>
        <row r="58">
          <cell r="B58" t="str">
            <v>전선관</v>
          </cell>
          <cell r="C58" t="str">
            <v>ELP 100mm</v>
          </cell>
          <cell r="D58" t="str">
            <v>m</v>
          </cell>
          <cell r="E58">
            <v>123</v>
          </cell>
          <cell r="F58">
            <v>2570</v>
          </cell>
          <cell r="G58">
            <v>316110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2570</v>
          </cell>
          <cell r="M58">
            <v>316110</v>
          </cell>
          <cell r="W58">
            <v>-316110</v>
          </cell>
          <cell r="X58">
            <v>0</v>
          </cell>
        </row>
        <row r="59">
          <cell r="B59" t="str">
            <v>케이블 헤드지지금구</v>
          </cell>
          <cell r="C59" t="str">
            <v>상하부용</v>
          </cell>
          <cell r="D59" t="str">
            <v>개</v>
          </cell>
          <cell r="E59">
            <v>3</v>
          </cell>
          <cell r="F59">
            <v>56200</v>
          </cell>
          <cell r="G59">
            <v>168600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56200</v>
          </cell>
          <cell r="M59">
            <v>168600</v>
          </cell>
          <cell r="W59">
            <v>-168600</v>
          </cell>
          <cell r="X59">
            <v>0</v>
          </cell>
        </row>
        <row r="60">
          <cell r="B60" t="str">
            <v>노무비</v>
          </cell>
          <cell r="C60" t="str">
            <v>고압케이블공</v>
          </cell>
          <cell r="D60" t="str">
            <v>인</v>
          </cell>
          <cell r="E60">
            <v>24.73</v>
          </cell>
          <cell r="F60">
            <v>0</v>
          </cell>
          <cell r="G60">
            <v>0</v>
          </cell>
          <cell r="H60">
            <v>70455</v>
          </cell>
          <cell r="I60">
            <v>1742352</v>
          </cell>
          <cell r="J60">
            <v>0</v>
          </cell>
          <cell r="K60">
            <v>0</v>
          </cell>
          <cell r="L60">
            <v>70455</v>
          </cell>
          <cell r="M60">
            <v>1742352</v>
          </cell>
          <cell r="W60">
            <v>-1742352</v>
          </cell>
          <cell r="X60">
            <v>0</v>
          </cell>
        </row>
        <row r="61">
          <cell r="B61" t="str">
            <v>노무비</v>
          </cell>
          <cell r="C61" t="str">
            <v>배전전공</v>
          </cell>
          <cell r="D61" t="str">
            <v>인</v>
          </cell>
          <cell r="E61">
            <v>2.16</v>
          </cell>
          <cell r="F61">
            <v>0</v>
          </cell>
          <cell r="G61">
            <v>0</v>
          </cell>
          <cell r="H61">
            <v>182333</v>
          </cell>
          <cell r="I61">
            <v>393839</v>
          </cell>
          <cell r="J61">
            <v>0</v>
          </cell>
          <cell r="K61">
            <v>0</v>
          </cell>
          <cell r="L61">
            <v>182333</v>
          </cell>
          <cell r="M61">
            <v>393839</v>
          </cell>
          <cell r="W61">
            <v>-393839</v>
          </cell>
          <cell r="X61">
            <v>0</v>
          </cell>
        </row>
        <row r="62">
          <cell r="B62" t="str">
            <v>노무비</v>
          </cell>
          <cell r="C62" t="str">
            <v>보통인부</v>
          </cell>
          <cell r="D62" t="str">
            <v>인</v>
          </cell>
          <cell r="E62">
            <v>21.01</v>
          </cell>
          <cell r="F62">
            <v>0</v>
          </cell>
          <cell r="G62">
            <v>0</v>
          </cell>
          <cell r="H62">
            <v>34360</v>
          </cell>
          <cell r="I62">
            <v>721903</v>
          </cell>
          <cell r="J62">
            <v>0</v>
          </cell>
          <cell r="K62">
            <v>0</v>
          </cell>
          <cell r="L62">
            <v>34360</v>
          </cell>
          <cell r="M62">
            <v>721903</v>
          </cell>
          <cell r="W62">
            <v>-721903</v>
          </cell>
          <cell r="X62">
            <v>0</v>
          </cell>
        </row>
        <row r="63">
          <cell r="B63" t="str">
            <v>공구손료</v>
          </cell>
          <cell r="C63" t="str">
            <v>노무비의 3%</v>
          </cell>
          <cell r="D63" t="str">
            <v>식</v>
          </cell>
          <cell r="E63">
            <v>1</v>
          </cell>
          <cell r="F63">
            <v>72434</v>
          </cell>
          <cell r="G63">
            <v>72434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72434</v>
          </cell>
          <cell r="M63">
            <v>72434</v>
          </cell>
          <cell r="W63">
            <v>-72434</v>
          </cell>
          <cell r="X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W64">
            <v>0</v>
          </cell>
          <cell r="X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W65">
            <v>0</v>
          </cell>
          <cell r="X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W66">
            <v>0</v>
          </cell>
          <cell r="X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W67">
            <v>0</v>
          </cell>
          <cell r="X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W68">
            <v>0</v>
          </cell>
          <cell r="X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W69">
            <v>0</v>
          </cell>
          <cell r="X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W70">
            <v>0</v>
          </cell>
          <cell r="X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W71">
            <v>0</v>
          </cell>
          <cell r="X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W72">
            <v>0</v>
          </cell>
          <cell r="X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W73">
            <v>0</v>
          </cell>
          <cell r="X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W74">
            <v>0</v>
          </cell>
          <cell r="X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W75">
            <v>0</v>
          </cell>
          <cell r="X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W76">
            <v>0</v>
          </cell>
          <cell r="X76">
            <v>0</v>
          </cell>
        </row>
        <row r="77">
          <cell r="B77" t="str">
            <v>계</v>
          </cell>
          <cell r="C77">
            <v>0</v>
          </cell>
          <cell r="D77">
            <v>0</v>
          </cell>
          <cell r="E77">
            <v>0</v>
          </cell>
          <cell r="G77">
            <v>5286206</v>
          </cell>
          <cell r="I77">
            <v>2858094</v>
          </cell>
          <cell r="J77">
            <v>0</v>
          </cell>
          <cell r="K77">
            <v>0</v>
          </cell>
          <cell r="M77">
            <v>8144300</v>
          </cell>
          <cell r="W77">
            <v>-8144300</v>
          </cell>
          <cell r="X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W78">
            <v>0</v>
          </cell>
          <cell r="X78">
            <v>0</v>
          </cell>
        </row>
        <row r="79">
          <cell r="A79" t="str">
            <v>일위3-1</v>
          </cell>
          <cell r="B79" t="str">
            <v>낙착율</v>
          </cell>
          <cell r="C79">
            <v>0.80800000000000005</v>
          </cell>
          <cell r="D79">
            <v>0</v>
          </cell>
          <cell r="E79">
            <v>494</v>
          </cell>
          <cell r="F79">
            <v>0</v>
          </cell>
          <cell r="G79">
            <v>5286206</v>
          </cell>
          <cell r="H79">
            <v>0</v>
          </cell>
          <cell r="I79">
            <v>2858094</v>
          </cell>
          <cell r="J79">
            <v>0</v>
          </cell>
          <cell r="K79">
            <v>0</v>
          </cell>
          <cell r="L79">
            <v>10953</v>
          </cell>
          <cell r="M79">
            <v>5257440</v>
          </cell>
          <cell r="W79">
            <v>-5257440</v>
          </cell>
          <cell r="X79">
            <v>0</v>
          </cell>
        </row>
        <row r="80">
          <cell r="A80" t="str">
            <v>일위6</v>
          </cell>
          <cell r="B80" t="str">
            <v xml:space="preserve"> 5. 케이블 신설</v>
          </cell>
          <cell r="C80" t="str">
            <v>HCV 1C x 60㎟</v>
          </cell>
          <cell r="D80" t="str">
            <v>m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W80">
            <v>0</v>
          </cell>
          <cell r="X80">
            <v>0</v>
          </cell>
        </row>
        <row r="81">
          <cell r="B81" t="str">
            <v>6.6KV 가교PE케이블</v>
          </cell>
          <cell r="C81" t="str">
            <v>HCV 1C x 60㎟</v>
          </cell>
          <cell r="D81" t="str">
            <v>m</v>
          </cell>
          <cell r="E81">
            <v>55669</v>
          </cell>
          <cell r="F81">
            <v>0</v>
          </cell>
          <cell r="G81" t="str">
            <v>관급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 t="str">
            <v>관급</v>
          </cell>
          <cell r="X81">
            <v>0</v>
          </cell>
        </row>
        <row r="82">
          <cell r="B82" t="str">
            <v>조립형 단말처리제</v>
          </cell>
          <cell r="C82" t="str">
            <v>6.6KV HCV 60㎟ x 1C</v>
          </cell>
          <cell r="D82" t="str">
            <v>개</v>
          </cell>
          <cell r="E82">
            <v>102</v>
          </cell>
          <cell r="F82">
            <v>0</v>
          </cell>
          <cell r="G82" t="str">
            <v>관급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 t="str">
            <v>관급</v>
          </cell>
          <cell r="X82">
            <v>0</v>
          </cell>
        </row>
        <row r="83">
          <cell r="B83" t="str">
            <v>조립식 직선접속제</v>
          </cell>
          <cell r="C83" t="str">
            <v>6.6KV HCV 60㎟ x 1C</v>
          </cell>
          <cell r="D83" t="str">
            <v>개</v>
          </cell>
          <cell r="E83">
            <v>234</v>
          </cell>
          <cell r="F83">
            <v>0</v>
          </cell>
          <cell r="G83" t="str">
            <v>관급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 t="str">
            <v>관급</v>
          </cell>
          <cell r="X83">
            <v>0</v>
          </cell>
        </row>
        <row r="84">
          <cell r="B84" t="str">
            <v>노무비</v>
          </cell>
          <cell r="C84" t="str">
            <v>고압케이블공</v>
          </cell>
          <cell r="D84" t="str">
            <v>인</v>
          </cell>
          <cell r="E84">
            <v>671.7</v>
          </cell>
          <cell r="F84">
            <v>0</v>
          </cell>
          <cell r="G84">
            <v>0</v>
          </cell>
          <cell r="H84">
            <v>70455</v>
          </cell>
          <cell r="I84">
            <v>47324623</v>
          </cell>
          <cell r="J84">
            <v>0</v>
          </cell>
          <cell r="K84">
            <v>0</v>
          </cell>
          <cell r="L84">
            <v>70455</v>
          </cell>
          <cell r="M84">
            <v>47324623</v>
          </cell>
          <cell r="W84">
            <v>-47324623</v>
          </cell>
          <cell r="X84">
            <v>0</v>
          </cell>
        </row>
        <row r="85">
          <cell r="B85" t="str">
            <v>노무비</v>
          </cell>
          <cell r="C85" t="str">
            <v>보통인부</v>
          </cell>
          <cell r="D85" t="str">
            <v>인</v>
          </cell>
          <cell r="E85">
            <v>477.78</v>
          </cell>
          <cell r="F85">
            <v>0</v>
          </cell>
          <cell r="G85">
            <v>0</v>
          </cell>
          <cell r="H85">
            <v>34360</v>
          </cell>
          <cell r="I85">
            <v>16416520</v>
          </cell>
          <cell r="J85">
            <v>0</v>
          </cell>
          <cell r="K85">
            <v>0</v>
          </cell>
          <cell r="L85">
            <v>34360</v>
          </cell>
          <cell r="M85">
            <v>16416520</v>
          </cell>
          <cell r="W85">
            <v>-16416520</v>
          </cell>
          <cell r="X85">
            <v>0</v>
          </cell>
        </row>
        <row r="86">
          <cell r="B86" t="str">
            <v>공구손료</v>
          </cell>
          <cell r="C86" t="str">
            <v>노무비의 3%</v>
          </cell>
          <cell r="D86" t="str">
            <v>식</v>
          </cell>
          <cell r="E86">
            <v>1</v>
          </cell>
          <cell r="F86">
            <v>4791057</v>
          </cell>
          <cell r="G86">
            <v>4791057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4791057</v>
          </cell>
          <cell r="M86">
            <v>4791057</v>
          </cell>
          <cell r="W86">
            <v>-4791057</v>
          </cell>
          <cell r="X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W87">
            <v>0</v>
          </cell>
          <cell r="X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W88">
            <v>0</v>
          </cell>
          <cell r="X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W89">
            <v>0</v>
          </cell>
          <cell r="X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W90">
            <v>0</v>
          </cell>
          <cell r="X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W91">
            <v>0</v>
          </cell>
          <cell r="X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W92">
            <v>0</v>
          </cell>
          <cell r="X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W93">
            <v>0</v>
          </cell>
          <cell r="X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W94">
            <v>0</v>
          </cell>
          <cell r="X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W95">
            <v>0</v>
          </cell>
          <cell r="X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W96">
            <v>0</v>
          </cell>
          <cell r="X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W97">
            <v>0</v>
          </cell>
          <cell r="X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W98">
            <v>0</v>
          </cell>
          <cell r="X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W99">
            <v>0</v>
          </cell>
          <cell r="X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W100">
            <v>0</v>
          </cell>
          <cell r="X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W101">
            <v>0</v>
          </cell>
          <cell r="X101">
            <v>0</v>
          </cell>
        </row>
        <row r="102">
          <cell r="B102" t="str">
            <v>계</v>
          </cell>
          <cell r="C102">
            <v>0</v>
          </cell>
          <cell r="D102">
            <v>0</v>
          </cell>
          <cell r="E102">
            <v>0</v>
          </cell>
          <cell r="G102">
            <v>4791057</v>
          </cell>
          <cell r="I102">
            <v>63741143</v>
          </cell>
          <cell r="J102">
            <v>0</v>
          </cell>
          <cell r="K102">
            <v>0</v>
          </cell>
          <cell r="M102">
            <v>68532200</v>
          </cell>
          <cell r="W102">
            <v>-68532200</v>
          </cell>
          <cell r="X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W103">
            <v>0</v>
          </cell>
          <cell r="X103">
            <v>0</v>
          </cell>
        </row>
        <row r="104">
          <cell r="A104" t="str">
            <v>일위6-1</v>
          </cell>
          <cell r="B104" t="str">
            <v>낙착율</v>
          </cell>
          <cell r="C104">
            <v>0.80800000000000005</v>
          </cell>
          <cell r="D104">
            <v>0</v>
          </cell>
          <cell r="E104">
            <v>55669</v>
          </cell>
          <cell r="F104">
            <v>0</v>
          </cell>
          <cell r="G104">
            <v>4791057</v>
          </cell>
          <cell r="H104">
            <v>0</v>
          </cell>
          <cell r="I104">
            <v>63741143</v>
          </cell>
          <cell r="J104">
            <v>0</v>
          </cell>
          <cell r="K104">
            <v>0</v>
          </cell>
          <cell r="L104">
            <v>981</v>
          </cell>
          <cell r="M104">
            <v>53021088</v>
          </cell>
          <cell r="W104">
            <v>-53021088</v>
          </cell>
          <cell r="X104">
            <v>0</v>
          </cell>
        </row>
        <row r="105">
          <cell r="A105" t="str">
            <v>일위12</v>
          </cell>
          <cell r="B105" t="str">
            <v xml:space="preserve"> 11. 관로신설</v>
          </cell>
          <cell r="C105" t="str">
            <v>ELP 80mm</v>
          </cell>
          <cell r="D105" t="str">
            <v>m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W105">
            <v>0</v>
          </cell>
          <cell r="X105">
            <v>0</v>
          </cell>
        </row>
        <row r="106">
          <cell r="B106" t="str">
            <v>전선관</v>
          </cell>
          <cell r="C106" t="str">
            <v>ELP 80C</v>
          </cell>
          <cell r="D106" t="str">
            <v>m</v>
          </cell>
          <cell r="E106">
            <v>8731</v>
          </cell>
          <cell r="F106">
            <v>1860</v>
          </cell>
          <cell r="G106">
            <v>16239660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1860</v>
          </cell>
          <cell r="M106">
            <v>16239660</v>
          </cell>
          <cell r="W106">
            <v>-16239660</v>
          </cell>
          <cell r="X106">
            <v>0</v>
          </cell>
        </row>
        <row r="107">
          <cell r="B107" t="str">
            <v>강제전선관</v>
          </cell>
          <cell r="C107" t="str">
            <v>아연도 금속후강 82C</v>
          </cell>
          <cell r="D107" t="str">
            <v>m</v>
          </cell>
          <cell r="E107">
            <v>106</v>
          </cell>
          <cell r="F107">
            <v>4930</v>
          </cell>
          <cell r="G107">
            <v>522580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4930</v>
          </cell>
          <cell r="M107">
            <v>522580</v>
          </cell>
          <cell r="W107">
            <v>-522580</v>
          </cell>
          <cell r="X107">
            <v>0</v>
          </cell>
        </row>
        <row r="108">
          <cell r="B108" t="str">
            <v>케이블 표지시트</v>
          </cell>
          <cell r="C108" t="str">
            <v>경고테이프</v>
          </cell>
          <cell r="D108" t="str">
            <v>m</v>
          </cell>
          <cell r="E108">
            <v>8477</v>
          </cell>
          <cell r="F108">
            <v>150</v>
          </cell>
          <cell r="G108">
            <v>1271550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150</v>
          </cell>
          <cell r="M108">
            <v>1271550</v>
          </cell>
          <cell r="W108">
            <v>-1271550</v>
          </cell>
          <cell r="X108">
            <v>0</v>
          </cell>
        </row>
        <row r="109">
          <cell r="B109" t="str">
            <v>케이블 매설표</v>
          </cell>
          <cell r="C109" t="str">
            <v>철도청 규격</v>
          </cell>
          <cell r="D109" t="str">
            <v>개</v>
          </cell>
          <cell r="E109">
            <v>101</v>
          </cell>
          <cell r="F109">
            <v>8500</v>
          </cell>
          <cell r="G109">
            <v>858500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8500</v>
          </cell>
          <cell r="M109">
            <v>858500</v>
          </cell>
          <cell r="W109">
            <v>-858500</v>
          </cell>
          <cell r="X109">
            <v>0</v>
          </cell>
        </row>
        <row r="110">
          <cell r="B110" t="str">
            <v>카프링</v>
          </cell>
          <cell r="C110" t="str">
            <v>아연도 금속후강 82C</v>
          </cell>
          <cell r="D110" t="str">
            <v>개</v>
          </cell>
          <cell r="E110">
            <v>26.944444444444443</v>
          </cell>
          <cell r="F110">
            <v>2841</v>
          </cell>
          <cell r="G110">
            <v>76549.166666666657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2841</v>
          </cell>
          <cell r="M110">
            <v>76549.166666666657</v>
          </cell>
          <cell r="W110">
            <v>-76549.166666666657</v>
          </cell>
          <cell r="X110">
            <v>0</v>
          </cell>
        </row>
        <row r="111">
          <cell r="B111" t="str">
            <v>노무비</v>
          </cell>
          <cell r="C111" t="str">
            <v>배전전공</v>
          </cell>
          <cell r="D111" t="str">
            <v>인</v>
          </cell>
          <cell r="E111">
            <v>141.88999999999999</v>
          </cell>
          <cell r="F111">
            <v>0</v>
          </cell>
          <cell r="G111">
            <v>0</v>
          </cell>
          <cell r="H111">
            <v>182333</v>
          </cell>
          <cell r="I111">
            <v>25871229</v>
          </cell>
          <cell r="J111">
            <v>0</v>
          </cell>
          <cell r="K111">
            <v>0</v>
          </cell>
          <cell r="L111">
            <v>182333</v>
          </cell>
          <cell r="M111">
            <v>25871229</v>
          </cell>
          <cell r="W111">
            <v>-25871229</v>
          </cell>
          <cell r="X111">
            <v>0</v>
          </cell>
        </row>
        <row r="112">
          <cell r="B112">
            <v>0</v>
          </cell>
          <cell r="C112" t="str">
            <v>고압케이블공</v>
          </cell>
          <cell r="D112" t="str">
            <v>인</v>
          </cell>
          <cell r="E112">
            <v>4.2300000000000004</v>
          </cell>
          <cell r="F112">
            <v>0</v>
          </cell>
          <cell r="G112">
            <v>0</v>
          </cell>
          <cell r="H112">
            <v>70455</v>
          </cell>
          <cell r="I112">
            <v>298024</v>
          </cell>
          <cell r="J112">
            <v>0</v>
          </cell>
          <cell r="K112">
            <v>0</v>
          </cell>
          <cell r="L112">
            <v>70455</v>
          </cell>
          <cell r="M112">
            <v>298024</v>
          </cell>
          <cell r="W112">
            <v>-298024</v>
          </cell>
          <cell r="X112">
            <v>0</v>
          </cell>
        </row>
        <row r="113">
          <cell r="B113" t="str">
            <v>노무비</v>
          </cell>
          <cell r="C113" t="str">
            <v>보통인부</v>
          </cell>
          <cell r="D113" t="str">
            <v>인</v>
          </cell>
          <cell r="E113">
            <v>1486.11</v>
          </cell>
          <cell r="F113">
            <v>0</v>
          </cell>
          <cell r="G113">
            <v>0</v>
          </cell>
          <cell r="H113">
            <v>34360</v>
          </cell>
          <cell r="I113">
            <v>51062739</v>
          </cell>
          <cell r="J113">
            <v>0</v>
          </cell>
          <cell r="K113">
            <v>0</v>
          </cell>
          <cell r="L113">
            <v>34360</v>
          </cell>
          <cell r="M113">
            <v>51062739</v>
          </cell>
          <cell r="W113">
            <v>-51062739</v>
          </cell>
          <cell r="X113">
            <v>0</v>
          </cell>
        </row>
        <row r="114">
          <cell r="B114" t="str">
            <v>공구손료</v>
          </cell>
          <cell r="C114" t="str">
            <v>노무비의 3%</v>
          </cell>
          <cell r="D114" t="str">
            <v>식</v>
          </cell>
          <cell r="E114">
            <v>1</v>
          </cell>
          <cell r="F114">
            <v>2316959.7599999998</v>
          </cell>
          <cell r="G114">
            <v>2316959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2316959.7599999998</v>
          </cell>
          <cell r="M114">
            <v>2316959</v>
          </cell>
          <cell r="W114">
            <v>-2316959</v>
          </cell>
          <cell r="X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W115">
            <v>0</v>
          </cell>
          <cell r="X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W116">
            <v>0</v>
          </cell>
          <cell r="X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W117">
            <v>0</v>
          </cell>
          <cell r="X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W118">
            <v>0</v>
          </cell>
          <cell r="X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W119">
            <v>0</v>
          </cell>
          <cell r="X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W120">
            <v>0</v>
          </cell>
          <cell r="X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W121">
            <v>0</v>
          </cell>
          <cell r="X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W122">
            <v>0</v>
          </cell>
          <cell r="X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W123">
            <v>0</v>
          </cell>
          <cell r="X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W124">
            <v>0</v>
          </cell>
          <cell r="X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W125">
            <v>0</v>
          </cell>
          <cell r="X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W126">
            <v>0</v>
          </cell>
          <cell r="X126">
            <v>0</v>
          </cell>
        </row>
        <row r="127">
          <cell r="B127" t="str">
            <v>계</v>
          </cell>
          <cell r="C127">
            <v>0</v>
          </cell>
          <cell r="D127">
            <v>0</v>
          </cell>
          <cell r="E127">
            <v>0</v>
          </cell>
          <cell r="G127">
            <v>21285798.166666668</v>
          </cell>
          <cell r="I127">
            <v>77231992</v>
          </cell>
          <cell r="J127">
            <v>0</v>
          </cell>
          <cell r="K127">
            <v>0</v>
          </cell>
          <cell r="M127">
            <v>98517790.166666672</v>
          </cell>
          <cell r="W127">
            <v>-98517790.166666672</v>
          </cell>
          <cell r="X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W128">
            <v>0</v>
          </cell>
          <cell r="X128">
            <v>0</v>
          </cell>
        </row>
        <row r="129">
          <cell r="A129" t="str">
            <v>일위12-1</v>
          </cell>
          <cell r="B129" t="str">
            <v>낙착율</v>
          </cell>
          <cell r="C129">
            <v>0.80800000000000005</v>
          </cell>
          <cell r="D129">
            <v>0</v>
          </cell>
          <cell r="E129">
            <v>8731</v>
          </cell>
          <cell r="F129">
            <v>0</v>
          </cell>
          <cell r="G129">
            <v>21285798.166666668</v>
          </cell>
          <cell r="H129">
            <v>0</v>
          </cell>
          <cell r="I129">
            <v>77231992</v>
          </cell>
          <cell r="J129">
            <v>0</v>
          </cell>
          <cell r="K129">
            <v>0</v>
          </cell>
          <cell r="L129">
            <v>8577</v>
          </cell>
          <cell r="M129">
            <v>72707229</v>
          </cell>
          <cell r="W129">
            <v>-72707229</v>
          </cell>
          <cell r="X129">
            <v>0</v>
          </cell>
        </row>
        <row r="130">
          <cell r="A130" t="str">
            <v>일위16</v>
          </cell>
          <cell r="B130" t="str">
            <v xml:space="preserve"> 15. 케이블트레이신설</v>
          </cell>
          <cell r="C130" t="str">
            <v>W150xH100</v>
          </cell>
          <cell r="D130" t="str">
            <v>m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W130">
            <v>0</v>
          </cell>
          <cell r="X130">
            <v>0</v>
          </cell>
        </row>
        <row r="131">
          <cell r="B131" t="str">
            <v>HI-TEC TRAY</v>
          </cell>
          <cell r="C131" t="str">
            <v>W150xH100</v>
          </cell>
          <cell r="D131" t="str">
            <v>m</v>
          </cell>
          <cell r="E131">
            <v>3918</v>
          </cell>
          <cell r="F131">
            <v>11710</v>
          </cell>
          <cell r="G131">
            <v>45879780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11710</v>
          </cell>
          <cell r="M131">
            <v>45879780</v>
          </cell>
          <cell r="W131">
            <v>-45879780</v>
          </cell>
          <cell r="X131">
            <v>0</v>
          </cell>
        </row>
        <row r="132">
          <cell r="B132" t="str">
            <v>TRAY COVER</v>
          </cell>
          <cell r="C132" t="str">
            <v xml:space="preserve">W150 </v>
          </cell>
          <cell r="D132" t="str">
            <v>m</v>
          </cell>
          <cell r="E132">
            <v>3918</v>
          </cell>
          <cell r="F132">
            <v>5170</v>
          </cell>
          <cell r="G132">
            <v>20256060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5170</v>
          </cell>
          <cell r="M132">
            <v>20256060</v>
          </cell>
          <cell r="W132">
            <v>-20256060</v>
          </cell>
          <cell r="X132">
            <v>0</v>
          </cell>
        </row>
        <row r="133">
          <cell r="B133" t="str">
            <v>JOINER</v>
          </cell>
          <cell r="C133" t="str">
            <v>W150xH100</v>
          </cell>
          <cell r="D133" t="str">
            <v>SET</v>
          </cell>
          <cell r="E133">
            <v>2488</v>
          </cell>
          <cell r="F133">
            <v>2610</v>
          </cell>
          <cell r="G133">
            <v>6493680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2610</v>
          </cell>
          <cell r="M133">
            <v>6493680</v>
          </cell>
          <cell r="W133">
            <v>-6493680</v>
          </cell>
          <cell r="X133">
            <v>0</v>
          </cell>
        </row>
        <row r="134">
          <cell r="B134" t="str">
            <v>HOLD DOWN CLAMP</v>
          </cell>
          <cell r="C134" t="str">
            <v>아연도</v>
          </cell>
          <cell r="D134" t="str">
            <v>SET</v>
          </cell>
          <cell r="E134">
            <v>2488</v>
          </cell>
          <cell r="F134">
            <v>1400</v>
          </cell>
          <cell r="G134">
            <v>3483200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1400</v>
          </cell>
          <cell r="M134">
            <v>3483200</v>
          </cell>
          <cell r="W134">
            <v>-3483200</v>
          </cell>
          <cell r="X134">
            <v>0</v>
          </cell>
        </row>
        <row r="135">
          <cell r="B135" t="str">
            <v>VARIABLE BRACKET</v>
          </cell>
          <cell r="C135" t="str">
            <v>L200</v>
          </cell>
          <cell r="D135" t="str">
            <v>SET</v>
          </cell>
          <cell r="E135">
            <v>3732</v>
          </cell>
          <cell r="F135">
            <v>16840</v>
          </cell>
          <cell r="G135">
            <v>62846880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16840</v>
          </cell>
          <cell r="M135">
            <v>62846880</v>
          </cell>
          <cell r="W135">
            <v>-62846880</v>
          </cell>
          <cell r="X135">
            <v>0</v>
          </cell>
        </row>
        <row r="136">
          <cell r="B136" t="str">
            <v>BONDING JUMPER</v>
          </cell>
          <cell r="C136" t="str">
            <v>38㎟</v>
          </cell>
          <cell r="D136" t="str">
            <v>개</v>
          </cell>
          <cell r="E136">
            <v>2488</v>
          </cell>
          <cell r="F136">
            <v>2800</v>
          </cell>
          <cell r="G136">
            <v>6966400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2800</v>
          </cell>
          <cell r="M136">
            <v>6966400</v>
          </cell>
          <cell r="W136">
            <v>-6966400</v>
          </cell>
          <cell r="X136">
            <v>0</v>
          </cell>
        </row>
        <row r="137">
          <cell r="B137" t="str">
            <v>CABLE TRAY</v>
          </cell>
          <cell r="C137" t="str">
            <v>W450x100Hx2.3t</v>
          </cell>
          <cell r="D137" t="str">
            <v>m</v>
          </cell>
          <cell r="E137">
            <v>15</v>
          </cell>
          <cell r="F137">
            <v>11520</v>
          </cell>
          <cell r="G137">
            <v>172800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11520</v>
          </cell>
          <cell r="M137">
            <v>172800</v>
          </cell>
          <cell r="W137">
            <v>-172800</v>
          </cell>
          <cell r="X137">
            <v>0</v>
          </cell>
        </row>
        <row r="138">
          <cell r="B138" t="str">
            <v>JOINTN CONNECTOR</v>
          </cell>
          <cell r="C138" t="str">
            <v>아연도 100Hx2.3t</v>
          </cell>
          <cell r="D138" t="str">
            <v>개</v>
          </cell>
          <cell r="E138">
            <v>10</v>
          </cell>
          <cell r="F138">
            <v>1100</v>
          </cell>
          <cell r="G138">
            <v>11000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1100</v>
          </cell>
          <cell r="M138">
            <v>11000</v>
          </cell>
          <cell r="W138">
            <v>-11000</v>
          </cell>
          <cell r="X138">
            <v>0</v>
          </cell>
        </row>
        <row r="139">
          <cell r="B139" t="str">
            <v>HOLD DOWN CLAMP</v>
          </cell>
          <cell r="C139" t="str">
            <v>아연도</v>
          </cell>
          <cell r="D139" t="str">
            <v>개</v>
          </cell>
          <cell r="E139">
            <v>10</v>
          </cell>
          <cell r="F139">
            <v>300</v>
          </cell>
          <cell r="G139">
            <v>3000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300</v>
          </cell>
          <cell r="M139">
            <v>3000</v>
          </cell>
          <cell r="W139">
            <v>-3000</v>
          </cell>
          <cell r="X139">
            <v>0</v>
          </cell>
        </row>
        <row r="140">
          <cell r="B140" t="str">
            <v>U CHANNEL</v>
          </cell>
          <cell r="C140" t="str">
            <v>41x41x2.6t</v>
          </cell>
          <cell r="D140" t="str">
            <v>m</v>
          </cell>
          <cell r="E140">
            <v>3</v>
          </cell>
          <cell r="F140">
            <v>3000</v>
          </cell>
          <cell r="G140">
            <v>9000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3000</v>
          </cell>
          <cell r="M140">
            <v>9000</v>
          </cell>
          <cell r="W140">
            <v>-9000</v>
          </cell>
          <cell r="X140">
            <v>0</v>
          </cell>
        </row>
        <row r="141">
          <cell r="B141" t="str">
            <v>노무비</v>
          </cell>
          <cell r="C141" t="str">
            <v>내선전공</v>
          </cell>
          <cell r="D141" t="str">
            <v>인</v>
          </cell>
          <cell r="E141">
            <v>846.37</v>
          </cell>
          <cell r="F141">
            <v>0</v>
          </cell>
          <cell r="G141">
            <v>0</v>
          </cell>
          <cell r="H141">
            <v>49296</v>
          </cell>
          <cell r="I141">
            <v>41722655</v>
          </cell>
          <cell r="J141">
            <v>0</v>
          </cell>
          <cell r="K141">
            <v>0</v>
          </cell>
          <cell r="L141">
            <v>0</v>
          </cell>
          <cell r="M141">
            <v>41722655</v>
          </cell>
          <cell r="W141">
            <v>-41722655</v>
          </cell>
          <cell r="X141">
            <v>0</v>
          </cell>
        </row>
        <row r="142">
          <cell r="B142" t="str">
            <v>공구손료</v>
          </cell>
          <cell r="C142" t="str">
            <v>노무비의 3%</v>
          </cell>
          <cell r="D142" t="str">
            <v>식</v>
          </cell>
          <cell r="E142">
            <v>1</v>
          </cell>
          <cell r="F142">
            <v>2512264</v>
          </cell>
          <cell r="G142">
            <v>2512264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2512264</v>
          </cell>
          <cell r="W142">
            <v>-2512264</v>
          </cell>
          <cell r="X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W143">
            <v>0</v>
          </cell>
          <cell r="X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W144">
            <v>0</v>
          </cell>
          <cell r="X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W145">
            <v>0</v>
          </cell>
          <cell r="X145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W146">
            <v>0</v>
          </cell>
          <cell r="X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W147">
            <v>0</v>
          </cell>
          <cell r="X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W148">
            <v>0</v>
          </cell>
          <cell r="X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W149">
            <v>0</v>
          </cell>
          <cell r="X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W150">
            <v>0</v>
          </cell>
          <cell r="X150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W151">
            <v>0</v>
          </cell>
          <cell r="X151">
            <v>0</v>
          </cell>
        </row>
        <row r="152">
          <cell r="B152" t="str">
            <v>계</v>
          </cell>
          <cell r="C152">
            <v>0</v>
          </cell>
          <cell r="D152">
            <v>0</v>
          </cell>
          <cell r="G152">
            <v>148634064</v>
          </cell>
          <cell r="I152">
            <v>41722655</v>
          </cell>
          <cell r="J152">
            <v>0</v>
          </cell>
          <cell r="K152">
            <v>0</v>
          </cell>
          <cell r="M152">
            <v>190356719</v>
          </cell>
          <cell r="W152">
            <v>-190356719</v>
          </cell>
          <cell r="X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W153">
            <v>0</v>
          </cell>
          <cell r="X153">
            <v>0</v>
          </cell>
        </row>
        <row r="154">
          <cell r="A154" t="str">
            <v>일위16-1</v>
          </cell>
          <cell r="B154" t="str">
            <v>낙착율</v>
          </cell>
          <cell r="C154">
            <v>0.80800000000000005</v>
          </cell>
          <cell r="D154">
            <v>0</v>
          </cell>
          <cell r="E154">
            <v>3918</v>
          </cell>
          <cell r="F154">
            <v>0</v>
          </cell>
          <cell r="G154">
            <v>148634064</v>
          </cell>
          <cell r="H154">
            <v>0</v>
          </cell>
          <cell r="I154">
            <v>41722655</v>
          </cell>
          <cell r="J154">
            <v>0</v>
          </cell>
          <cell r="K154">
            <v>0</v>
          </cell>
          <cell r="L154">
            <v>36163</v>
          </cell>
          <cell r="M154">
            <v>134960316</v>
          </cell>
          <cell r="W154">
            <v>-134960316</v>
          </cell>
          <cell r="X154">
            <v>0</v>
          </cell>
        </row>
        <row r="155">
          <cell r="A155" t="str">
            <v>일위17</v>
          </cell>
          <cell r="B155" t="str">
            <v xml:space="preserve"> 16. 맨홀 A형</v>
          </cell>
          <cell r="C155" t="str">
            <v>1120x620</v>
          </cell>
          <cell r="D155" t="str">
            <v>개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W155">
            <v>0</v>
          </cell>
          <cell r="X155">
            <v>0</v>
          </cell>
        </row>
        <row r="156">
          <cell r="B156" t="str">
            <v>수공철개</v>
          </cell>
          <cell r="C156" t="str">
            <v>1120x620</v>
          </cell>
          <cell r="D156" t="str">
            <v>개</v>
          </cell>
          <cell r="E156">
            <v>1</v>
          </cell>
          <cell r="F156">
            <v>250000</v>
          </cell>
          <cell r="G156">
            <v>250000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250000</v>
          </cell>
          <cell r="M156">
            <v>250000</v>
          </cell>
          <cell r="W156">
            <v>-250000</v>
          </cell>
          <cell r="X156">
            <v>0</v>
          </cell>
        </row>
        <row r="157">
          <cell r="B157" t="str">
            <v>콘크리트</v>
          </cell>
          <cell r="C157" t="str">
            <v>1:2:4</v>
          </cell>
          <cell r="D157" t="str">
            <v>㎥</v>
          </cell>
          <cell r="E157">
            <v>1190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W157">
            <v>0</v>
          </cell>
          <cell r="X157">
            <v>0</v>
          </cell>
        </row>
        <row r="158">
          <cell r="B158" t="str">
            <v>시멘트</v>
          </cell>
          <cell r="C158" t="str">
            <v>포틀랜드 40Kg</v>
          </cell>
          <cell r="D158" t="str">
            <v>포</v>
          </cell>
          <cell r="E158">
            <v>9.5</v>
          </cell>
          <cell r="F158">
            <v>2700</v>
          </cell>
          <cell r="G158">
            <v>25650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2700</v>
          </cell>
          <cell r="M158">
            <v>25650</v>
          </cell>
          <cell r="W158">
            <v>-25650</v>
          </cell>
          <cell r="X158">
            <v>0</v>
          </cell>
        </row>
        <row r="159">
          <cell r="B159" t="str">
            <v>모래</v>
          </cell>
          <cell r="C159" t="str">
            <v>세사</v>
          </cell>
          <cell r="D159" t="str">
            <v>㎥</v>
          </cell>
          <cell r="E159">
            <v>0.53</v>
          </cell>
          <cell r="F159">
            <v>12000</v>
          </cell>
          <cell r="G159">
            <v>6360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12000</v>
          </cell>
          <cell r="M159">
            <v>6360</v>
          </cell>
          <cell r="W159">
            <v>-6360</v>
          </cell>
          <cell r="X159">
            <v>0</v>
          </cell>
        </row>
        <row r="160">
          <cell r="B160" t="str">
            <v>자갈</v>
          </cell>
          <cell r="C160" t="str">
            <v>25mm 이하</v>
          </cell>
          <cell r="D160" t="str">
            <v>㎥</v>
          </cell>
          <cell r="E160">
            <v>1.07</v>
          </cell>
          <cell r="F160">
            <v>17000</v>
          </cell>
          <cell r="G160">
            <v>18190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17000</v>
          </cell>
          <cell r="M160">
            <v>18190</v>
          </cell>
          <cell r="W160">
            <v>-18190</v>
          </cell>
          <cell r="X160">
            <v>0</v>
          </cell>
        </row>
        <row r="161">
          <cell r="B161" t="str">
            <v>막돌</v>
          </cell>
          <cell r="C161" t="str">
            <v>200mm 이하</v>
          </cell>
          <cell r="D161" t="str">
            <v>㎥</v>
          </cell>
          <cell r="E161">
            <v>0.56999999999999995</v>
          </cell>
          <cell r="F161">
            <v>8000</v>
          </cell>
          <cell r="G161">
            <v>4560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8000</v>
          </cell>
          <cell r="M161">
            <v>4560</v>
          </cell>
          <cell r="W161">
            <v>-4560</v>
          </cell>
          <cell r="X161">
            <v>0</v>
          </cell>
        </row>
        <row r="162">
          <cell r="B162" t="str">
            <v>거푸집</v>
          </cell>
          <cell r="C162" t="str">
            <v>합판4회</v>
          </cell>
          <cell r="D162" t="str">
            <v>㎡</v>
          </cell>
          <cell r="E162">
            <v>10.1</v>
          </cell>
          <cell r="F162">
            <v>16966</v>
          </cell>
          <cell r="G162">
            <v>171356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16966</v>
          </cell>
          <cell r="M162">
            <v>171356</v>
          </cell>
          <cell r="W162">
            <v>-171356</v>
          </cell>
          <cell r="X162">
            <v>0</v>
          </cell>
        </row>
        <row r="163">
          <cell r="B163" t="str">
            <v>이형철근</v>
          </cell>
          <cell r="C163" t="str">
            <v>D-13 SD30A</v>
          </cell>
          <cell r="D163" t="str">
            <v>TON</v>
          </cell>
          <cell r="E163">
            <v>0.13900000000000001</v>
          </cell>
          <cell r="F163">
            <v>381300</v>
          </cell>
          <cell r="G163">
            <v>53000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381300</v>
          </cell>
          <cell r="M163">
            <v>53000</v>
          </cell>
          <cell r="W163">
            <v>-53000</v>
          </cell>
          <cell r="X163">
            <v>0</v>
          </cell>
        </row>
        <row r="164">
          <cell r="B164" t="str">
            <v>체인</v>
          </cell>
          <cell r="C164" t="str">
            <v>8φx 1000mm</v>
          </cell>
          <cell r="D164" t="str">
            <v>개</v>
          </cell>
          <cell r="E164">
            <v>2</v>
          </cell>
          <cell r="F164">
            <v>2000</v>
          </cell>
          <cell r="G164">
            <v>4000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2000</v>
          </cell>
          <cell r="M164">
            <v>4000</v>
          </cell>
          <cell r="W164">
            <v>-4000</v>
          </cell>
          <cell r="X164">
            <v>0</v>
          </cell>
        </row>
        <row r="165">
          <cell r="B165" t="str">
            <v>앙카볼트</v>
          </cell>
          <cell r="C165" t="str">
            <v>16φx 120mm</v>
          </cell>
          <cell r="D165" t="str">
            <v>m</v>
          </cell>
          <cell r="E165">
            <v>2</v>
          </cell>
          <cell r="F165">
            <v>330</v>
          </cell>
          <cell r="G165">
            <v>660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330</v>
          </cell>
          <cell r="M165">
            <v>660</v>
          </cell>
          <cell r="W165">
            <v>-660</v>
          </cell>
          <cell r="X165">
            <v>0</v>
          </cell>
        </row>
        <row r="166">
          <cell r="B166" t="str">
            <v>"ㄱ"형강</v>
          </cell>
          <cell r="C166" t="str">
            <v>75 x 75</v>
          </cell>
          <cell r="D166" t="str">
            <v>Kg</v>
          </cell>
          <cell r="E166">
            <v>29.88</v>
          </cell>
          <cell r="F166">
            <v>3635</v>
          </cell>
          <cell r="G166">
            <v>108613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3635</v>
          </cell>
          <cell r="M166">
            <v>108613</v>
          </cell>
          <cell r="W166">
            <v>-108613</v>
          </cell>
          <cell r="X166">
            <v>0</v>
          </cell>
        </row>
        <row r="167">
          <cell r="B167" t="str">
            <v>터파기</v>
          </cell>
          <cell r="C167">
            <v>0</v>
          </cell>
          <cell r="D167" t="str">
            <v>㎡</v>
          </cell>
          <cell r="E167">
            <v>4.5199999999999996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W167">
            <v>0</v>
          </cell>
          <cell r="X167">
            <v>0</v>
          </cell>
        </row>
        <row r="168">
          <cell r="B168" t="str">
            <v>되메우기</v>
          </cell>
          <cell r="C168">
            <v>0</v>
          </cell>
          <cell r="D168" t="str">
            <v>㎡</v>
          </cell>
          <cell r="E168">
            <v>2.27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W168">
            <v>0</v>
          </cell>
          <cell r="X168">
            <v>0</v>
          </cell>
        </row>
        <row r="169">
          <cell r="B169" t="str">
            <v>잔토처리</v>
          </cell>
          <cell r="C169">
            <v>0</v>
          </cell>
          <cell r="D169" t="str">
            <v>㎡</v>
          </cell>
          <cell r="E169">
            <v>2.25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W169">
            <v>0</v>
          </cell>
          <cell r="X169">
            <v>0</v>
          </cell>
        </row>
        <row r="170">
          <cell r="B170" t="str">
            <v>노무비</v>
          </cell>
          <cell r="C170" t="str">
            <v>철근공</v>
          </cell>
          <cell r="D170" t="str">
            <v>인</v>
          </cell>
          <cell r="E170">
            <v>0.55000000000000004</v>
          </cell>
          <cell r="F170">
            <v>0</v>
          </cell>
          <cell r="G170">
            <v>0</v>
          </cell>
          <cell r="H170">
            <v>63607</v>
          </cell>
          <cell r="I170">
            <v>34983</v>
          </cell>
          <cell r="J170">
            <v>0</v>
          </cell>
          <cell r="K170">
            <v>0</v>
          </cell>
          <cell r="L170">
            <v>63607</v>
          </cell>
          <cell r="M170">
            <v>34983</v>
          </cell>
          <cell r="W170">
            <v>-34983</v>
          </cell>
          <cell r="X170">
            <v>0</v>
          </cell>
        </row>
        <row r="171">
          <cell r="B171" t="str">
            <v>노무비</v>
          </cell>
          <cell r="C171" t="str">
            <v>미장공</v>
          </cell>
          <cell r="D171" t="str">
            <v>인</v>
          </cell>
          <cell r="E171">
            <v>0.6</v>
          </cell>
          <cell r="F171">
            <v>0</v>
          </cell>
          <cell r="G171">
            <v>0</v>
          </cell>
          <cell r="H171">
            <v>54467</v>
          </cell>
          <cell r="I171">
            <v>32680</v>
          </cell>
          <cell r="J171">
            <v>0</v>
          </cell>
          <cell r="K171">
            <v>0</v>
          </cell>
          <cell r="L171">
            <v>54467</v>
          </cell>
          <cell r="M171">
            <v>32680</v>
          </cell>
          <cell r="W171">
            <v>-32680</v>
          </cell>
          <cell r="X171">
            <v>0</v>
          </cell>
        </row>
        <row r="172">
          <cell r="B172" t="str">
            <v>노무비</v>
          </cell>
          <cell r="C172" t="str">
            <v>콘크리트공</v>
          </cell>
          <cell r="D172" t="str">
            <v>인</v>
          </cell>
          <cell r="E172">
            <v>1.01</v>
          </cell>
          <cell r="F172">
            <v>0</v>
          </cell>
          <cell r="G172">
            <v>0</v>
          </cell>
          <cell r="H172">
            <v>62281</v>
          </cell>
          <cell r="I172">
            <v>62903</v>
          </cell>
          <cell r="J172">
            <v>0</v>
          </cell>
          <cell r="K172">
            <v>0</v>
          </cell>
          <cell r="L172">
            <v>62281</v>
          </cell>
          <cell r="M172">
            <v>62903</v>
          </cell>
          <cell r="W172">
            <v>-62903</v>
          </cell>
          <cell r="X172">
            <v>0</v>
          </cell>
        </row>
        <row r="173">
          <cell r="B173" t="str">
            <v>노무비</v>
          </cell>
          <cell r="C173" t="str">
            <v>내선전공</v>
          </cell>
          <cell r="D173" t="str">
            <v>인</v>
          </cell>
          <cell r="E173">
            <v>0.16</v>
          </cell>
          <cell r="F173">
            <v>0</v>
          </cell>
          <cell r="G173">
            <v>0</v>
          </cell>
          <cell r="H173">
            <v>49296</v>
          </cell>
          <cell r="I173">
            <v>7887</v>
          </cell>
          <cell r="J173">
            <v>0</v>
          </cell>
          <cell r="K173">
            <v>0</v>
          </cell>
          <cell r="L173">
            <v>49296</v>
          </cell>
          <cell r="M173">
            <v>7887</v>
          </cell>
          <cell r="W173">
            <v>-7887</v>
          </cell>
          <cell r="X173">
            <v>0</v>
          </cell>
        </row>
        <row r="174">
          <cell r="B174" t="str">
            <v>노무비</v>
          </cell>
          <cell r="C174" t="str">
            <v>보통인부</v>
          </cell>
          <cell r="D174" t="str">
            <v>인</v>
          </cell>
          <cell r="E174">
            <v>4.21</v>
          </cell>
          <cell r="F174">
            <v>0</v>
          </cell>
          <cell r="G174">
            <v>0</v>
          </cell>
          <cell r="H174">
            <v>34360</v>
          </cell>
          <cell r="I174">
            <v>144655</v>
          </cell>
          <cell r="J174">
            <v>0</v>
          </cell>
          <cell r="K174">
            <v>0</v>
          </cell>
          <cell r="L174">
            <v>34360</v>
          </cell>
          <cell r="M174">
            <v>144655</v>
          </cell>
          <cell r="W174">
            <v>-144655</v>
          </cell>
          <cell r="X174">
            <v>0</v>
          </cell>
        </row>
        <row r="175">
          <cell r="B175" t="str">
            <v>공구손료</v>
          </cell>
          <cell r="C175" t="str">
            <v>노무비의 3%</v>
          </cell>
          <cell r="D175" t="str">
            <v>식</v>
          </cell>
          <cell r="E175">
            <v>1</v>
          </cell>
          <cell r="F175">
            <v>9809</v>
          </cell>
          <cell r="G175">
            <v>9809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9809</v>
          </cell>
          <cell r="M175">
            <v>9809</v>
          </cell>
          <cell r="W175">
            <v>-9809</v>
          </cell>
          <cell r="X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W176">
            <v>0</v>
          </cell>
          <cell r="X176">
            <v>0</v>
          </cell>
        </row>
        <row r="177">
          <cell r="B177" t="str">
            <v>계</v>
          </cell>
          <cell r="C177">
            <v>0</v>
          </cell>
          <cell r="E177">
            <v>1</v>
          </cell>
          <cell r="G177">
            <v>652198</v>
          </cell>
          <cell r="I177">
            <v>283108</v>
          </cell>
          <cell r="J177">
            <v>0</v>
          </cell>
          <cell r="K177">
            <v>0</v>
          </cell>
          <cell r="M177">
            <v>935306</v>
          </cell>
          <cell r="W177">
            <v>-935306</v>
          </cell>
          <cell r="X177">
            <v>0</v>
          </cell>
        </row>
        <row r="178">
          <cell r="B178">
            <v>0</v>
          </cell>
          <cell r="C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935306</v>
          </cell>
          <cell r="M178">
            <v>61730196</v>
          </cell>
          <cell r="W178">
            <v>-61730196</v>
          </cell>
          <cell r="X178">
            <v>0</v>
          </cell>
        </row>
        <row r="179">
          <cell r="A179" t="str">
            <v>일위17-1</v>
          </cell>
          <cell r="B179" t="str">
            <v>낙착율</v>
          </cell>
          <cell r="C179">
            <v>0.80800000000000005</v>
          </cell>
          <cell r="D179">
            <v>0</v>
          </cell>
          <cell r="E179">
            <v>66</v>
          </cell>
          <cell r="F179">
            <v>652198</v>
          </cell>
          <cell r="G179">
            <v>43045068</v>
          </cell>
          <cell r="H179">
            <v>283108</v>
          </cell>
          <cell r="I179">
            <v>18685128</v>
          </cell>
          <cell r="J179">
            <v>0</v>
          </cell>
          <cell r="K179">
            <v>0</v>
          </cell>
          <cell r="L179">
            <v>526708</v>
          </cell>
          <cell r="M179">
            <v>34762728</v>
          </cell>
          <cell r="W179">
            <v>-34762728</v>
          </cell>
          <cell r="X179">
            <v>0</v>
          </cell>
        </row>
        <row r="180">
          <cell r="A180" t="str">
            <v>일위18</v>
          </cell>
          <cell r="B180" t="str">
            <v xml:space="preserve"> 17. 맨홀 B형</v>
          </cell>
          <cell r="C180" t="str">
            <v>1120x620x132</v>
          </cell>
          <cell r="D180" t="str">
            <v>개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W180">
            <v>0</v>
          </cell>
          <cell r="X180">
            <v>0</v>
          </cell>
        </row>
        <row r="181">
          <cell r="B181" t="str">
            <v>수공철개</v>
          </cell>
          <cell r="C181" t="str">
            <v>1120x620x132</v>
          </cell>
          <cell r="D181" t="str">
            <v>개</v>
          </cell>
          <cell r="E181">
            <v>1</v>
          </cell>
          <cell r="F181">
            <v>250000</v>
          </cell>
          <cell r="G181">
            <v>250000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250000</v>
          </cell>
          <cell r="M181">
            <v>250000</v>
          </cell>
          <cell r="W181">
            <v>-250000</v>
          </cell>
          <cell r="X181">
            <v>0</v>
          </cell>
        </row>
        <row r="182">
          <cell r="B182" t="str">
            <v>콘크리트</v>
          </cell>
          <cell r="C182" t="str">
            <v>1:2:4</v>
          </cell>
          <cell r="D182" t="str">
            <v>㎥</v>
          </cell>
          <cell r="E182">
            <v>1.72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W182">
            <v>0</v>
          </cell>
          <cell r="X182">
            <v>0</v>
          </cell>
        </row>
        <row r="183">
          <cell r="B183" t="str">
            <v>시멘트</v>
          </cell>
          <cell r="C183" t="str">
            <v>포틀랜드 40Kg</v>
          </cell>
          <cell r="D183" t="str">
            <v>포</v>
          </cell>
          <cell r="E183">
            <v>13.7</v>
          </cell>
          <cell r="F183">
            <v>2700</v>
          </cell>
          <cell r="G183">
            <v>36990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2700</v>
          </cell>
          <cell r="M183">
            <v>36990</v>
          </cell>
          <cell r="W183">
            <v>-36990</v>
          </cell>
          <cell r="X183">
            <v>0</v>
          </cell>
        </row>
        <row r="184">
          <cell r="B184" t="str">
            <v>모래</v>
          </cell>
          <cell r="C184" t="str">
            <v>세사</v>
          </cell>
          <cell r="D184" t="str">
            <v>㎥</v>
          </cell>
          <cell r="E184">
            <v>0.77</v>
          </cell>
          <cell r="F184">
            <v>12000</v>
          </cell>
          <cell r="G184">
            <v>9240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12000</v>
          </cell>
          <cell r="M184">
            <v>9240</v>
          </cell>
          <cell r="W184">
            <v>-9240</v>
          </cell>
          <cell r="X184">
            <v>0</v>
          </cell>
        </row>
        <row r="185">
          <cell r="B185" t="str">
            <v>자갈</v>
          </cell>
          <cell r="C185" t="str">
            <v>25mm 이하</v>
          </cell>
          <cell r="D185" t="str">
            <v>㎥</v>
          </cell>
          <cell r="E185">
            <v>1.54</v>
          </cell>
          <cell r="F185">
            <v>17000</v>
          </cell>
          <cell r="G185">
            <v>26180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17000</v>
          </cell>
          <cell r="M185">
            <v>26180</v>
          </cell>
          <cell r="W185">
            <v>-26180</v>
          </cell>
          <cell r="X185">
            <v>0</v>
          </cell>
        </row>
        <row r="186">
          <cell r="B186" t="str">
            <v>막돌</v>
          </cell>
          <cell r="C186" t="str">
            <v>200mm 이하</v>
          </cell>
          <cell r="D186" t="str">
            <v>㎥</v>
          </cell>
          <cell r="E186">
            <v>0.56999999999999995</v>
          </cell>
          <cell r="F186">
            <v>8000</v>
          </cell>
          <cell r="G186">
            <v>4560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8000</v>
          </cell>
          <cell r="M186">
            <v>4560</v>
          </cell>
          <cell r="W186">
            <v>-4560</v>
          </cell>
          <cell r="X186">
            <v>0</v>
          </cell>
        </row>
        <row r="187">
          <cell r="B187" t="str">
            <v>거푸집</v>
          </cell>
          <cell r="C187" t="str">
            <v>합판4회</v>
          </cell>
          <cell r="D187" t="str">
            <v>㎡</v>
          </cell>
          <cell r="E187">
            <v>15.38</v>
          </cell>
          <cell r="F187">
            <v>16966</v>
          </cell>
          <cell r="G187">
            <v>260937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16966</v>
          </cell>
          <cell r="M187">
            <v>260937</v>
          </cell>
          <cell r="W187">
            <v>-260937</v>
          </cell>
          <cell r="X187">
            <v>0</v>
          </cell>
        </row>
        <row r="188">
          <cell r="B188" t="str">
            <v>이형철근</v>
          </cell>
          <cell r="C188" t="str">
            <v>D-13 SD30A</v>
          </cell>
          <cell r="D188" t="str">
            <v>TON</v>
          </cell>
          <cell r="E188">
            <v>0.13900000000000001</v>
          </cell>
          <cell r="F188">
            <v>381300</v>
          </cell>
          <cell r="G188">
            <v>53000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381300</v>
          </cell>
          <cell r="M188">
            <v>53000</v>
          </cell>
          <cell r="W188">
            <v>-53000</v>
          </cell>
          <cell r="X188">
            <v>0</v>
          </cell>
        </row>
        <row r="189">
          <cell r="B189" t="str">
            <v>체인</v>
          </cell>
          <cell r="C189" t="str">
            <v>8φx 1000mm</v>
          </cell>
          <cell r="D189" t="str">
            <v>개</v>
          </cell>
          <cell r="E189">
            <v>2</v>
          </cell>
          <cell r="F189">
            <v>2000</v>
          </cell>
          <cell r="G189">
            <v>4000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2000</v>
          </cell>
          <cell r="M189">
            <v>4000</v>
          </cell>
          <cell r="W189">
            <v>-4000</v>
          </cell>
          <cell r="X189">
            <v>0</v>
          </cell>
        </row>
        <row r="190">
          <cell r="B190" t="str">
            <v>앙카볼트</v>
          </cell>
          <cell r="C190" t="str">
            <v>16φx 120mm</v>
          </cell>
          <cell r="D190" t="str">
            <v>m</v>
          </cell>
          <cell r="E190">
            <v>2</v>
          </cell>
          <cell r="F190">
            <v>330</v>
          </cell>
          <cell r="G190">
            <v>660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330</v>
          </cell>
          <cell r="M190">
            <v>660</v>
          </cell>
          <cell r="W190">
            <v>-660</v>
          </cell>
          <cell r="X190">
            <v>0</v>
          </cell>
        </row>
        <row r="191">
          <cell r="B191" t="str">
            <v>"ㄱ"형강</v>
          </cell>
          <cell r="C191" t="str">
            <v>75 x 75</v>
          </cell>
          <cell r="D191" t="str">
            <v>Kg</v>
          </cell>
          <cell r="E191">
            <v>29.88</v>
          </cell>
          <cell r="F191">
            <v>3635</v>
          </cell>
          <cell r="G191">
            <v>108613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3635</v>
          </cell>
          <cell r="M191">
            <v>108613</v>
          </cell>
          <cell r="W191">
            <v>-108613</v>
          </cell>
          <cell r="X191">
            <v>0</v>
          </cell>
        </row>
        <row r="192">
          <cell r="B192" t="str">
            <v>터파기</v>
          </cell>
          <cell r="C192">
            <v>0</v>
          </cell>
          <cell r="D192" t="str">
            <v>㎡</v>
          </cell>
          <cell r="E192">
            <v>7.69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W192">
            <v>0</v>
          </cell>
          <cell r="X192">
            <v>0</v>
          </cell>
        </row>
        <row r="193">
          <cell r="B193" t="str">
            <v>되메우기</v>
          </cell>
          <cell r="C193">
            <v>0</v>
          </cell>
          <cell r="D193" t="str">
            <v>㎡</v>
          </cell>
          <cell r="E193">
            <v>4.4400000000000004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W193">
            <v>0</v>
          </cell>
          <cell r="X193">
            <v>0</v>
          </cell>
        </row>
        <row r="194">
          <cell r="B194" t="str">
            <v>잔토처리</v>
          </cell>
          <cell r="C194">
            <v>0</v>
          </cell>
          <cell r="D194" t="str">
            <v>㎡</v>
          </cell>
          <cell r="E194">
            <v>3.25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W194">
            <v>0</v>
          </cell>
          <cell r="X194">
            <v>0</v>
          </cell>
        </row>
        <row r="195">
          <cell r="B195" t="str">
            <v>노무비</v>
          </cell>
          <cell r="C195" t="str">
            <v>철근공</v>
          </cell>
          <cell r="D195" t="str">
            <v>인</v>
          </cell>
          <cell r="E195">
            <v>0.55000000000000004</v>
          </cell>
          <cell r="F195">
            <v>0</v>
          </cell>
          <cell r="G195">
            <v>0</v>
          </cell>
          <cell r="H195">
            <v>63607</v>
          </cell>
          <cell r="I195">
            <v>34983</v>
          </cell>
          <cell r="J195">
            <v>0</v>
          </cell>
          <cell r="K195">
            <v>0</v>
          </cell>
          <cell r="L195">
            <v>63607</v>
          </cell>
          <cell r="M195">
            <v>34983</v>
          </cell>
          <cell r="W195">
            <v>-34983</v>
          </cell>
          <cell r="X195">
            <v>0</v>
          </cell>
        </row>
        <row r="196">
          <cell r="B196" t="str">
            <v>노무비</v>
          </cell>
          <cell r="C196" t="str">
            <v>미장공</v>
          </cell>
          <cell r="D196" t="str">
            <v>인</v>
          </cell>
          <cell r="E196">
            <v>0.6</v>
          </cell>
          <cell r="F196">
            <v>0</v>
          </cell>
          <cell r="G196">
            <v>0</v>
          </cell>
          <cell r="H196">
            <v>54467</v>
          </cell>
          <cell r="I196">
            <v>32680</v>
          </cell>
          <cell r="J196">
            <v>0</v>
          </cell>
          <cell r="K196">
            <v>0</v>
          </cell>
          <cell r="L196">
            <v>54467</v>
          </cell>
          <cell r="M196">
            <v>32680</v>
          </cell>
          <cell r="W196">
            <v>-32680</v>
          </cell>
          <cell r="X196">
            <v>0</v>
          </cell>
        </row>
        <row r="197">
          <cell r="B197" t="str">
            <v>노무비</v>
          </cell>
          <cell r="C197" t="str">
            <v>콘크리트공</v>
          </cell>
          <cell r="D197" t="str">
            <v>인</v>
          </cell>
          <cell r="E197">
            <v>1.46</v>
          </cell>
          <cell r="F197">
            <v>0</v>
          </cell>
          <cell r="G197">
            <v>0</v>
          </cell>
          <cell r="H197">
            <v>62281</v>
          </cell>
          <cell r="I197">
            <v>90930</v>
          </cell>
          <cell r="J197">
            <v>0</v>
          </cell>
          <cell r="K197">
            <v>0</v>
          </cell>
          <cell r="L197">
            <v>62281</v>
          </cell>
          <cell r="M197">
            <v>90930</v>
          </cell>
          <cell r="W197">
            <v>-90930</v>
          </cell>
          <cell r="X197">
            <v>0</v>
          </cell>
        </row>
        <row r="198">
          <cell r="B198" t="str">
            <v>노무비</v>
          </cell>
          <cell r="C198" t="str">
            <v>내선전공</v>
          </cell>
          <cell r="D198" t="str">
            <v>인</v>
          </cell>
          <cell r="E198">
            <v>0.16</v>
          </cell>
          <cell r="F198">
            <v>0</v>
          </cell>
          <cell r="G198">
            <v>0</v>
          </cell>
          <cell r="H198">
            <v>49296</v>
          </cell>
          <cell r="I198">
            <v>7887</v>
          </cell>
          <cell r="J198">
            <v>0</v>
          </cell>
          <cell r="K198">
            <v>0</v>
          </cell>
          <cell r="L198">
            <v>49296</v>
          </cell>
          <cell r="M198">
            <v>7887</v>
          </cell>
          <cell r="W198">
            <v>-7887</v>
          </cell>
          <cell r="X198">
            <v>0</v>
          </cell>
        </row>
        <row r="199">
          <cell r="B199" t="str">
            <v>노무비</v>
          </cell>
          <cell r="C199" t="str">
            <v>보통인부</v>
          </cell>
          <cell r="D199" t="str">
            <v>인</v>
          </cell>
          <cell r="E199">
            <v>6.33</v>
          </cell>
          <cell r="F199">
            <v>0</v>
          </cell>
          <cell r="G199">
            <v>0</v>
          </cell>
          <cell r="H199">
            <v>34360</v>
          </cell>
          <cell r="I199">
            <v>217498</v>
          </cell>
          <cell r="J199">
            <v>0</v>
          </cell>
          <cell r="K199">
            <v>0</v>
          </cell>
          <cell r="L199">
            <v>34360</v>
          </cell>
          <cell r="M199">
            <v>217498</v>
          </cell>
          <cell r="W199">
            <v>-217498</v>
          </cell>
          <cell r="X199">
            <v>0</v>
          </cell>
        </row>
        <row r="200">
          <cell r="B200" t="str">
            <v>공구손료</v>
          </cell>
          <cell r="C200" t="str">
            <v>노무비의 3%</v>
          </cell>
          <cell r="D200" t="str">
            <v>식</v>
          </cell>
          <cell r="E200">
            <v>1</v>
          </cell>
          <cell r="F200">
            <v>13158</v>
          </cell>
          <cell r="G200">
            <v>13158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13158</v>
          </cell>
          <cell r="M200">
            <v>13158</v>
          </cell>
          <cell r="W200">
            <v>-13158</v>
          </cell>
          <cell r="X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W201">
            <v>0</v>
          </cell>
          <cell r="X201">
            <v>0</v>
          </cell>
        </row>
        <row r="202">
          <cell r="B202" t="str">
            <v>계</v>
          </cell>
          <cell r="C202">
            <v>0</v>
          </cell>
          <cell r="D202">
            <v>0</v>
          </cell>
          <cell r="E202">
            <v>1</v>
          </cell>
          <cell r="G202">
            <v>767338</v>
          </cell>
          <cell r="I202">
            <v>383978</v>
          </cell>
          <cell r="J202">
            <v>0</v>
          </cell>
          <cell r="K202">
            <v>0</v>
          </cell>
          <cell r="M202">
            <v>1151316</v>
          </cell>
          <cell r="W202">
            <v>-1151316</v>
          </cell>
          <cell r="X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1151316</v>
          </cell>
          <cell r="M203">
            <v>16118424</v>
          </cell>
          <cell r="W203">
            <v>-16118424</v>
          </cell>
          <cell r="X203">
            <v>0</v>
          </cell>
        </row>
        <row r="204">
          <cell r="A204" t="str">
            <v>일위18-1</v>
          </cell>
          <cell r="B204" t="str">
            <v>낙착율</v>
          </cell>
          <cell r="C204">
            <v>0.80800000000000005</v>
          </cell>
          <cell r="D204">
            <v>0</v>
          </cell>
          <cell r="E204">
            <v>14</v>
          </cell>
          <cell r="F204">
            <v>767338</v>
          </cell>
          <cell r="G204">
            <v>10742732</v>
          </cell>
          <cell r="H204">
            <v>383978</v>
          </cell>
          <cell r="I204">
            <v>5375692</v>
          </cell>
          <cell r="J204">
            <v>0</v>
          </cell>
          <cell r="K204">
            <v>0</v>
          </cell>
          <cell r="L204">
            <v>641493</v>
          </cell>
          <cell r="M204">
            <v>8980902</v>
          </cell>
          <cell r="W204">
            <v>-8980902</v>
          </cell>
          <cell r="X204">
            <v>0</v>
          </cell>
        </row>
        <row r="205">
          <cell r="A205" t="str">
            <v>일위20</v>
          </cell>
          <cell r="B205" t="str">
            <v xml:space="preserve"> 18. 맨홀 C형</v>
          </cell>
          <cell r="C205" t="str">
            <v>1120x620x132</v>
          </cell>
          <cell r="D205" t="str">
            <v>개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W205">
            <v>0</v>
          </cell>
          <cell r="X205">
            <v>0</v>
          </cell>
        </row>
        <row r="206">
          <cell r="B206" t="str">
            <v>수공철개</v>
          </cell>
          <cell r="C206" t="str">
            <v>1120x620x132</v>
          </cell>
          <cell r="D206" t="str">
            <v>개</v>
          </cell>
          <cell r="E206">
            <v>1</v>
          </cell>
          <cell r="F206">
            <v>250000</v>
          </cell>
          <cell r="G206">
            <v>250000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250000</v>
          </cell>
          <cell r="M206">
            <v>250000</v>
          </cell>
          <cell r="W206">
            <v>-250000</v>
          </cell>
          <cell r="X206">
            <v>0</v>
          </cell>
        </row>
        <row r="207">
          <cell r="B207" t="str">
            <v>콘크리트</v>
          </cell>
          <cell r="C207" t="str">
            <v>1:2:4</v>
          </cell>
          <cell r="D207" t="str">
            <v>㎥</v>
          </cell>
          <cell r="E207">
            <v>3.22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W207">
            <v>0</v>
          </cell>
          <cell r="X207">
            <v>0</v>
          </cell>
        </row>
        <row r="208">
          <cell r="B208" t="str">
            <v>시멘트</v>
          </cell>
          <cell r="C208" t="str">
            <v>포틀랜드 40Kg</v>
          </cell>
          <cell r="D208" t="str">
            <v>포</v>
          </cell>
          <cell r="E208">
            <v>25.7</v>
          </cell>
          <cell r="F208">
            <v>2700</v>
          </cell>
          <cell r="G208">
            <v>69390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2700</v>
          </cell>
          <cell r="M208">
            <v>69390</v>
          </cell>
          <cell r="W208">
            <v>-69390</v>
          </cell>
          <cell r="X208">
            <v>0</v>
          </cell>
        </row>
        <row r="209">
          <cell r="B209" t="str">
            <v>모래</v>
          </cell>
          <cell r="C209" t="str">
            <v>세사</v>
          </cell>
          <cell r="D209" t="str">
            <v>㎥</v>
          </cell>
          <cell r="E209">
            <v>1.44</v>
          </cell>
          <cell r="F209">
            <v>12000</v>
          </cell>
          <cell r="G209">
            <v>17280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12000</v>
          </cell>
          <cell r="M209">
            <v>17280</v>
          </cell>
          <cell r="W209">
            <v>-17280</v>
          </cell>
          <cell r="X209">
            <v>0</v>
          </cell>
        </row>
        <row r="210">
          <cell r="B210" t="str">
            <v>자갈</v>
          </cell>
          <cell r="C210" t="str">
            <v>25mm 이하</v>
          </cell>
          <cell r="D210" t="str">
            <v>㎥</v>
          </cell>
          <cell r="E210">
            <v>2.89</v>
          </cell>
          <cell r="F210">
            <v>17000</v>
          </cell>
          <cell r="G210">
            <v>49130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17000</v>
          </cell>
          <cell r="M210">
            <v>49130</v>
          </cell>
          <cell r="W210">
            <v>-49130</v>
          </cell>
          <cell r="X210">
            <v>0</v>
          </cell>
        </row>
        <row r="211">
          <cell r="B211" t="str">
            <v>막돌</v>
          </cell>
          <cell r="C211" t="str">
            <v>200mm 이하</v>
          </cell>
          <cell r="D211" t="str">
            <v>㎥</v>
          </cell>
          <cell r="E211">
            <v>0.76</v>
          </cell>
          <cell r="F211">
            <v>8000</v>
          </cell>
          <cell r="G211">
            <v>6080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8000</v>
          </cell>
          <cell r="M211">
            <v>6080</v>
          </cell>
          <cell r="W211">
            <v>-6080</v>
          </cell>
          <cell r="X211">
            <v>0</v>
          </cell>
        </row>
        <row r="212">
          <cell r="B212" t="str">
            <v>거푸집</v>
          </cell>
          <cell r="C212" t="str">
            <v>합판4회</v>
          </cell>
          <cell r="D212" t="str">
            <v>㎡</v>
          </cell>
          <cell r="E212">
            <v>26.45</v>
          </cell>
          <cell r="F212">
            <v>16966</v>
          </cell>
          <cell r="G212">
            <v>448750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16966</v>
          </cell>
          <cell r="M212">
            <v>448750</v>
          </cell>
          <cell r="W212">
            <v>-448750</v>
          </cell>
          <cell r="X212">
            <v>0</v>
          </cell>
        </row>
        <row r="213">
          <cell r="B213" t="str">
            <v>이형철근</v>
          </cell>
          <cell r="C213" t="str">
            <v>D-13 SD30A</v>
          </cell>
          <cell r="D213" t="str">
            <v>TON</v>
          </cell>
          <cell r="E213">
            <v>0.13900000000000001</v>
          </cell>
          <cell r="F213">
            <v>381300</v>
          </cell>
          <cell r="G213">
            <v>53000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381300</v>
          </cell>
          <cell r="M213">
            <v>53000</v>
          </cell>
          <cell r="W213">
            <v>-53000</v>
          </cell>
          <cell r="X213">
            <v>0</v>
          </cell>
        </row>
        <row r="214">
          <cell r="B214" t="str">
            <v>체인</v>
          </cell>
          <cell r="C214" t="str">
            <v>8φx 1000mm</v>
          </cell>
          <cell r="D214" t="str">
            <v>개</v>
          </cell>
          <cell r="E214">
            <v>2</v>
          </cell>
          <cell r="F214">
            <v>2000</v>
          </cell>
          <cell r="G214">
            <v>4000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2000</v>
          </cell>
          <cell r="M214">
            <v>4000</v>
          </cell>
          <cell r="W214">
            <v>-4000</v>
          </cell>
          <cell r="X214">
            <v>0</v>
          </cell>
        </row>
        <row r="215">
          <cell r="B215" t="str">
            <v>앙카볼트</v>
          </cell>
          <cell r="C215" t="str">
            <v>16φx 120mm</v>
          </cell>
          <cell r="D215" t="str">
            <v>m</v>
          </cell>
          <cell r="E215">
            <v>2</v>
          </cell>
          <cell r="F215">
            <v>330</v>
          </cell>
          <cell r="G215">
            <v>660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330</v>
          </cell>
          <cell r="M215">
            <v>660</v>
          </cell>
          <cell r="W215">
            <v>-660</v>
          </cell>
          <cell r="X215">
            <v>0</v>
          </cell>
        </row>
        <row r="216">
          <cell r="B216" t="str">
            <v>"ㄱ"형강</v>
          </cell>
          <cell r="C216" t="str">
            <v>75 x 75</v>
          </cell>
          <cell r="D216" t="str">
            <v>Kg</v>
          </cell>
          <cell r="E216">
            <v>29.88</v>
          </cell>
          <cell r="F216">
            <v>3635</v>
          </cell>
          <cell r="G216">
            <v>108613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3635</v>
          </cell>
          <cell r="M216">
            <v>108613</v>
          </cell>
          <cell r="W216">
            <v>-108613</v>
          </cell>
          <cell r="X216">
            <v>0</v>
          </cell>
        </row>
        <row r="217">
          <cell r="B217" t="str">
            <v>터파기</v>
          </cell>
          <cell r="C217">
            <v>0</v>
          </cell>
          <cell r="D217" t="str">
            <v>㎡</v>
          </cell>
          <cell r="E217">
            <v>11.3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W217">
            <v>0</v>
          </cell>
          <cell r="X217">
            <v>0</v>
          </cell>
        </row>
        <row r="218">
          <cell r="B218" t="str">
            <v>되메우기</v>
          </cell>
          <cell r="C218">
            <v>0</v>
          </cell>
          <cell r="D218" t="str">
            <v>㎡</v>
          </cell>
          <cell r="E218">
            <v>4.42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W218">
            <v>0</v>
          </cell>
          <cell r="X218">
            <v>0</v>
          </cell>
        </row>
        <row r="219">
          <cell r="B219" t="str">
            <v>잔토처리</v>
          </cell>
          <cell r="C219">
            <v>0</v>
          </cell>
          <cell r="D219" t="str">
            <v>㎡</v>
          </cell>
          <cell r="E219">
            <v>6.88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W219">
            <v>0</v>
          </cell>
          <cell r="X219">
            <v>0</v>
          </cell>
        </row>
        <row r="220">
          <cell r="B220" t="str">
            <v>노무비</v>
          </cell>
          <cell r="C220" t="str">
            <v>철근공</v>
          </cell>
          <cell r="D220" t="str">
            <v>인</v>
          </cell>
          <cell r="E220">
            <v>0.55000000000000004</v>
          </cell>
          <cell r="F220">
            <v>0</v>
          </cell>
          <cell r="G220">
            <v>0</v>
          </cell>
          <cell r="H220">
            <v>63607</v>
          </cell>
          <cell r="I220">
            <v>34983</v>
          </cell>
          <cell r="J220">
            <v>0</v>
          </cell>
          <cell r="K220">
            <v>0</v>
          </cell>
          <cell r="L220">
            <v>63607</v>
          </cell>
          <cell r="M220">
            <v>34983</v>
          </cell>
          <cell r="W220">
            <v>-34983</v>
          </cell>
          <cell r="X220">
            <v>0</v>
          </cell>
        </row>
        <row r="221">
          <cell r="B221" t="str">
            <v>노무비</v>
          </cell>
          <cell r="C221" t="str">
            <v>미장공</v>
          </cell>
          <cell r="D221" t="str">
            <v>인</v>
          </cell>
          <cell r="E221">
            <v>0.6</v>
          </cell>
          <cell r="F221">
            <v>0</v>
          </cell>
          <cell r="G221">
            <v>0</v>
          </cell>
          <cell r="H221">
            <v>54467</v>
          </cell>
          <cell r="I221">
            <v>32680</v>
          </cell>
          <cell r="J221">
            <v>0</v>
          </cell>
          <cell r="K221">
            <v>0</v>
          </cell>
          <cell r="L221">
            <v>54467</v>
          </cell>
          <cell r="M221">
            <v>32680</v>
          </cell>
          <cell r="W221">
            <v>-32680</v>
          </cell>
          <cell r="X221">
            <v>0</v>
          </cell>
        </row>
        <row r="222">
          <cell r="B222" t="str">
            <v>노무비</v>
          </cell>
          <cell r="C222" t="str">
            <v>콘크리트공</v>
          </cell>
          <cell r="D222" t="str">
            <v>인</v>
          </cell>
          <cell r="E222">
            <v>2.73</v>
          </cell>
          <cell r="F222">
            <v>0</v>
          </cell>
          <cell r="G222">
            <v>0</v>
          </cell>
          <cell r="H222">
            <v>62281</v>
          </cell>
          <cell r="I222">
            <v>170027</v>
          </cell>
          <cell r="J222">
            <v>0</v>
          </cell>
          <cell r="K222">
            <v>0</v>
          </cell>
          <cell r="L222">
            <v>62281</v>
          </cell>
          <cell r="M222">
            <v>170027</v>
          </cell>
          <cell r="W222">
            <v>-170027</v>
          </cell>
          <cell r="X222">
            <v>0</v>
          </cell>
        </row>
        <row r="223">
          <cell r="B223" t="str">
            <v>노무비</v>
          </cell>
          <cell r="C223" t="str">
            <v>내선전공</v>
          </cell>
          <cell r="D223" t="str">
            <v>인</v>
          </cell>
          <cell r="E223">
            <v>0.16</v>
          </cell>
          <cell r="F223">
            <v>0</v>
          </cell>
          <cell r="G223">
            <v>0</v>
          </cell>
          <cell r="H223">
            <v>49296</v>
          </cell>
          <cell r="I223">
            <v>7887</v>
          </cell>
          <cell r="J223">
            <v>0</v>
          </cell>
          <cell r="K223">
            <v>0</v>
          </cell>
          <cell r="L223">
            <v>49296</v>
          </cell>
          <cell r="M223">
            <v>7887</v>
          </cell>
          <cell r="W223">
            <v>-7887</v>
          </cell>
          <cell r="X223">
            <v>0</v>
          </cell>
        </row>
        <row r="224">
          <cell r="B224" t="str">
            <v>노무비</v>
          </cell>
          <cell r="C224" t="str">
            <v>보통인부</v>
          </cell>
          <cell r="D224" t="str">
            <v>인</v>
          </cell>
          <cell r="E224">
            <v>9.52</v>
          </cell>
          <cell r="F224">
            <v>0</v>
          </cell>
          <cell r="G224">
            <v>0</v>
          </cell>
          <cell r="H224">
            <v>34360</v>
          </cell>
          <cell r="I224">
            <v>327107</v>
          </cell>
          <cell r="J224">
            <v>0</v>
          </cell>
          <cell r="K224">
            <v>0</v>
          </cell>
          <cell r="L224">
            <v>34360</v>
          </cell>
          <cell r="M224">
            <v>327107</v>
          </cell>
          <cell r="W224">
            <v>-327107</v>
          </cell>
          <cell r="X224">
            <v>0</v>
          </cell>
        </row>
        <row r="225">
          <cell r="B225" t="str">
            <v>공구손료</v>
          </cell>
          <cell r="C225" t="str">
            <v>노무비의 3%</v>
          </cell>
          <cell r="D225" t="str">
            <v>식</v>
          </cell>
          <cell r="E225">
            <v>1</v>
          </cell>
          <cell r="F225">
            <v>19506</v>
          </cell>
          <cell r="G225">
            <v>19506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19506</v>
          </cell>
          <cell r="M225">
            <v>19506</v>
          </cell>
          <cell r="W225">
            <v>-19506</v>
          </cell>
          <cell r="X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W226">
            <v>0</v>
          </cell>
          <cell r="X226">
            <v>0</v>
          </cell>
        </row>
        <row r="227">
          <cell r="B227" t="str">
            <v>계</v>
          </cell>
          <cell r="C227">
            <v>0</v>
          </cell>
          <cell r="D227">
            <v>0</v>
          </cell>
          <cell r="E227">
            <v>1</v>
          </cell>
          <cell r="G227">
            <v>1026409</v>
          </cell>
          <cell r="I227">
            <v>572684</v>
          </cell>
          <cell r="J227">
            <v>0</v>
          </cell>
          <cell r="K227">
            <v>0</v>
          </cell>
          <cell r="M227">
            <v>1599093</v>
          </cell>
          <cell r="W227">
            <v>-1599093</v>
          </cell>
          <cell r="X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1599093</v>
          </cell>
          <cell r="M228">
            <v>7995465</v>
          </cell>
          <cell r="W228">
            <v>-7995465</v>
          </cell>
          <cell r="X228">
            <v>0</v>
          </cell>
        </row>
        <row r="229">
          <cell r="A229" t="str">
            <v>일위20-1</v>
          </cell>
          <cell r="B229" t="str">
            <v>낙착율</v>
          </cell>
          <cell r="C229">
            <v>0.80800000000000005</v>
          </cell>
          <cell r="D229">
            <v>0</v>
          </cell>
          <cell r="E229">
            <v>5</v>
          </cell>
          <cell r="F229">
            <v>1026409</v>
          </cell>
          <cell r="G229">
            <v>5132045</v>
          </cell>
          <cell r="H229">
            <v>572684</v>
          </cell>
          <cell r="I229">
            <v>2863420</v>
          </cell>
          <cell r="J229">
            <v>0</v>
          </cell>
          <cell r="K229">
            <v>0</v>
          </cell>
          <cell r="L229">
            <v>874837</v>
          </cell>
          <cell r="M229">
            <v>4374185</v>
          </cell>
          <cell r="W229">
            <v>-4374185</v>
          </cell>
          <cell r="X229">
            <v>0</v>
          </cell>
        </row>
        <row r="230">
          <cell r="A230" t="str">
            <v>일위23</v>
          </cell>
          <cell r="B230" t="str">
            <v xml:space="preserve"> 21. 철주신설 9m</v>
          </cell>
          <cell r="C230" t="str">
            <v>90x90x9t</v>
          </cell>
          <cell r="D230" t="str">
            <v>Kg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W230">
            <v>0</v>
          </cell>
          <cell r="X230">
            <v>0</v>
          </cell>
        </row>
        <row r="231">
          <cell r="B231" t="str">
            <v>"ㄱ"형강</v>
          </cell>
          <cell r="C231" t="str">
            <v>90x90x9t</v>
          </cell>
          <cell r="D231" t="str">
            <v>Kg</v>
          </cell>
          <cell r="E231">
            <v>281.94</v>
          </cell>
          <cell r="F231">
            <v>3500</v>
          </cell>
          <cell r="G231">
            <v>986790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3500</v>
          </cell>
          <cell r="M231">
            <v>986790</v>
          </cell>
          <cell r="W231">
            <v>-986790</v>
          </cell>
          <cell r="X231">
            <v>0</v>
          </cell>
        </row>
        <row r="232">
          <cell r="B232" t="str">
            <v>"ㄱ"형강</v>
          </cell>
          <cell r="C232" t="str">
            <v>75x75x9t</v>
          </cell>
          <cell r="D232" t="str">
            <v>Kg</v>
          </cell>
          <cell r="E232">
            <v>276.06</v>
          </cell>
          <cell r="F232">
            <v>3635</v>
          </cell>
          <cell r="G232">
            <v>1003478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3635</v>
          </cell>
          <cell r="M232">
            <v>1003478</v>
          </cell>
          <cell r="W232">
            <v>-1003478</v>
          </cell>
          <cell r="X232">
            <v>0</v>
          </cell>
        </row>
        <row r="233">
          <cell r="B233" t="str">
            <v>"ㄱ"형강</v>
          </cell>
          <cell r="C233" t="str">
            <v>65x65x6t</v>
          </cell>
          <cell r="D233" t="str">
            <v>Kg</v>
          </cell>
          <cell r="E233">
            <v>53.38</v>
          </cell>
          <cell r="F233">
            <v>2157</v>
          </cell>
          <cell r="G233">
            <v>115140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2157</v>
          </cell>
          <cell r="M233">
            <v>115140</v>
          </cell>
          <cell r="W233">
            <v>-115140</v>
          </cell>
          <cell r="X233">
            <v>0</v>
          </cell>
        </row>
        <row r="234">
          <cell r="B234" t="str">
            <v>"ㄱ"형강</v>
          </cell>
          <cell r="C234" t="str">
            <v>50x50x4t</v>
          </cell>
          <cell r="D234" t="str">
            <v>Kg</v>
          </cell>
          <cell r="E234">
            <v>7.72</v>
          </cell>
          <cell r="F234">
            <v>316</v>
          </cell>
          <cell r="G234">
            <v>2439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316</v>
          </cell>
          <cell r="M234">
            <v>2439</v>
          </cell>
          <cell r="W234">
            <v>-2439</v>
          </cell>
          <cell r="X234">
            <v>0</v>
          </cell>
        </row>
        <row r="235">
          <cell r="B235" t="str">
            <v>평강</v>
          </cell>
          <cell r="C235" t="str">
            <v>50x9t</v>
          </cell>
          <cell r="D235" t="str">
            <v>Kg</v>
          </cell>
          <cell r="E235">
            <v>411.43</v>
          </cell>
          <cell r="F235">
            <v>320</v>
          </cell>
          <cell r="G235">
            <v>131657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320</v>
          </cell>
          <cell r="M235">
            <v>131657</v>
          </cell>
          <cell r="W235">
            <v>-131657</v>
          </cell>
          <cell r="X235">
            <v>0</v>
          </cell>
        </row>
        <row r="236">
          <cell r="B236" t="str">
            <v>평강</v>
          </cell>
          <cell r="C236" t="str">
            <v>90x9t</v>
          </cell>
          <cell r="D236" t="str">
            <v>Kg</v>
          </cell>
          <cell r="E236">
            <v>36.79</v>
          </cell>
          <cell r="F236">
            <v>320</v>
          </cell>
          <cell r="G236">
            <v>11772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320</v>
          </cell>
          <cell r="M236">
            <v>11772</v>
          </cell>
          <cell r="W236">
            <v>-11772</v>
          </cell>
          <cell r="X236">
            <v>0</v>
          </cell>
        </row>
        <row r="237">
          <cell r="B237" t="str">
            <v>열연강판</v>
          </cell>
          <cell r="C237" t="str">
            <v>6t</v>
          </cell>
          <cell r="D237" t="str">
            <v>Kg</v>
          </cell>
          <cell r="E237">
            <v>6.23</v>
          </cell>
          <cell r="F237">
            <v>380</v>
          </cell>
          <cell r="G237">
            <v>2367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380</v>
          </cell>
          <cell r="M237">
            <v>2367</v>
          </cell>
          <cell r="W237">
            <v>-2367</v>
          </cell>
          <cell r="X237">
            <v>0</v>
          </cell>
        </row>
        <row r="238">
          <cell r="B238" t="str">
            <v>열연강판</v>
          </cell>
          <cell r="C238" t="str">
            <v>9t</v>
          </cell>
          <cell r="D238" t="str">
            <v>Kg</v>
          </cell>
          <cell r="E238">
            <v>2.85</v>
          </cell>
          <cell r="F238">
            <v>367</v>
          </cell>
          <cell r="G238">
            <v>1045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367</v>
          </cell>
          <cell r="M238">
            <v>1045</v>
          </cell>
          <cell r="W238">
            <v>-1045</v>
          </cell>
          <cell r="X238">
            <v>0</v>
          </cell>
        </row>
        <row r="239">
          <cell r="B239" t="str">
            <v>일반(육각)볼트</v>
          </cell>
          <cell r="C239" t="str">
            <v>M16 L40</v>
          </cell>
          <cell r="D239" t="str">
            <v>개</v>
          </cell>
          <cell r="E239">
            <v>156</v>
          </cell>
          <cell r="F239">
            <v>88</v>
          </cell>
          <cell r="G239">
            <v>13728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88</v>
          </cell>
          <cell r="M239">
            <v>13728</v>
          </cell>
          <cell r="W239">
            <v>-13728</v>
          </cell>
          <cell r="X239">
            <v>0</v>
          </cell>
        </row>
        <row r="240">
          <cell r="B240" t="str">
            <v>일반(육각)볼트</v>
          </cell>
          <cell r="C240" t="str">
            <v>M16 L50</v>
          </cell>
          <cell r="D240" t="str">
            <v>개</v>
          </cell>
          <cell r="E240">
            <v>179</v>
          </cell>
          <cell r="F240">
            <v>97</v>
          </cell>
          <cell r="G240">
            <v>17363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97</v>
          </cell>
          <cell r="M240">
            <v>17363</v>
          </cell>
          <cell r="W240">
            <v>-17363</v>
          </cell>
          <cell r="X240">
            <v>0</v>
          </cell>
        </row>
        <row r="241">
          <cell r="B241" t="str">
            <v>일반(육각)볼트</v>
          </cell>
          <cell r="C241" t="str">
            <v>M16 L180</v>
          </cell>
          <cell r="D241" t="str">
            <v>개</v>
          </cell>
          <cell r="E241">
            <v>17</v>
          </cell>
          <cell r="F241">
            <v>279</v>
          </cell>
          <cell r="G241">
            <v>4743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279</v>
          </cell>
          <cell r="M241">
            <v>4743</v>
          </cell>
          <cell r="W241">
            <v>-4743</v>
          </cell>
          <cell r="X241">
            <v>0</v>
          </cell>
        </row>
        <row r="242">
          <cell r="B242" t="str">
            <v>일반(육각)볼트</v>
          </cell>
          <cell r="C242" t="str">
            <v>M20 L50</v>
          </cell>
          <cell r="D242" t="str">
            <v>개</v>
          </cell>
          <cell r="E242">
            <v>26</v>
          </cell>
          <cell r="F242">
            <v>177</v>
          </cell>
          <cell r="G242">
            <v>4602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177</v>
          </cell>
          <cell r="M242">
            <v>4602</v>
          </cell>
          <cell r="W242">
            <v>-4602</v>
          </cell>
          <cell r="X242">
            <v>0</v>
          </cell>
        </row>
        <row r="243">
          <cell r="B243" t="str">
            <v>일반(육각)볼트</v>
          </cell>
          <cell r="C243" t="str">
            <v>M22 L50</v>
          </cell>
          <cell r="D243" t="str">
            <v>개</v>
          </cell>
          <cell r="E243">
            <v>103</v>
          </cell>
          <cell r="F243">
            <v>237</v>
          </cell>
          <cell r="G243">
            <v>24411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237</v>
          </cell>
          <cell r="M243">
            <v>24411</v>
          </cell>
          <cell r="W243">
            <v>-24411</v>
          </cell>
          <cell r="X243">
            <v>0</v>
          </cell>
        </row>
        <row r="244">
          <cell r="B244" t="str">
            <v>일반(육각)볼트</v>
          </cell>
          <cell r="C244" t="str">
            <v>M22 L60</v>
          </cell>
          <cell r="D244" t="str">
            <v>개</v>
          </cell>
          <cell r="E244">
            <v>9</v>
          </cell>
          <cell r="F244">
            <v>246</v>
          </cell>
          <cell r="G244">
            <v>2214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246</v>
          </cell>
          <cell r="M244">
            <v>2214</v>
          </cell>
          <cell r="W244">
            <v>-2214</v>
          </cell>
          <cell r="X244">
            <v>0</v>
          </cell>
        </row>
        <row r="245">
          <cell r="B245" t="str">
            <v>철구제작</v>
          </cell>
          <cell r="C245">
            <v>0</v>
          </cell>
          <cell r="D245">
            <v>0</v>
          </cell>
          <cell r="E245">
            <v>1025.18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W245">
            <v>0</v>
          </cell>
          <cell r="X245">
            <v>0</v>
          </cell>
        </row>
        <row r="246">
          <cell r="B246" t="str">
            <v>시멘트</v>
          </cell>
          <cell r="C246" t="str">
            <v>포틀랜드 40Kg</v>
          </cell>
          <cell r="D246" t="str">
            <v>포</v>
          </cell>
          <cell r="E246">
            <v>26.16</v>
          </cell>
          <cell r="F246">
            <v>2700</v>
          </cell>
          <cell r="G246">
            <v>70632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2700</v>
          </cell>
          <cell r="M246">
            <v>70632</v>
          </cell>
          <cell r="W246">
            <v>-70632</v>
          </cell>
          <cell r="X246">
            <v>0</v>
          </cell>
        </row>
        <row r="247">
          <cell r="B247" t="str">
            <v>모래</v>
          </cell>
          <cell r="C247" t="str">
            <v>세사</v>
          </cell>
          <cell r="D247" t="str">
            <v>㎥</v>
          </cell>
          <cell r="E247">
            <v>2.23</v>
          </cell>
          <cell r="F247">
            <v>12000</v>
          </cell>
          <cell r="G247">
            <v>26760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12000</v>
          </cell>
          <cell r="M247">
            <v>26760</v>
          </cell>
          <cell r="W247">
            <v>-26760</v>
          </cell>
          <cell r="X247">
            <v>0</v>
          </cell>
        </row>
        <row r="248">
          <cell r="B248" t="str">
            <v>자갈</v>
          </cell>
          <cell r="C248" t="str">
            <v>25mm 이하</v>
          </cell>
          <cell r="D248" t="str">
            <v>㎥</v>
          </cell>
          <cell r="E248">
            <v>4.47</v>
          </cell>
          <cell r="F248">
            <v>17000</v>
          </cell>
          <cell r="G248">
            <v>75990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17000</v>
          </cell>
          <cell r="M248">
            <v>75990</v>
          </cell>
          <cell r="W248">
            <v>-75990</v>
          </cell>
          <cell r="X248">
            <v>0</v>
          </cell>
        </row>
        <row r="249">
          <cell r="B249" t="str">
            <v>막돌</v>
          </cell>
          <cell r="C249" t="str">
            <v>200mm 이하</v>
          </cell>
          <cell r="D249" t="str">
            <v>㎥</v>
          </cell>
          <cell r="E249">
            <v>1.72</v>
          </cell>
          <cell r="F249">
            <v>8000</v>
          </cell>
          <cell r="G249">
            <v>13760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8000</v>
          </cell>
          <cell r="M249">
            <v>13760</v>
          </cell>
          <cell r="W249">
            <v>-13760</v>
          </cell>
          <cell r="X249">
            <v>0</v>
          </cell>
        </row>
        <row r="250">
          <cell r="B250" t="str">
            <v>거푸집</v>
          </cell>
          <cell r="C250" t="str">
            <v>합판4회</v>
          </cell>
          <cell r="D250" t="str">
            <v>㎡</v>
          </cell>
          <cell r="E250">
            <v>12.64</v>
          </cell>
          <cell r="F250">
            <v>16966</v>
          </cell>
          <cell r="G250">
            <v>214450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16966</v>
          </cell>
          <cell r="M250">
            <v>214450</v>
          </cell>
          <cell r="W250">
            <v>-214450</v>
          </cell>
          <cell r="X250">
            <v>0</v>
          </cell>
        </row>
        <row r="251">
          <cell r="B251" t="str">
            <v>콘크리트 치기</v>
          </cell>
          <cell r="C251" t="str">
            <v>1:3:6</v>
          </cell>
          <cell r="D251" t="str">
            <v>㎥</v>
          </cell>
          <cell r="E251">
            <v>4.76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W251">
            <v>0</v>
          </cell>
          <cell r="X251">
            <v>0</v>
          </cell>
        </row>
        <row r="252">
          <cell r="B252" t="str">
            <v>터파기</v>
          </cell>
          <cell r="C252">
            <v>0</v>
          </cell>
          <cell r="D252" t="str">
            <v>㎥</v>
          </cell>
          <cell r="E252">
            <v>18.97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W252">
            <v>0</v>
          </cell>
          <cell r="X252">
            <v>0</v>
          </cell>
        </row>
        <row r="253">
          <cell r="B253" t="str">
            <v>되메우기</v>
          </cell>
          <cell r="C253">
            <v>0</v>
          </cell>
          <cell r="D253" t="str">
            <v>㎥</v>
          </cell>
          <cell r="E253">
            <v>12.68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W253">
            <v>0</v>
          </cell>
          <cell r="X253">
            <v>0</v>
          </cell>
        </row>
        <row r="254">
          <cell r="B254" t="str">
            <v>잔토처리</v>
          </cell>
          <cell r="C254">
            <v>0</v>
          </cell>
          <cell r="D254" t="str">
            <v>㎥</v>
          </cell>
          <cell r="E254">
            <v>6.29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W254">
            <v>0</v>
          </cell>
          <cell r="X254">
            <v>0</v>
          </cell>
        </row>
        <row r="255">
          <cell r="B255" t="str">
            <v>노무비</v>
          </cell>
          <cell r="C255" t="str">
            <v>송전전공</v>
          </cell>
          <cell r="D255" t="str">
            <v>인</v>
          </cell>
          <cell r="E255">
            <v>3.72</v>
          </cell>
          <cell r="F255">
            <v>0</v>
          </cell>
          <cell r="G255">
            <v>0</v>
          </cell>
          <cell r="H255">
            <v>217032</v>
          </cell>
          <cell r="I255">
            <v>807359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W255">
            <v>0</v>
          </cell>
          <cell r="X255">
            <v>0</v>
          </cell>
        </row>
        <row r="256">
          <cell r="B256" t="str">
            <v>노무비</v>
          </cell>
          <cell r="C256" t="str">
            <v>콘크리트공</v>
          </cell>
          <cell r="D256" t="str">
            <v>인</v>
          </cell>
          <cell r="E256">
            <v>4.04</v>
          </cell>
          <cell r="F256">
            <v>0</v>
          </cell>
          <cell r="G256">
            <v>0</v>
          </cell>
          <cell r="H256">
            <v>62281</v>
          </cell>
          <cell r="I256">
            <v>251615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W256">
            <v>0</v>
          </cell>
          <cell r="X256">
            <v>0</v>
          </cell>
        </row>
        <row r="257">
          <cell r="B257" t="str">
            <v>노무비</v>
          </cell>
          <cell r="C257" t="str">
            <v>특별인부</v>
          </cell>
          <cell r="D257" t="str">
            <v>인</v>
          </cell>
          <cell r="E257">
            <v>3.78</v>
          </cell>
          <cell r="F257">
            <v>0</v>
          </cell>
          <cell r="G257">
            <v>0</v>
          </cell>
          <cell r="H257">
            <v>50160</v>
          </cell>
          <cell r="I257">
            <v>189604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W257">
            <v>0</v>
          </cell>
          <cell r="X257">
            <v>0</v>
          </cell>
        </row>
        <row r="258">
          <cell r="B258" t="str">
            <v>노무비</v>
          </cell>
          <cell r="C258" t="str">
            <v>보통인부</v>
          </cell>
          <cell r="D258" t="str">
            <v>인</v>
          </cell>
          <cell r="E258">
            <v>13.88</v>
          </cell>
          <cell r="F258">
            <v>0</v>
          </cell>
          <cell r="G258">
            <v>0</v>
          </cell>
          <cell r="H258">
            <v>34360</v>
          </cell>
          <cell r="I258">
            <v>476916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W258">
            <v>0</v>
          </cell>
          <cell r="X258">
            <v>0</v>
          </cell>
        </row>
        <row r="259">
          <cell r="B259" t="str">
            <v>공구손료</v>
          </cell>
          <cell r="C259" t="str">
            <v>노무비의 3%</v>
          </cell>
          <cell r="D259" t="str">
            <v>식</v>
          </cell>
          <cell r="E259">
            <v>1</v>
          </cell>
          <cell r="F259">
            <v>57043</v>
          </cell>
          <cell r="G259">
            <v>57043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W259">
            <v>0</v>
          </cell>
          <cell r="X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W260">
            <v>0</v>
          </cell>
          <cell r="X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W261">
            <v>0</v>
          </cell>
          <cell r="X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W262">
            <v>0</v>
          </cell>
          <cell r="X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W263">
            <v>0</v>
          </cell>
          <cell r="X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W264">
            <v>0</v>
          </cell>
          <cell r="X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W265">
            <v>0</v>
          </cell>
          <cell r="X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W266">
            <v>0</v>
          </cell>
          <cell r="X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W267">
            <v>0</v>
          </cell>
          <cell r="X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W268">
            <v>0</v>
          </cell>
          <cell r="X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W269">
            <v>0</v>
          </cell>
          <cell r="X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W270">
            <v>0</v>
          </cell>
          <cell r="X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W271">
            <v>0</v>
          </cell>
          <cell r="X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W272">
            <v>0</v>
          </cell>
          <cell r="X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W273">
            <v>0</v>
          </cell>
          <cell r="X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W274">
            <v>0</v>
          </cell>
          <cell r="X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W275">
            <v>0</v>
          </cell>
          <cell r="X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W276">
            <v>0</v>
          </cell>
          <cell r="X276">
            <v>0</v>
          </cell>
        </row>
        <row r="277">
          <cell r="B277" t="str">
            <v>계</v>
          </cell>
          <cell r="C277">
            <v>0</v>
          </cell>
          <cell r="D277">
            <v>0</v>
          </cell>
          <cell r="E277">
            <v>1</v>
          </cell>
          <cell r="G277">
            <v>2780384</v>
          </cell>
          <cell r="I277">
            <v>1725494</v>
          </cell>
          <cell r="J277">
            <v>0</v>
          </cell>
          <cell r="K277">
            <v>0</v>
          </cell>
          <cell r="M277">
            <v>4505878</v>
          </cell>
          <cell r="W277">
            <v>-4505878</v>
          </cell>
          <cell r="X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4505878</v>
          </cell>
          <cell r="M278">
            <v>67588170</v>
          </cell>
          <cell r="W278">
            <v>-67588170</v>
          </cell>
          <cell r="X278">
            <v>0</v>
          </cell>
        </row>
        <row r="279">
          <cell r="A279" t="str">
            <v>일위23-1</v>
          </cell>
          <cell r="B279" t="str">
            <v>낙착율</v>
          </cell>
          <cell r="C279">
            <v>0.80800000000000005</v>
          </cell>
          <cell r="D279">
            <v>0</v>
          </cell>
          <cell r="E279">
            <v>15</v>
          </cell>
          <cell r="F279">
            <v>2780384</v>
          </cell>
          <cell r="G279">
            <v>41705760</v>
          </cell>
          <cell r="H279">
            <v>1725494</v>
          </cell>
          <cell r="I279">
            <v>25882410</v>
          </cell>
          <cell r="J279">
            <v>0</v>
          </cell>
          <cell r="K279">
            <v>0</v>
          </cell>
          <cell r="L279">
            <v>1922476</v>
          </cell>
          <cell r="M279">
            <v>28837140</v>
          </cell>
          <cell r="W279">
            <v>-28837140</v>
          </cell>
          <cell r="X279">
            <v>0</v>
          </cell>
        </row>
        <row r="280">
          <cell r="A280" t="str">
            <v>일위24</v>
          </cell>
          <cell r="B280" t="str">
            <v xml:space="preserve"> 22. 콘크리트주 신설</v>
          </cell>
          <cell r="C280" t="str">
            <v xml:space="preserve"> 10m</v>
          </cell>
          <cell r="D280" t="str">
            <v>본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W280">
            <v>0</v>
          </cell>
          <cell r="X280">
            <v>0</v>
          </cell>
        </row>
        <row r="281">
          <cell r="B281" t="str">
            <v>철근콘크맄트주</v>
          </cell>
          <cell r="C281" t="str">
            <v>경하중 10m</v>
          </cell>
          <cell r="D281" t="str">
            <v>본</v>
          </cell>
          <cell r="E281">
            <v>1</v>
          </cell>
          <cell r="F281" t="str">
            <v>관 급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 t="str">
            <v>관 급</v>
          </cell>
          <cell r="M281">
            <v>0</v>
          </cell>
          <cell r="W281">
            <v>0</v>
          </cell>
          <cell r="X281">
            <v>0</v>
          </cell>
        </row>
        <row r="282">
          <cell r="B282" t="str">
            <v>전주번호표</v>
          </cell>
          <cell r="C282" t="str">
            <v>철도용(100x360)</v>
          </cell>
          <cell r="D282" t="str">
            <v>개</v>
          </cell>
          <cell r="E282">
            <v>1</v>
          </cell>
          <cell r="F282">
            <v>400</v>
          </cell>
          <cell r="G282">
            <v>400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400</v>
          </cell>
          <cell r="M282">
            <v>400</v>
          </cell>
          <cell r="W282">
            <v>-400</v>
          </cell>
          <cell r="X282">
            <v>0</v>
          </cell>
        </row>
        <row r="283">
          <cell r="B283" t="str">
            <v>근가</v>
          </cell>
          <cell r="C283" t="str">
            <v>1.2m 90Kg</v>
          </cell>
          <cell r="D283" t="str">
            <v>개</v>
          </cell>
          <cell r="E283">
            <v>1</v>
          </cell>
          <cell r="F283">
            <v>4865</v>
          </cell>
          <cell r="G283">
            <v>4865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4865</v>
          </cell>
          <cell r="M283">
            <v>4865</v>
          </cell>
          <cell r="W283">
            <v>-4865</v>
          </cell>
          <cell r="X283">
            <v>0</v>
          </cell>
        </row>
        <row r="284">
          <cell r="B284" t="str">
            <v>U볼트</v>
          </cell>
          <cell r="C284" t="str">
            <v>M16. 320x550(근가용)</v>
          </cell>
          <cell r="D284" t="str">
            <v>개</v>
          </cell>
          <cell r="E284">
            <v>1</v>
          </cell>
          <cell r="F284">
            <v>3770</v>
          </cell>
          <cell r="G284">
            <v>3770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3770</v>
          </cell>
          <cell r="M284">
            <v>3770</v>
          </cell>
          <cell r="W284">
            <v>-3770</v>
          </cell>
          <cell r="X284">
            <v>0</v>
          </cell>
        </row>
        <row r="285">
          <cell r="B285" t="str">
            <v>노무비</v>
          </cell>
          <cell r="C285" t="str">
            <v>배전전공</v>
          </cell>
          <cell r="D285" t="str">
            <v>인</v>
          </cell>
          <cell r="E285">
            <v>2.0099999999999998</v>
          </cell>
          <cell r="F285">
            <v>0</v>
          </cell>
          <cell r="G285">
            <v>0</v>
          </cell>
          <cell r="H285">
            <v>182333</v>
          </cell>
          <cell r="I285">
            <v>366489</v>
          </cell>
          <cell r="J285">
            <v>0</v>
          </cell>
          <cell r="K285">
            <v>0</v>
          </cell>
          <cell r="L285">
            <v>182333</v>
          </cell>
          <cell r="M285">
            <v>366489</v>
          </cell>
          <cell r="W285">
            <v>-366489</v>
          </cell>
          <cell r="X285">
            <v>0</v>
          </cell>
        </row>
        <row r="286">
          <cell r="B286" t="str">
            <v>노무비</v>
          </cell>
          <cell r="C286" t="str">
            <v>보통인부</v>
          </cell>
          <cell r="D286" t="str">
            <v>인</v>
          </cell>
          <cell r="E286">
            <v>2.63</v>
          </cell>
          <cell r="F286">
            <v>0</v>
          </cell>
          <cell r="G286">
            <v>0</v>
          </cell>
          <cell r="H286">
            <v>34360</v>
          </cell>
          <cell r="I286">
            <v>90366</v>
          </cell>
          <cell r="J286">
            <v>0</v>
          </cell>
          <cell r="K286">
            <v>0</v>
          </cell>
          <cell r="L286">
            <v>34360</v>
          </cell>
          <cell r="M286">
            <v>90366</v>
          </cell>
          <cell r="W286">
            <v>-90366</v>
          </cell>
          <cell r="X286">
            <v>0</v>
          </cell>
        </row>
        <row r="287">
          <cell r="B287" t="str">
            <v>공구손료</v>
          </cell>
          <cell r="C287" t="str">
            <v>노무비의 3%</v>
          </cell>
          <cell r="D287" t="str">
            <v>식</v>
          </cell>
          <cell r="E287">
            <v>1</v>
          </cell>
          <cell r="F287">
            <v>14591</v>
          </cell>
          <cell r="G287">
            <v>14591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14591</v>
          </cell>
          <cell r="M287">
            <v>14591</v>
          </cell>
          <cell r="W287">
            <v>-14591</v>
          </cell>
          <cell r="X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W288">
            <v>0</v>
          </cell>
          <cell r="X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W289">
            <v>0</v>
          </cell>
          <cell r="X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W290">
            <v>0</v>
          </cell>
          <cell r="X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W291">
            <v>0</v>
          </cell>
          <cell r="X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W292">
            <v>0</v>
          </cell>
          <cell r="X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W293">
            <v>0</v>
          </cell>
          <cell r="X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W294">
            <v>0</v>
          </cell>
          <cell r="X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W295">
            <v>0</v>
          </cell>
          <cell r="X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W296">
            <v>0</v>
          </cell>
          <cell r="X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W297">
            <v>0</v>
          </cell>
          <cell r="X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W298">
            <v>0</v>
          </cell>
          <cell r="X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W299">
            <v>0</v>
          </cell>
          <cell r="X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W300">
            <v>0</v>
          </cell>
          <cell r="X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W301">
            <v>0</v>
          </cell>
          <cell r="X301">
            <v>0</v>
          </cell>
        </row>
        <row r="302">
          <cell r="B302" t="str">
            <v>계</v>
          </cell>
          <cell r="C302">
            <v>0</v>
          </cell>
          <cell r="D302">
            <v>0</v>
          </cell>
          <cell r="E302">
            <v>1</v>
          </cell>
          <cell r="G302">
            <v>23626</v>
          </cell>
          <cell r="I302">
            <v>456855</v>
          </cell>
          <cell r="J302">
            <v>0</v>
          </cell>
          <cell r="K302">
            <v>0</v>
          </cell>
          <cell r="M302">
            <v>480481</v>
          </cell>
          <cell r="W302">
            <v>-480481</v>
          </cell>
          <cell r="X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480481</v>
          </cell>
          <cell r="M303">
            <v>148468629</v>
          </cell>
          <cell r="W303">
            <v>-148468629</v>
          </cell>
          <cell r="X303">
            <v>0</v>
          </cell>
        </row>
        <row r="304">
          <cell r="A304" t="str">
            <v>일위24-1</v>
          </cell>
          <cell r="B304" t="str">
            <v>낙착율</v>
          </cell>
          <cell r="C304">
            <v>0.80800000000000005</v>
          </cell>
          <cell r="D304">
            <v>0</v>
          </cell>
          <cell r="E304">
            <v>309</v>
          </cell>
          <cell r="F304">
            <v>23626</v>
          </cell>
          <cell r="G304">
            <v>7300434</v>
          </cell>
          <cell r="H304">
            <v>456855</v>
          </cell>
          <cell r="I304">
            <v>141168195</v>
          </cell>
          <cell r="J304">
            <v>0</v>
          </cell>
          <cell r="K304">
            <v>0</v>
          </cell>
          <cell r="L304">
            <v>386417</v>
          </cell>
          <cell r="M304">
            <v>119402853</v>
          </cell>
          <cell r="W304">
            <v>-119402853</v>
          </cell>
          <cell r="X304">
            <v>0</v>
          </cell>
        </row>
        <row r="305">
          <cell r="A305" t="str">
            <v>일위27</v>
          </cell>
          <cell r="B305" t="str">
            <v xml:space="preserve"> 25. 지선신설</v>
          </cell>
          <cell r="C305" t="str">
            <v>1방 지선</v>
          </cell>
          <cell r="D305" t="str">
            <v>개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W305">
            <v>0</v>
          </cell>
          <cell r="X305">
            <v>0</v>
          </cell>
        </row>
        <row r="306">
          <cell r="B306" t="str">
            <v>아연도 강연선</v>
          </cell>
          <cell r="C306" t="str">
            <v>ST 55㎟</v>
          </cell>
          <cell r="D306">
            <v>0</v>
          </cell>
          <cell r="E306">
            <v>15</v>
          </cell>
          <cell r="F306">
            <v>960</v>
          </cell>
          <cell r="G306">
            <v>14400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960</v>
          </cell>
          <cell r="M306">
            <v>14400</v>
          </cell>
          <cell r="W306">
            <v>-14400</v>
          </cell>
          <cell r="X306">
            <v>0</v>
          </cell>
        </row>
        <row r="307">
          <cell r="B307" t="str">
            <v>지선밴드</v>
          </cell>
          <cell r="C307" t="str">
            <v>1방 2호</v>
          </cell>
          <cell r="D307" t="str">
            <v>개</v>
          </cell>
          <cell r="E307">
            <v>1</v>
          </cell>
          <cell r="F307">
            <v>2730</v>
          </cell>
          <cell r="G307">
            <v>2730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2730</v>
          </cell>
          <cell r="M307">
            <v>2730</v>
          </cell>
          <cell r="W307">
            <v>-2730</v>
          </cell>
          <cell r="X307">
            <v>0</v>
          </cell>
        </row>
        <row r="308">
          <cell r="B308" t="str">
            <v>와이어 크립</v>
          </cell>
          <cell r="C308" t="str">
            <v xml:space="preserve"> 55㎟</v>
          </cell>
          <cell r="D308" t="str">
            <v>개</v>
          </cell>
          <cell r="E308">
            <v>12</v>
          </cell>
          <cell r="F308">
            <v>4500</v>
          </cell>
          <cell r="G308">
            <v>54000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4500</v>
          </cell>
          <cell r="M308">
            <v>54000</v>
          </cell>
          <cell r="W308">
            <v>-54000</v>
          </cell>
          <cell r="X308">
            <v>0</v>
          </cell>
        </row>
        <row r="309">
          <cell r="B309" t="str">
            <v>지선애자</v>
          </cell>
          <cell r="C309" t="str">
            <v xml:space="preserve"> 100x100</v>
          </cell>
          <cell r="D309" t="str">
            <v>개</v>
          </cell>
          <cell r="E309">
            <v>1</v>
          </cell>
          <cell r="F309">
            <v>1980</v>
          </cell>
          <cell r="G309">
            <v>1980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1980</v>
          </cell>
          <cell r="M309">
            <v>1980</v>
          </cell>
          <cell r="W309">
            <v>-1980</v>
          </cell>
          <cell r="X309">
            <v>0</v>
          </cell>
        </row>
        <row r="310">
          <cell r="B310" t="str">
            <v>지선로드</v>
          </cell>
          <cell r="C310" t="str">
            <v>φ16 x 2300mm</v>
          </cell>
          <cell r="D310" t="str">
            <v>본</v>
          </cell>
          <cell r="E310">
            <v>1</v>
          </cell>
          <cell r="F310">
            <v>5850</v>
          </cell>
          <cell r="G310">
            <v>5850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5850</v>
          </cell>
          <cell r="M310">
            <v>5850</v>
          </cell>
          <cell r="W310">
            <v>-5850</v>
          </cell>
          <cell r="X310">
            <v>0</v>
          </cell>
        </row>
        <row r="311">
          <cell r="B311" t="str">
            <v>지선용 근가</v>
          </cell>
          <cell r="C311" t="str">
            <v>지선용 0.7m 55Kg</v>
          </cell>
          <cell r="D311" t="str">
            <v>개</v>
          </cell>
          <cell r="E311">
            <v>1</v>
          </cell>
          <cell r="F311">
            <v>2941</v>
          </cell>
          <cell r="G311">
            <v>2941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2941</v>
          </cell>
          <cell r="M311">
            <v>2941</v>
          </cell>
          <cell r="W311">
            <v>-2941</v>
          </cell>
          <cell r="X311">
            <v>0</v>
          </cell>
        </row>
        <row r="312">
          <cell r="B312" t="str">
            <v>노무비</v>
          </cell>
          <cell r="C312" t="str">
            <v>배전전공</v>
          </cell>
          <cell r="D312" t="str">
            <v>인</v>
          </cell>
          <cell r="E312">
            <v>0.78</v>
          </cell>
          <cell r="F312">
            <v>0</v>
          </cell>
          <cell r="G312">
            <v>0</v>
          </cell>
          <cell r="H312">
            <v>182333</v>
          </cell>
          <cell r="I312">
            <v>142219</v>
          </cell>
          <cell r="J312">
            <v>0</v>
          </cell>
          <cell r="K312">
            <v>0</v>
          </cell>
          <cell r="L312">
            <v>182333</v>
          </cell>
          <cell r="M312">
            <v>142219</v>
          </cell>
          <cell r="W312">
            <v>-142219</v>
          </cell>
          <cell r="X312">
            <v>0</v>
          </cell>
        </row>
        <row r="313">
          <cell r="B313" t="str">
            <v>노무비</v>
          </cell>
          <cell r="C313" t="str">
            <v>보통인부</v>
          </cell>
          <cell r="D313" t="str">
            <v>인</v>
          </cell>
          <cell r="E313">
            <v>0.45</v>
          </cell>
          <cell r="F313">
            <v>0</v>
          </cell>
          <cell r="G313">
            <v>0</v>
          </cell>
          <cell r="H313">
            <v>34360</v>
          </cell>
          <cell r="I313">
            <v>15462</v>
          </cell>
          <cell r="J313">
            <v>0</v>
          </cell>
          <cell r="K313">
            <v>0</v>
          </cell>
          <cell r="L313">
            <v>34360</v>
          </cell>
          <cell r="M313">
            <v>15462</v>
          </cell>
          <cell r="W313">
            <v>-15462</v>
          </cell>
          <cell r="X313">
            <v>0</v>
          </cell>
        </row>
        <row r="314">
          <cell r="B314" t="str">
            <v>공구손료</v>
          </cell>
          <cell r="C314" t="str">
            <v>노무비 3%</v>
          </cell>
          <cell r="D314" t="str">
            <v>식</v>
          </cell>
          <cell r="E314">
            <v>1</v>
          </cell>
          <cell r="F314">
            <v>5016</v>
          </cell>
          <cell r="G314">
            <v>5016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5016</v>
          </cell>
          <cell r="M314">
            <v>5016</v>
          </cell>
          <cell r="W314">
            <v>-5016</v>
          </cell>
          <cell r="X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W315">
            <v>0</v>
          </cell>
          <cell r="X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W316">
            <v>0</v>
          </cell>
          <cell r="X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W317">
            <v>0</v>
          </cell>
          <cell r="X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W318">
            <v>0</v>
          </cell>
          <cell r="X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W319">
            <v>0</v>
          </cell>
          <cell r="X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W320">
            <v>0</v>
          </cell>
          <cell r="X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W321">
            <v>0</v>
          </cell>
          <cell r="X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W322">
            <v>0</v>
          </cell>
          <cell r="X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W323">
            <v>0</v>
          </cell>
          <cell r="X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W324">
            <v>0</v>
          </cell>
          <cell r="X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W325">
            <v>0</v>
          </cell>
          <cell r="X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W326">
            <v>0</v>
          </cell>
          <cell r="X326">
            <v>0</v>
          </cell>
        </row>
        <row r="327">
          <cell r="B327" t="str">
            <v>계</v>
          </cell>
          <cell r="C327">
            <v>0</v>
          </cell>
          <cell r="D327">
            <v>0</v>
          </cell>
          <cell r="E327">
            <v>0</v>
          </cell>
          <cell r="G327">
            <v>86917</v>
          </cell>
          <cell r="I327">
            <v>157681</v>
          </cell>
          <cell r="J327">
            <v>0</v>
          </cell>
          <cell r="K327">
            <v>0</v>
          </cell>
          <cell r="M327">
            <v>244598</v>
          </cell>
          <cell r="W327">
            <v>-244598</v>
          </cell>
          <cell r="X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244598</v>
          </cell>
          <cell r="M328">
            <v>7827136</v>
          </cell>
          <cell r="W328">
            <v>-7827136</v>
          </cell>
          <cell r="X328">
            <v>0</v>
          </cell>
        </row>
        <row r="329">
          <cell r="A329" t="str">
            <v>일위27-1</v>
          </cell>
          <cell r="B329" t="str">
            <v>낙착율</v>
          </cell>
          <cell r="C329">
            <v>0.76639999999999997</v>
          </cell>
          <cell r="D329">
            <v>0</v>
          </cell>
          <cell r="E329">
            <v>32</v>
          </cell>
          <cell r="F329">
            <v>86917</v>
          </cell>
          <cell r="G329">
            <v>2781344</v>
          </cell>
          <cell r="H329">
            <v>157681</v>
          </cell>
          <cell r="I329">
            <v>5045792</v>
          </cell>
          <cell r="J329">
            <v>0</v>
          </cell>
          <cell r="K329">
            <v>0</v>
          </cell>
          <cell r="L329">
            <v>187476</v>
          </cell>
          <cell r="M329">
            <v>5999232</v>
          </cell>
          <cell r="W329">
            <v>-5999232</v>
          </cell>
          <cell r="X329">
            <v>0</v>
          </cell>
        </row>
        <row r="330">
          <cell r="A330" t="str">
            <v>일위28</v>
          </cell>
          <cell r="B330" t="str">
            <v xml:space="preserve"> 26. 지선신설</v>
          </cell>
          <cell r="C330" t="str">
            <v>2방 지선</v>
          </cell>
          <cell r="D330" t="str">
            <v>개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W330">
            <v>0</v>
          </cell>
          <cell r="X330">
            <v>0</v>
          </cell>
        </row>
        <row r="331">
          <cell r="B331" t="str">
            <v>아연도 강연선</v>
          </cell>
          <cell r="C331" t="str">
            <v>ST 55㎟</v>
          </cell>
          <cell r="D331">
            <v>0</v>
          </cell>
          <cell r="E331">
            <v>30</v>
          </cell>
          <cell r="F331">
            <v>960</v>
          </cell>
          <cell r="G331">
            <v>28800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960</v>
          </cell>
          <cell r="M331">
            <v>28800</v>
          </cell>
          <cell r="W331">
            <v>-28800</v>
          </cell>
          <cell r="X331">
            <v>0</v>
          </cell>
        </row>
        <row r="332">
          <cell r="B332" t="str">
            <v>지선밴드</v>
          </cell>
          <cell r="C332" t="str">
            <v>1방 2호</v>
          </cell>
          <cell r="D332" t="str">
            <v>개</v>
          </cell>
          <cell r="E332">
            <v>1</v>
          </cell>
          <cell r="F332">
            <v>4350</v>
          </cell>
          <cell r="G332">
            <v>4350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4350</v>
          </cell>
          <cell r="M332">
            <v>4350</v>
          </cell>
          <cell r="W332">
            <v>-4350</v>
          </cell>
          <cell r="X332">
            <v>0</v>
          </cell>
        </row>
        <row r="333">
          <cell r="B333" t="str">
            <v>와이어 크립</v>
          </cell>
          <cell r="C333" t="str">
            <v xml:space="preserve"> 55㎟</v>
          </cell>
          <cell r="D333" t="str">
            <v>개</v>
          </cell>
          <cell r="E333">
            <v>24</v>
          </cell>
          <cell r="F333">
            <v>4500</v>
          </cell>
          <cell r="G333">
            <v>108000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4500</v>
          </cell>
          <cell r="M333">
            <v>108000</v>
          </cell>
          <cell r="W333">
            <v>-108000</v>
          </cell>
          <cell r="X333">
            <v>0</v>
          </cell>
        </row>
        <row r="334">
          <cell r="B334" t="str">
            <v>지선애자</v>
          </cell>
          <cell r="C334" t="str">
            <v xml:space="preserve"> 100x100</v>
          </cell>
          <cell r="D334" t="str">
            <v>개</v>
          </cell>
          <cell r="E334">
            <v>2</v>
          </cell>
          <cell r="F334">
            <v>1980</v>
          </cell>
          <cell r="G334">
            <v>3960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1980</v>
          </cell>
          <cell r="M334">
            <v>3960</v>
          </cell>
          <cell r="W334">
            <v>-3960</v>
          </cell>
          <cell r="X334">
            <v>0</v>
          </cell>
        </row>
        <row r="335">
          <cell r="B335" t="str">
            <v>지선로드</v>
          </cell>
          <cell r="C335" t="str">
            <v>φ16 x 2300mm</v>
          </cell>
          <cell r="D335" t="str">
            <v>본</v>
          </cell>
          <cell r="E335">
            <v>2</v>
          </cell>
          <cell r="F335">
            <v>5850</v>
          </cell>
          <cell r="G335">
            <v>11700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5850</v>
          </cell>
          <cell r="M335">
            <v>11700</v>
          </cell>
          <cell r="W335">
            <v>-11700</v>
          </cell>
          <cell r="X335">
            <v>0</v>
          </cell>
        </row>
        <row r="336">
          <cell r="B336" t="str">
            <v>지선용 근가</v>
          </cell>
          <cell r="C336" t="str">
            <v>지선용 0.7m 55Kg</v>
          </cell>
          <cell r="D336" t="str">
            <v>개</v>
          </cell>
          <cell r="E336">
            <v>2</v>
          </cell>
          <cell r="F336">
            <v>2941</v>
          </cell>
          <cell r="G336">
            <v>5882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2941</v>
          </cell>
          <cell r="M336">
            <v>5882</v>
          </cell>
          <cell r="W336">
            <v>-5882</v>
          </cell>
          <cell r="X336">
            <v>0</v>
          </cell>
        </row>
        <row r="337">
          <cell r="B337" t="str">
            <v>노무비</v>
          </cell>
          <cell r="C337" t="str">
            <v>배전전공</v>
          </cell>
          <cell r="D337" t="str">
            <v>인</v>
          </cell>
          <cell r="E337">
            <v>1.56</v>
          </cell>
          <cell r="F337">
            <v>0</v>
          </cell>
          <cell r="G337">
            <v>0</v>
          </cell>
          <cell r="H337">
            <v>182333</v>
          </cell>
          <cell r="I337">
            <v>284439</v>
          </cell>
          <cell r="J337">
            <v>0</v>
          </cell>
          <cell r="K337">
            <v>0</v>
          </cell>
          <cell r="L337">
            <v>182333</v>
          </cell>
          <cell r="M337">
            <v>284439</v>
          </cell>
          <cell r="W337">
            <v>-284439</v>
          </cell>
          <cell r="X337">
            <v>0</v>
          </cell>
        </row>
        <row r="338">
          <cell r="B338" t="str">
            <v>노무비</v>
          </cell>
          <cell r="C338" t="str">
            <v>보통인부</v>
          </cell>
          <cell r="D338" t="str">
            <v>인</v>
          </cell>
          <cell r="E338">
            <v>0.9</v>
          </cell>
          <cell r="F338">
            <v>0</v>
          </cell>
          <cell r="G338">
            <v>0</v>
          </cell>
          <cell r="H338">
            <v>34360</v>
          </cell>
          <cell r="I338">
            <v>30924</v>
          </cell>
          <cell r="J338">
            <v>0</v>
          </cell>
          <cell r="K338">
            <v>0</v>
          </cell>
          <cell r="L338">
            <v>34360</v>
          </cell>
          <cell r="M338">
            <v>30924</v>
          </cell>
          <cell r="W338">
            <v>-30924</v>
          </cell>
          <cell r="X338">
            <v>0</v>
          </cell>
        </row>
        <row r="339">
          <cell r="B339" t="str">
            <v>공구손료</v>
          </cell>
          <cell r="C339" t="str">
            <v>노무비 3%</v>
          </cell>
          <cell r="D339" t="str">
            <v>식</v>
          </cell>
          <cell r="E339">
            <v>1</v>
          </cell>
          <cell r="F339">
            <v>10032</v>
          </cell>
          <cell r="G339">
            <v>10032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10032</v>
          </cell>
          <cell r="M339">
            <v>10032</v>
          </cell>
          <cell r="W339">
            <v>-10032</v>
          </cell>
          <cell r="X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W340">
            <v>0</v>
          </cell>
          <cell r="X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W341">
            <v>0</v>
          </cell>
          <cell r="X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W342">
            <v>0</v>
          </cell>
          <cell r="X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W343">
            <v>0</v>
          </cell>
          <cell r="X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W344">
            <v>0</v>
          </cell>
          <cell r="X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W345">
            <v>0</v>
          </cell>
          <cell r="X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W346">
            <v>0</v>
          </cell>
          <cell r="X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W347">
            <v>0</v>
          </cell>
          <cell r="X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W348">
            <v>0</v>
          </cell>
          <cell r="X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W349">
            <v>0</v>
          </cell>
          <cell r="X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W350">
            <v>0</v>
          </cell>
          <cell r="X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W351">
            <v>0</v>
          </cell>
          <cell r="X351">
            <v>0</v>
          </cell>
        </row>
        <row r="352">
          <cell r="B352" t="str">
            <v>계</v>
          </cell>
          <cell r="C352">
            <v>0</v>
          </cell>
          <cell r="D352">
            <v>0</v>
          </cell>
          <cell r="E352">
            <v>0</v>
          </cell>
          <cell r="G352">
            <v>172724</v>
          </cell>
          <cell r="I352">
            <v>315363</v>
          </cell>
          <cell r="J352">
            <v>0</v>
          </cell>
          <cell r="K352">
            <v>0</v>
          </cell>
          <cell r="M352">
            <v>488087</v>
          </cell>
          <cell r="W352">
            <v>-488087</v>
          </cell>
          <cell r="X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488087</v>
          </cell>
          <cell r="M353">
            <v>15130697</v>
          </cell>
          <cell r="W353">
            <v>-15130697</v>
          </cell>
          <cell r="X353">
            <v>0</v>
          </cell>
        </row>
        <row r="354">
          <cell r="A354" t="str">
            <v>일위28-1</v>
          </cell>
          <cell r="B354" t="str">
            <v>낙착율</v>
          </cell>
          <cell r="C354">
            <v>0.80800000000000005</v>
          </cell>
          <cell r="D354">
            <v>0</v>
          </cell>
          <cell r="E354">
            <v>31</v>
          </cell>
          <cell r="F354">
            <v>172724</v>
          </cell>
          <cell r="G354">
            <v>5354444</v>
          </cell>
          <cell r="H354">
            <v>315363</v>
          </cell>
          <cell r="I354">
            <v>9776253</v>
          </cell>
          <cell r="J354">
            <v>0</v>
          </cell>
          <cell r="K354">
            <v>0</v>
          </cell>
          <cell r="L354">
            <v>373080</v>
          </cell>
          <cell r="M354">
            <v>11565480</v>
          </cell>
          <cell r="W354">
            <v>-11565480</v>
          </cell>
          <cell r="X354">
            <v>0</v>
          </cell>
        </row>
        <row r="355">
          <cell r="A355" t="str">
            <v>일위29</v>
          </cell>
          <cell r="B355" t="str">
            <v xml:space="preserve"> 27. 지선신설</v>
          </cell>
          <cell r="C355" t="str">
            <v>4방 지선</v>
          </cell>
          <cell r="D355" t="str">
            <v>개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W355">
            <v>0</v>
          </cell>
          <cell r="X355">
            <v>0</v>
          </cell>
        </row>
        <row r="356">
          <cell r="B356" t="str">
            <v>아연도 강연선</v>
          </cell>
          <cell r="C356" t="str">
            <v>ST 55㎟</v>
          </cell>
          <cell r="D356">
            <v>0</v>
          </cell>
          <cell r="E356">
            <v>60</v>
          </cell>
          <cell r="F356">
            <v>960</v>
          </cell>
          <cell r="G356">
            <v>57600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960</v>
          </cell>
          <cell r="M356">
            <v>57600</v>
          </cell>
          <cell r="W356">
            <v>-57600</v>
          </cell>
          <cell r="X356">
            <v>0</v>
          </cell>
        </row>
        <row r="357">
          <cell r="B357" t="str">
            <v>지선밴드</v>
          </cell>
          <cell r="C357" t="str">
            <v>1방 2호</v>
          </cell>
          <cell r="D357" t="str">
            <v>개</v>
          </cell>
          <cell r="E357">
            <v>2</v>
          </cell>
          <cell r="F357">
            <v>4350</v>
          </cell>
          <cell r="G357">
            <v>8700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4350</v>
          </cell>
          <cell r="M357">
            <v>8700</v>
          </cell>
          <cell r="W357">
            <v>-8700</v>
          </cell>
          <cell r="X357">
            <v>0</v>
          </cell>
        </row>
        <row r="358">
          <cell r="B358" t="str">
            <v>와이어 크립</v>
          </cell>
          <cell r="C358" t="str">
            <v xml:space="preserve"> 55㎟</v>
          </cell>
          <cell r="D358" t="str">
            <v>개</v>
          </cell>
          <cell r="E358">
            <v>48</v>
          </cell>
          <cell r="F358">
            <v>4500</v>
          </cell>
          <cell r="G358">
            <v>216000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4500</v>
          </cell>
          <cell r="M358">
            <v>216000</v>
          </cell>
          <cell r="W358">
            <v>-216000</v>
          </cell>
          <cell r="X358">
            <v>0</v>
          </cell>
        </row>
        <row r="359">
          <cell r="B359" t="str">
            <v>지선애자</v>
          </cell>
          <cell r="C359" t="str">
            <v xml:space="preserve"> 100x100</v>
          </cell>
          <cell r="D359" t="str">
            <v>개</v>
          </cell>
          <cell r="E359">
            <v>4</v>
          </cell>
          <cell r="F359">
            <v>1980</v>
          </cell>
          <cell r="G359">
            <v>7920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1980</v>
          </cell>
          <cell r="M359">
            <v>7920</v>
          </cell>
          <cell r="W359">
            <v>-7920</v>
          </cell>
          <cell r="X359">
            <v>0</v>
          </cell>
        </row>
        <row r="360">
          <cell r="B360" t="str">
            <v>지선로드</v>
          </cell>
          <cell r="C360" t="str">
            <v>φ16 x 2300mm</v>
          </cell>
          <cell r="D360" t="str">
            <v>본</v>
          </cell>
          <cell r="E360">
            <v>4</v>
          </cell>
          <cell r="F360">
            <v>5850</v>
          </cell>
          <cell r="G360">
            <v>23400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5850</v>
          </cell>
          <cell r="M360">
            <v>23400</v>
          </cell>
          <cell r="W360">
            <v>-23400</v>
          </cell>
          <cell r="X360">
            <v>0</v>
          </cell>
        </row>
        <row r="361">
          <cell r="B361" t="str">
            <v>지선용 근가</v>
          </cell>
          <cell r="C361" t="str">
            <v>지선용 0.7m 55Kg</v>
          </cell>
          <cell r="D361" t="str">
            <v>개</v>
          </cell>
          <cell r="E361">
            <v>4</v>
          </cell>
          <cell r="F361">
            <v>2941</v>
          </cell>
          <cell r="G361">
            <v>11764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2941</v>
          </cell>
          <cell r="M361">
            <v>11764</v>
          </cell>
          <cell r="W361">
            <v>-11764</v>
          </cell>
          <cell r="X361">
            <v>0</v>
          </cell>
        </row>
        <row r="362">
          <cell r="B362" t="str">
            <v>노무비</v>
          </cell>
          <cell r="C362" t="str">
            <v>배전전공</v>
          </cell>
          <cell r="D362" t="str">
            <v>인</v>
          </cell>
          <cell r="E362">
            <v>3.12</v>
          </cell>
          <cell r="F362">
            <v>0</v>
          </cell>
          <cell r="G362">
            <v>0</v>
          </cell>
          <cell r="H362">
            <v>182333</v>
          </cell>
          <cell r="I362">
            <v>568878</v>
          </cell>
          <cell r="J362">
            <v>0</v>
          </cell>
          <cell r="K362">
            <v>0</v>
          </cell>
          <cell r="L362">
            <v>182333</v>
          </cell>
          <cell r="M362">
            <v>568878</v>
          </cell>
          <cell r="W362">
            <v>-568878</v>
          </cell>
          <cell r="X362">
            <v>0</v>
          </cell>
        </row>
        <row r="363">
          <cell r="B363" t="str">
            <v>노무비</v>
          </cell>
          <cell r="C363" t="str">
            <v>보통인부</v>
          </cell>
          <cell r="D363" t="str">
            <v>인</v>
          </cell>
          <cell r="E363">
            <v>1.8</v>
          </cell>
          <cell r="F363">
            <v>0</v>
          </cell>
          <cell r="G363">
            <v>0</v>
          </cell>
          <cell r="H363">
            <v>34360</v>
          </cell>
          <cell r="I363">
            <v>61848</v>
          </cell>
          <cell r="J363">
            <v>0</v>
          </cell>
          <cell r="K363">
            <v>0</v>
          </cell>
          <cell r="L363">
            <v>34360</v>
          </cell>
          <cell r="M363">
            <v>61848</v>
          </cell>
          <cell r="W363">
            <v>-61848</v>
          </cell>
          <cell r="X363">
            <v>0</v>
          </cell>
        </row>
        <row r="364">
          <cell r="B364" t="str">
            <v>공구손료</v>
          </cell>
          <cell r="C364" t="str">
            <v>노무비 3%</v>
          </cell>
          <cell r="D364" t="str">
            <v>식</v>
          </cell>
          <cell r="E364">
            <v>1</v>
          </cell>
          <cell r="F364">
            <v>20065</v>
          </cell>
          <cell r="G364">
            <v>20065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20065</v>
          </cell>
          <cell r="M364">
            <v>20065</v>
          </cell>
          <cell r="W364">
            <v>-20065</v>
          </cell>
          <cell r="X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W365">
            <v>0</v>
          </cell>
          <cell r="X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W366">
            <v>0</v>
          </cell>
          <cell r="X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W367">
            <v>0</v>
          </cell>
          <cell r="X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W368">
            <v>0</v>
          </cell>
          <cell r="X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W369">
            <v>0</v>
          </cell>
          <cell r="X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W370">
            <v>0</v>
          </cell>
          <cell r="X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W371">
            <v>0</v>
          </cell>
          <cell r="X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W372">
            <v>0</v>
          </cell>
          <cell r="X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W373">
            <v>0</v>
          </cell>
          <cell r="X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W374">
            <v>0</v>
          </cell>
          <cell r="X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W375">
            <v>0</v>
          </cell>
          <cell r="X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W376">
            <v>0</v>
          </cell>
          <cell r="X376">
            <v>0</v>
          </cell>
        </row>
        <row r="377">
          <cell r="B377" t="str">
            <v>계</v>
          </cell>
          <cell r="C377">
            <v>0</v>
          </cell>
          <cell r="D377">
            <v>0</v>
          </cell>
          <cell r="E377">
            <v>0</v>
          </cell>
          <cell r="G377">
            <v>345449</v>
          </cell>
          <cell r="I377">
            <v>630726</v>
          </cell>
          <cell r="J377">
            <v>0</v>
          </cell>
          <cell r="K377">
            <v>0</v>
          </cell>
          <cell r="M377">
            <v>976175</v>
          </cell>
          <cell r="W377">
            <v>-976175</v>
          </cell>
          <cell r="X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976175</v>
          </cell>
          <cell r="M378">
            <v>27332900</v>
          </cell>
          <cell r="W378">
            <v>-27332900</v>
          </cell>
          <cell r="X378">
            <v>0</v>
          </cell>
        </row>
        <row r="379">
          <cell r="A379" t="str">
            <v>일위29-1</v>
          </cell>
          <cell r="B379" t="str">
            <v>낙착율</v>
          </cell>
          <cell r="C379">
            <v>0.80800000000000005</v>
          </cell>
          <cell r="D379">
            <v>0</v>
          </cell>
          <cell r="E379">
            <v>28</v>
          </cell>
          <cell r="F379">
            <v>345449</v>
          </cell>
          <cell r="G379">
            <v>9672572</v>
          </cell>
          <cell r="H379">
            <v>630726</v>
          </cell>
          <cell r="I379">
            <v>17660328</v>
          </cell>
          <cell r="J379">
            <v>0</v>
          </cell>
          <cell r="K379">
            <v>0</v>
          </cell>
          <cell r="L379">
            <v>746162</v>
          </cell>
          <cell r="M379">
            <v>20892536</v>
          </cell>
          <cell r="W379">
            <v>-20892536</v>
          </cell>
          <cell r="X379">
            <v>0</v>
          </cell>
        </row>
        <row r="380">
          <cell r="A380" t="str">
            <v>일위30</v>
          </cell>
          <cell r="B380" t="str">
            <v xml:space="preserve"> 28. 완철신설 </v>
          </cell>
          <cell r="C380" t="str">
            <v>A1(직선용)</v>
          </cell>
          <cell r="D380" t="str">
            <v>개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W380">
            <v>0</v>
          </cell>
          <cell r="X380">
            <v>0</v>
          </cell>
        </row>
        <row r="381">
          <cell r="B381" t="str">
            <v>가공지선지지대</v>
          </cell>
          <cell r="C381" t="str">
            <v>직선용</v>
          </cell>
          <cell r="D381" t="str">
            <v>개</v>
          </cell>
          <cell r="E381">
            <v>1</v>
          </cell>
          <cell r="F381">
            <v>0</v>
          </cell>
          <cell r="G381" t="str">
            <v>관 급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 t="str">
            <v>관  급</v>
          </cell>
          <cell r="X381">
            <v>0</v>
          </cell>
        </row>
        <row r="382">
          <cell r="B382" t="str">
            <v>라인포스트 애자</v>
          </cell>
          <cell r="C382" t="str">
            <v>23KV 152x304mm</v>
          </cell>
          <cell r="D382" t="str">
            <v>개</v>
          </cell>
          <cell r="E382">
            <v>3</v>
          </cell>
          <cell r="F382">
            <v>13200</v>
          </cell>
          <cell r="G382">
            <v>39600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13200</v>
          </cell>
          <cell r="M382">
            <v>39600</v>
          </cell>
          <cell r="W382">
            <v>-39600</v>
          </cell>
          <cell r="X382">
            <v>0</v>
          </cell>
        </row>
        <row r="383">
          <cell r="B383" t="str">
            <v>완철 밴드</v>
          </cell>
          <cell r="C383" t="str">
            <v>1방 2호</v>
          </cell>
          <cell r="D383" t="str">
            <v>개</v>
          </cell>
          <cell r="E383">
            <v>1</v>
          </cell>
          <cell r="F383">
            <v>7390</v>
          </cell>
          <cell r="G383">
            <v>7390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7390</v>
          </cell>
          <cell r="M383">
            <v>7390</v>
          </cell>
          <cell r="W383">
            <v>-7390</v>
          </cell>
          <cell r="X383">
            <v>0</v>
          </cell>
        </row>
        <row r="384">
          <cell r="B384" t="str">
            <v>바인드선</v>
          </cell>
          <cell r="C384" t="str">
            <v>4m</v>
          </cell>
          <cell r="D384" t="str">
            <v>개</v>
          </cell>
          <cell r="E384">
            <v>3</v>
          </cell>
          <cell r="F384">
            <v>361</v>
          </cell>
          <cell r="G384">
            <v>1083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361</v>
          </cell>
          <cell r="M384">
            <v>1083</v>
          </cell>
          <cell r="W384">
            <v>-1083</v>
          </cell>
          <cell r="X384">
            <v>0</v>
          </cell>
        </row>
        <row r="385">
          <cell r="B385" t="str">
            <v>완철</v>
          </cell>
          <cell r="C385" t="str">
            <v>경완금 75x75x3.2tx2400mm</v>
          </cell>
          <cell r="D385" t="str">
            <v>본</v>
          </cell>
          <cell r="E385">
            <v>1</v>
          </cell>
          <cell r="F385">
            <v>24700</v>
          </cell>
          <cell r="G385">
            <v>24700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24700</v>
          </cell>
          <cell r="M385">
            <v>24700</v>
          </cell>
          <cell r="W385">
            <v>-24700</v>
          </cell>
          <cell r="X385">
            <v>0</v>
          </cell>
        </row>
        <row r="386">
          <cell r="B386" t="str">
            <v>노무비</v>
          </cell>
          <cell r="C386" t="str">
            <v>배전전공</v>
          </cell>
          <cell r="D386" t="str">
            <v>인</v>
          </cell>
          <cell r="E386">
            <v>0.48</v>
          </cell>
          <cell r="F386">
            <v>0</v>
          </cell>
          <cell r="G386">
            <v>0</v>
          </cell>
          <cell r="H386">
            <v>182333</v>
          </cell>
          <cell r="I386">
            <v>87519</v>
          </cell>
          <cell r="J386">
            <v>0</v>
          </cell>
          <cell r="K386">
            <v>0</v>
          </cell>
          <cell r="L386">
            <v>182333</v>
          </cell>
          <cell r="M386">
            <v>87519</v>
          </cell>
          <cell r="W386">
            <v>-87519</v>
          </cell>
          <cell r="X386">
            <v>0</v>
          </cell>
        </row>
        <row r="387">
          <cell r="B387" t="str">
            <v>노무비</v>
          </cell>
          <cell r="C387" t="str">
            <v>보통인부</v>
          </cell>
          <cell r="D387" t="str">
            <v>인</v>
          </cell>
          <cell r="E387">
            <v>0.59</v>
          </cell>
          <cell r="F387">
            <v>0</v>
          </cell>
          <cell r="G387">
            <v>0</v>
          </cell>
          <cell r="H387">
            <v>34360</v>
          </cell>
          <cell r="I387">
            <v>20272</v>
          </cell>
          <cell r="J387">
            <v>0</v>
          </cell>
          <cell r="K387">
            <v>0</v>
          </cell>
          <cell r="L387">
            <v>34360</v>
          </cell>
          <cell r="M387">
            <v>20272</v>
          </cell>
          <cell r="W387">
            <v>-20272</v>
          </cell>
          <cell r="X387">
            <v>0</v>
          </cell>
        </row>
        <row r="388">
          <cell r="B388" t="str">
            <v>공구손료</v>
          </cell>
          <cell r="C388" t="str">
            <v>노무비의 3%</v>
          </cell>
          <cell r="D388" t="str">
            <v>식</v>
          </cell>
          <cell r="E388">
            <v>1</v>
          </cell>
          <cell r="F388">
            <v>3441</v>
          </cell>
          <cell r="G388">
            <v>3441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3441</v>
          </cell>
          <cell r="M388">
            <v>3441</v>
          </cell>
          <cell r="W388">
            <v>-3441</v>
          </cell>
          <cell r="X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W389">
            <v>0</v>
          </cell>
          <cell r="X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W390">
            <v>0</v>
          </cell>
          <cell r="X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W391">
            <v>0</v>
          </cell>
          <cell r="X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W392">
            <v>0</v>
          </cell>
          <cell r="X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W393">
            <v>0</v>
          </cell>
          <cell r="X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W394">
            <v>0</v>
          </cell>
          <cell r="X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W395">
            <v>0</v>
          </cell>
          <cell r="X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W396">
            <v>0</v>
          </cell>
          <cell r="X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W397">
            <v>0</v>
          </cell>
          <cell r="X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W398">
            <v>0</v>
          </cell>
          <cell r="X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W399">
            <v>0</v>
          </cell>
          <cell r="X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W400">
            <v>0</v>
          </cell>
          <cell r="X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W401">
            <v>0</v>
          </cell>
          <cell r="X401">
            <v>0</v>
          </cell>
        </row>
        <row r="402">
          <cell r="B402" t="str">
            <v>계</v>
          </cell>
          <cell r="C402">
            <v>0</v>
          </cell>
          <cell r="D402">
            <v>0</v>
          </cell>
          <cell r="E402">
            <v>0</v>
          </cell>
          <cell r="G402">
            <v>76214</v>
          </cell>
          <cell r="I402">
            <v>107791</v>
          </cell>
          <cell r="J402">
            <v>0</v>
          </cell>
          <cell r="K402">
            <v>0</v>
          </cell>
          <cell r="M402">
            <v>184005</v>
          </cell>
          <cell r="W402">
            <v>-184005</v>
          </cell>
          <cell r="X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184005</v>
          </cell>
          <cell r="M403">
            <v>33120900</v>
          </cell>
          <cell r="W403">
            <v>-33120900</v>
          </cell>
          <cell r="X403">
            <v>0</v>
          </cell>
        </row>
        <row r="404">
          <cell r="A404" t="str">
            <v>일위30-1</v>
          </cell>
          <cell r="B404" t="str">
            <v>낙착율</v>
          </cell>
          <cell r="C404">
            <v>0.80800000000000005</v>
          </cell>
          <cell r="D404">
            <v>0</v>
          </cell>
          <cell r="E404">
            <v>180</v>
          </cell>
          <cell r="F404">
            <v>76214</v>
          </cell>
          <cell r="G404">
            <v>13718520</v>
          </cell>
          <cell r="H404">
            <v>107791</v>
          </cell>
          <cell r="I404">
            <v>19402380</v>
          </cell>
          <cell r="J404">
            <v>0</v>
          </cell>
          <cell r="K404">
            <v>0</v>
          </cell>
          <cell r="L404">
            <v>139687</v>
          </cell>
          <cell r="M404">
            <v>25143660</v>
          </cell>
          <cell r="W404">
            <v>-25143660</v>
          </cell>
          <cell r="X404">
            <v>0</v>
          </cell>
        </row>
        <row r="405">
          <cell r="A405" t="str">
            <v>일위31</v>
          </cell>
          <cell r="B405" t="str">
            <v xml:space="preserve"> 29. 완철신설 </v>
          </cell>
          <cell r="C405" t="str">
            <v>A2(직선용)</v>
          </cell>
          <cell r="D405" t="str">
            <v>개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W405">
            <v>0</v>
          </cell>
          <cell r="X405">
            <v>0</v>
          </cell>
        </row>
        <row r="406">
          <cell r="B406" t="str">
            <v>가공지선지지대</v>
          </cell>
          <cell r="C406" t="str">
            <v>직선용</v>
          </cell>
          <cell r="D406" t="str">
            <v>개</v>
          </cell>
          <cell r="E406">
            <v>1</v>
          </cell>
          <cell r="F406">
            <v>0</v>
          </cell>
          <cell r="G406" t="str">
            <v>관 급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 t="str">
            <v>관  급</v>
          </cell>
          <cell r="X406">
            <v>0</v>
          </cell>
        </row>
        <row r="407">
          <cell r="B407" t="str">
            <v>라인포스트 애자</v>
          </cell>
          <cell r="C407" t="str">
            <v>23KV 152x304mm</v>
          </cell>
          <cell r="D407" t="str">
            <v>개</v>
          </cell>
          <cell r="E407">
            <v>6</v>
          </cell>
          <cell r="F407">
            <v>13200</v>
          </cell>
          <cell r="G407">
            <v>79200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13200</v>
          </cell>
          <cell r="M407">
            <v>79200</v>
          </cell>
          <cell r="W407">
            <v>-79200</v>
          </cell>
          <cell r="X407">
            <v>0</v>
          </cell>
        </row>
        <row r="408">
          <cell r="B408" t="str">
            <v>완철 밴드</v>
          </cell>
          <cell r="C408" t="str">
            <v>1방 2호</v>
          </cell>
          <cell r="D408" t="str">
            <v>개</v>
          </cell>
          <cell r="E408">
            <v>1</v>
          </cell>
          <cell r="F408">
            <v>12500</v>
          </cell>
          <cell r="G408">
            <v>12500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12500</v>
          </cell>
          <cell r="M408">
            <v>12500</v>
          </cell>
          <cell r="W408">
            <v>-12500</v>
          </cell>
          <cell r="X408">
            <v>0</v>
          </cell>
        </row>
        <row r="409">
          <cell r="B409" t="str">
            <v>바인드선</v>
          </cell>
          <cell r="C409" t="str">
            <v>4m</v>
          </cell>
          <cell r="D409" t="str">
            <v>개</v>
          </cell>
          <cell r="E409">
            <v>6</v>
          </cell>
          <cell r="F409">
            <v>361</v>
          </cell>
          <cell r="G409">
            <v>2166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361</v>
          </cell>
          <cell r="M409">
            <v>2166</v>
          </cell>
          <cell r="W409">
            <v>-2166</v>
          </cell>
          <cell r="X409">
            <v>0</v>
          </cell>
        </row>
        <row r="410">
          <cell r="B410" t="str">
            <v>완철</v>
          </cell>
          <cell r="C410" t="str">
            <v>경완금 75x75x3.2tx2400mm</v>
          </cell>
          <cell r="D410" t="str">
            <v>개</v>
          </cell>
          <cell r="E410">
            <v>2</v>
          </cell>
          <cell r="F410">
            <v>24700</v>
          </cell>
          <cell r="G410">
            <v>49400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24700</v>
          </cell>
          <cell r="M410">
            <v>49400</v>
          </cell>
          <cell r="W410">
            <v>-49400</v>
          </cell>
          <cell r="X410">
            <v>0</v>
          </cell>
        </row>
        <row r="411">
          <cell r="B411" t="str">
            <v>머쉰볼트</v>
          </cell>
          <cell r="C411" t="str">
            <v>M16 x 400</v>
          </cell>
          <cell r="D411" t="str">
            <v>개</v>
          </cell>
          <cell r="E411">
            <v>2</v>
          </cell>
          <cell r="F411">
            <v>1240</v>
          </cell>
          <cell r="G411">
            <v>2480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1240</v>
          </cell>
          <cell r="M411">
            <v>2480</v>
          </cell>
          <cell r="W411">
            <v>-2480</v>
          </cell>
          <cell r="X411">
            <v>0</v>
          </cell>
        </row>
        <row r="412">
          <cell r="B412" t="str">
            <v>노무비</v>
          </cell>
          <cell r="C412" t="str">
            <v>배전전공</v>
          </cell>
          <cell r="D412" t="str">
            <v>인</v>
          </cell>
          <cell r="E412">
            <v>0.77</v>
          </cell>
          <cell r="F412">
            <v>0</v>
          </cell>
          <cell r="G412">
            <v>0</v>
          </cell>
          <cell r="H412">
            <v>182333</v>
          </cell>
          <cell r="I412">
            <v>140396</v>
          </cell>
          <cell r="J412">
            <v>0</v>
          </cell>
          <cell r="K412">
            <v>0</v>
          </cell>
          <cell r="L412">
            <v>182333</v>
          </cell>
          <cell r="M412">
            <v>140396</v>
          </cell>
          <cell r="W412">
            <v>-140396</v>
          </cell>
          <cell r="X412">
            <v>0</v>
          </cell>
        </row>
        <row r="413">
          <cell r="B413" t="str">
            <v>노무비</v>
          </cell>
          <cell r="C413" t="str">
            <v>보통인부</v>
          </cell>
          <cell r="D413" t="str">
            <v>인</v>
          </cell>
          <cell r="E413">
            <v>1.07</v>
          </cell>
          <cell r="F413">
            <v>0</v>
          </cell>
          <cell r="G413">
            <v>0</v>
          </cell>
          <cell r="H413">
            <v>34360</v>
          </cell>
          <cell r="I413">
            <v>36765</v>
          </cell>
          <cell r="J413">
            <v>0</v>
          </cell>
          <cell r="K413">
            <v>0</v>
          </cell>
          <cell r="L413">
            <v>34360</v>
          </cell>
          <cell r="M413">
            <v>36765</v>
          </cell>
          <cell r="W413">
            <v>-36765</v>
          </cell>
          <cell r="X413">
            <v>0</v>
          </cell>
        </row>
        <row r="414">
          <cell r="B414" t="str">
            <v>공구손료</v>
          </cell>
          <cell r="C414" t="str">
            <v>노무비의 3%</v>
          </cell>
          <cell r="D414" t="str">
            <v>식</v>
          </cell>
          <cell r="E414">
            <v>1</v>
          </cell>
          <cell r="F414">
            <v>5660</v>
          </cell>
          <cell r="G414">
            <v>5660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5660</v>
          </cell>
          <cell r="M414">
            <v>5660</v>
          </cell>
          <cell r="W414">
            <v>-5660</v>
          </cell>
          <cell r="X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W415">
            <v>0</v>
          </cell>
          <cell r="X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W416">
            <v>0</v>
          </cell>
          <cell r="X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W417">
            <v>0</v>
          </cell>
          <cell r="X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W418">
            <v>0</v>
          </cell>
          <cell r="X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W419">
            <v>0</v>
          </cell>
          <cell r="X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W420">
            <v>0</v>
          </cell>
          <cell r="X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W421">
            <v>0</v>
          </cell>
          <cell r="X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W422">
            <v>0</v>
          </cell>
          <cell r="X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W423">
            <v>0</v>
          </cell>
          <cell r="X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W424">
            <v>0</v>
          </cell>
          <cell r="X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W425">
            <v>0</v>
          </cell>
          <cell r="X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W426">
            <v>0</v>
          </cell>
          <cell r="X426">
            <v>0</v>
          </cell>
        </row>
        <row r="427">
          <cell r="B427" t="str">
            <v>계</v>
          </cell>
          <cell r="C427">
            <v>0</v>
          </cell>
          <cell r="D427">
            <v>0</v>
          </cell>
          <cell r="E427">
            <v>0</v>
          </cell>
          <cell r="G427">
            <v>151406</v>
          </cell>
          <cell r="I427">
            <v>177161</v>
          </cell>
          <cell r="J427">
            <v>0</v>
          </cell>
          <cell r="K427">
            <v>0</v>
          </cell>
          <cell r="M427">
            <v>328567</v>
          </cell>
          <cell r="W427">
            <v>-328567</v>
          </cell>
          <cell r="X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328567</v>
          </cell>
          <cell r="M428">
            <v>33185267</v>
          </cell>
          <cell r="W428">
            <v>-33185267</v>
          </cell>
          <cell r="X428">
            <v>0</v>
          </cell>
        </row>
        <row r="429">
          <cell r="A429" t="str">
            <v>일위31-1</v>
          </cell>
          <cell r="B429" t="str">
            <v>낙착율</v>
          </cell>
          <cell r="C429">
            <v>0.80800000000000005</v>
          </cell>
          <cell r="D429">
            <v>0</v>
          </cell>
          <cell r="E429">
            <v>101</v>
          </cell>
          <cell r="F429">
            <v>151406</v>
          </cell>
          <cell r="G429">
            <v>15292006</v>
          </cell>
          <cell r="H429">
            <v>177161</v>
          </cell>
          <cell r="I429">
            <v>17893261</v>
          </cell>
          <cell r="J429">
            <v>0</v>
          </cell>
          <cell r="K429">
            <v>0</v>
          </cell>
          <cell r="L429">
            <v>247538</v>
          </cell>
          <cell r="M429">
            <v>25001338</v>
          </cell>
          <cell r="W429">
            <v>-25001338</v>
          </cell>
          <cell r="X429">
            <v>0</v>
          </cell>
        </row>
        <row r="430">
          <cell r="A430" t="str">
            <v>일위32</v>
          </cell>
          <cell r="B430" t="str">
            <v xml:space="preserve"> 30. 완철신설 </v>
          </cell>
          <cell r="C430" t="str">
            <v>B2(인장형)</v>
          </cell>
          <cell r="D430" t="str">
            <v>개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W430">
            <v>0</v>
          </cell>
          <cell r="X430">
            <v>0</v>
          </cell>
        </row>
        <row r="431">
          <cell r="B431" t="str">
            <v>가공지선지지대</v>
          </cell>
          <cell r="C431" t="str">
            <v>인장형</v>
          </cell>
          <cell r="D431" t="str">
            <v>개</v>
          </cell>
          <cell r="E431">
            <v>1</v>
          </cell>
          <cell r="F431">
            <v>0</v>
          </cell>
          <cell r="G431" t="str">
            <v>관 급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 t="str">
            <v>관  급</v>
          </cell>
          <cell r="X431">
            <v>0</v>
          </cell>
        </row>
        <row r="432">
          <cell r="B432" t="str">
            <v>현수애자</v>
          </cell>
          <cell r="C432" t="str">
            <v>볼형 191 x 146mm</v>
          </cell>
          <cell r="D432" t="str">
            <v>개</v>
          </cell>
          <cell r="E432">
            <v>12</v>
          </cell>
          <cell r="F432">
            <v>12000</v>
          </cell>
          <cell r="G432">
            <v>144000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12000</v>
          </cell>
          <cell r="M432">
            <v>144000</v>
          </cell>
          <cell r="W432">
            <v>-144000</v>
          </cell>
          <cell r="X432">
            <v>0</v>
          </cell>
        </row>
        <row r="433">
          <cell r="B433" t="str">
            <v>완철밴드</v>
          </cell>
          <cell r="C433" t="str">
            <v>2방 2호</v>
          </cell>
          <cell r="D433" t="str">
            <v>개</v>
          </cell>
          <cell r="E433">
            <v>1</v>
          </cell>
          <cell r="F433">
            <v>12500</v>
          </cell>
          <cell r="G433">
            <v>12500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12500</v>
          </cell>
          <cell r="M433">
            <v>12500</v>
          </cell>
          <cell r="W433">
            <v>-12500</v>
          </cell>
          <cell r="X433">
            <v>0</v>
          </cell>
        </row>
        <row r="434">
          <cell r="B434" t="str">
            <v>완철</v>
          </cell>
          <cell r="C434" t="str">
            <v>경완금75x75x3.2tx2400mm</v>
          </cell>
          <cell r="D434" t="str">
            <v>개</v>
          </cell>
          <cell r="E434">
            <v>2</v>
          </cell>
          <cell r="F434">
            <v>24700</v>
          </cell>
          <cell r="G434">
            <v>49400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24700</v>
          </cell>
          <cell r="M434">
            <v>49400</v>
          </cell>
          <cell r="W434">
            <v>-49400</v>
          </cell>
          <cell r="X434">
            <v>0</v>
          </cell>
        </row>
        <row r="435">
          <cell r="B435" t="str">
            <v>경완철용 볼 쇄클</v>
          </cell>
          <cell r="C435" t="str">
            <v>ESB-122-222</v>
          </cell>
          <cell r="D435" t="str">
            <v>개</v>
          </cell>
          <cell r="E435">
            <v>6</v>
          </cell>
          <cell r="F435">
            <v>2900</v>
          </cell>
          <cell r="G435">
            <v>17400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2900</v>
          </cell>
          <cell r="M435">
            <v>17400</v>
          </cell>
          <cell r="W435">
            <v>-17400</v>
          </cell>
          <cell r="X435">
            <v>0</v>
          </cell>
        </row>
        <row r="436">
          <cell r="B436" t="str">
            <v>소켓아이</v>
          </cell>
          <cell r="C436" t="str">
            <v>SE-12</v>
          </cell>
          <cell r="D436" t="str">
            <v>개</v>
          </cell>
          <cell r="E436">
            <v>6</v>
          </cell>
          <cell r="F436">
            <v>4500</v>
          </cell>
          <cell r="G436">
            <v>27000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4500</v>
          </cell>
          <cell r="M436">
            <v>27000</v>
          </cell>
          <cell r="W436">
            <v>-27000</v>
          </cell>
          <cell r="X436">
            <v>0</v>
          </cell>
        </row>
        <row r="437">
          <cell r="B437" t="str">
            <v>인류 크램프</v>
          </cell>
          <cell r="C437" t="str">
            <v>ACSR 95㎟</v>
          </cell>
          <cell r="D437" t="str">
            <v>개</v>
          </cell>
          <cell r="E437">
            <v>6</v>
          </cell>
          <cell r="F437">
            <v>29200</v>
          </cell>
          <cell r="G437">
            <v>175200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29200</v>
          </cell>
          <cell r="M437">
            <v>175200</v>
          </cell>
          <cell r="W437">
            <v>-175200</v>
          </cell>
          <cell r="X437">
            <v>0</v>
          </cell>
        </row>
        <row r="438">
          <cell r="B438" t="str">
            <v>인류 크램프</v>
          </cell>
          <cell r="C438" t="str">
            <v>ACSR 58㎟</v>
          </cell>
          <cell r="D438" t="str">
            <v>개</v>
          </cell>
          <cell r="E438">
            <v>2</v>
          </cell>
          <cell r="F438">
            <v>29200</v>
          </cell>
          <cell r="G438">
            <v>58400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29200</v>
          </cell>
          <cell r="M438">
            <v>58400</v>
          </cell>
          <cell r="W438">
            <v>-58400</v>
          </cell>
          <cell r="X438">
            <v>0</v>
          </cell>
        </row>
        <row r="439">
          <cell r="B439" t="str">
            <v>머쉰볼트</v>
          </cell>
          <cell r="C439" t="str">
            <v>M16 x 250mm</v>
          </cell>
          <cell r="D439" t="str">
            <v>개</v>
          </cell>
          <cell r="E439">
            <v>2</v>
          </cell>
          <cell r="F439">
            <v>1000</v>
          </cell>
          <cell r="G439">
            <v>2000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1000</v>
          </cell>
          <cell r="M439">
            <v>2000</v>
          </cell>
          <cell r="W439">
            <v>-2000</v>
          </cell>
          <cell r="X439">
            <v>0</v>
          </cell>
        </row>
        <row r="440">
          <cell r="B440" t="str">
            <v>앵커쇄클</v>
          </cell>
          <cell r="C440" t="str">
            <v>AS-12</v>
          </cell>
          <cell r="D440" t="str">
            <v>개</v>
          </cell>
          <cell r="E440">
            <v>6</v>
          </cell>
          <cell r="F440">
            <v>3600</v>
          </cell>
          <cell r="G440">
            <v>21600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3600</v>
          </cell>
          <cell r="M440">
            <v>21600</v>
          </cell>
          <cell r="W440">
            <v>-21600</v>
          </cell>
          <cell r="X440">
            <v>0</v>
          </cell>
        </row>
        <row r="441">
          <cell r="B441" t="str">
            <v>노무비</v>
          </cell>
          <cell r="C441" t="str">
            <v>배전전공</v>
          </cell>
          <cell r="D441" t="str">
            <v>인</v>
          </cell>
          <cell r="E441">
            <v>1.17</v>
          </cell>
          <cell r="F441">
            <v>0</v>
          </cell>
          <cell r="G441">
            <v>0</v>
          </cell>
          <cell r="H441">
            <v>182333</v>
          </cell>
          <cell r="I441">
            <v>213329</v>
          </cell>
          <cell r="J441">
            <v>0</v>
          </cell>
          <cell r="K441">
            <v>0</v>
          </cell>
          <cell r="L441">
            <v>182333</v>
          </cell>
          <cell r="M441">
            <v>213329</v>
          </cell>
          <cell r="W441">
            <v>-213329</v>
          </cell>
          <cell r="X441">
            <v>0</v>
          </cell>
        </row>
        <row r="442">
          <cell r="B442" t="str">
            <v>노무비</v>
          </cell>
          <cell r="C442" t="str">
            <v>보통인부</v>
          </cell>
          <cell r="D442" t="str">
            <v>인</v>
          </cell>
          <cell r="E442">
            <v>0.92</v>
          </cell>
          <cell r="F442">
            <v>0</v>
          </cell>
          <cell r="G442">
            <v>0</v>
          </cell>
          <cell r="H442">
            <v>34360</v>
          </cell>
          <cell r="I442">
            <v>31611</v>
          </cell>
          <cell r="J442">
            <v>0</v>
          </cell>
          <cell r="K442">
            <v>0</v>
          </cell>
          <cell r="L442">
            <v>34360</v>
          </cell>
          <cell r="M442">
            <v>31611</v>
          </cell>
          <cell r="W442">
            <v>-31611</v>
          </cell>
          <cell r="X442">
            <v>0</v>
          </cell>
        </row>
        <row r="443">
          <cell r="B443" t="str">
            <v>공구손료</v>
          </cell>
          <cell r="C443" t="str">
            <v>노무비의 3%</v>
          </cell>
          <cell r="D443" t="str">
            <v>식</v>
          </cell>
          <cell r="E443">
            <v>1</v>
          </cell>
          <cell r="F443">
            <v>7801</v>
          </cell>
          <cell r="G443">
            <v>7801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7801</v>
          </cell>
          <cell r="M443">
            <v>7801</v>
          </cell>
          <cell r="W443">
            <v>-7801</v>
          </cell>
          <cell r="X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W444">
            <v>0</v>
          </cell>
          <cell r="X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W445">
            <v>0</v>
          </cell>
          <cell r="X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W446">
            <v>0</v>
          </cell>
          <cell r="X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W447">
            <v>0</v>
          </cell>
          <cell r="X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W448">
            <v>0</v>
          </cell>
          <cell r="X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W449">
            <v>0</v>
          </cell>
          <cell r="X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W450">
            <v>0</v>
          </cell>
          <cell r="X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W451">
            <v>0</v>
          </cell>
          <cell r="X451">
            <v>0</v>
          </cell>
        </row>
        <row r="452">
          <cell r="B452" t="str">
            <v>계</v>
          </cell>
          <cell r="C452">
            <v>0</v>
          </cell>
          <cell r="D452">
            <v>0</v>
          </cell>
          <cell r="E452">
            <v>0</v>
          </cell>
          <cell r="G452">
            <v>515301</v>
          </cell>
          <cell r="I452">
            <v>244940</v>
          </cell>
          <cell r="J452">
            <v>0</v>
          </cell>
          <cell r="K452">
            <v>0</v>
          </cell>
          <cell r="M452">
            <v>760241</v>
          </cell>
          <cell r="W452">
            <v>-760241</v>
          </cell>
          <cell r="X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760241</v>
          </cell>
          <cell r="M453">
            <v>21286748</v>
          </cell>
          <cell r="W453">
            <v>-21286748</v>
          </cell>
          <cell r="X453">
            <v>0</v>
          </cell>
        </row>
        <row r="454">
          <cell r="A454" t="str">
            <v>일위32-1</v>
          </cell>
          <cell r="B454" t="str">
            <v>낙착율</v>
          </cell>
          <cell r="C454">
            <v>0.80800000000000005</v>
          </cell>
          <cell r="D454">
            <v>0</v>
          </cell>
          <cell r="E454">
            <v>28</v>
          </cell>
          <cell r="F454">
            <v>515301</v>
          </cell>
          <cell r="G454">
            <v>14428428</v>
          </cell>
          <cell r="H454">
            <v>244940</v>
          </cell>
          <cell r="I454">
            <v>6858320</v>
          </cell>
          <cell r="J454">
            <v>0</v>
          </cell>
          <cell r="K454">
            <v>0</v>
          </cell>
          <cell r="L454">
            <v>552399</v>
          </cell>
          <cell r="M454">
            <v>15467172</v>
          </cell>
          <cell r="W454">
            <v>-15467172</v>
          </cell>
          <cell r="X454">
            <v>0</v>
          </cell>
        </row>
        <row r="455">
          <cell r="A455" t="str">
            <v>일위33</v>
          </cell>
          <cell r="B455" t="str">
            <v xml:space="preserve"> 31. 완철신설 </v>
          </cell>
          <cell r="C455" t="str">
            <v>C 1</v>
          </cell>
          <cell r="D455" t="str">
            <v>개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W455">
            <v>0</v>
          </cell>
          <cell r="X455">
            <v>0</v>
          </cell>
        </row>
        <row r="456">
          <cell r="B456" t="str">
            <v>현수애자</v>
          </cell>
          <cell r="C456" t="str">
            <v>볼형 191 x 146mm</v>
          </cell>
          <cell r="D456" t="str">
            <v>개</v>
          </cell>
          <cell r="E456">
            <v>6</v>
          </cell>
          <cell r="F456">
            <v>12000</v>
          </cell>
          <cell r="G456">
            <v>72000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12000</v>
          </cell>
          <cell r="M456">
            <v>72000</v>
          </cell>
          <cell r="W456">
            <v>-72000</v>
          </cell>
          <cell r="X456">
            <v>0</v>
          </cell>
        </row>
        <row r="457">
          <cell r="B457" t="str">
            <v>완철</v>
          </cell>
          <cell r="C457" t="str">
            <v>경완금75x75x3.2tx2400mm</v>
          </cell>
          <cell r="D457" t="str">
            <v>개</v>
          </cell>
          <cell r="E457">
            <v>2</v>
          </cell>
          <cell r="F457">
            <v>24700</v>
          </cell>
          <cell r="G457">
            <v>49400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24700</v>
          </cell>
          <cell r="M457">
            <v>49400</v>
          </cell>
          <cell r="W457">
            <v>-49400</v>
          </cell>
          <cell r="X457">
            <v>0</v>
          </cell>
        </row>
        <row r="458">
          <cell r="B458" t="str">
            <v>지지와셔</v>
          </cell>
          <cell r="C458" t="str">
            <v>도그 4호</v>
          </cell>
          <cell r="D458" t="str">
            <v>개</v>
          </cell>
          <cell r="E458">
            <v>4</v>
          </cell>
          <cell r="F458">
            <v>5040</v>
          </cell>
          <cell r="G458">
            <v>20160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5040</v>
          </cell>
          <cell r="M458">
            <v>20160</v>
          </cell>
          <cell r="W458">
            <v>-20160</v>
          </cell>
          <cell r="X458">
            <v>0</v>
          </cell>
        </row>
        <row r="459">
          <cell r="B459" t="str">
            <v>앵커쇄클</v>
          </cell>
          <cell r="C459" t="str">
            <v>AS-12</v>
          </cell>
          <cell r="D459" t="str">
            <v>개</v>
          </cell>
          <cell r="E459">
            <v>3</v>
          </cell>
          <cell r="F459">
            <v>3600</v>
          </cell>
          <cell r="G459">
            <v>10800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3600</v>
          </cell>
          <cell r="M459">
            <v>10800</v>
          </cell>
          <cell r="W459">
            <v>-10800</v>
          </cell>
          <cell r="X459">
            <v>0</v>
          </cell>
        </row>
        <row r="460">
          <cell r="B460" t="str">
            <v>경완철용 볼 쇄클</v>
          </cell>
          <cell r="C460" t="str">
            <v>ESB-122-222</v>
          </cell>
          <cell r="D460" t="str">
            <v>개</v>
          </cell>
          <cell r="E460">
            <v>3</v>
          </cell>
          <cell r="F460">
            <v>2900</v>
          </cell>
          <cell r="G460">
            <v>8700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2900</v>
          </cell>
          <cell r="M460">
            <v>8700</v>
          </cell>
          <cell r="W460">
            <v>-8700</v>
          </cell>
          <cell r="X460">
            <v>0</v>
          </cell>
        </row>
        <row r="461">
          <cell r="B461" t="str">
            <v>소켓아이</v>
          </cell>
          <cell r="C461" t="str">
            <v>SE-12</v>
          </cell>
          <cell r="D461" t="str">
            <v>개</v>
          </cell>
          <cell r="E461">
            <v>3</v>
          </cell>
          <cell r="F461">
            <v>4500</v>
          </cell>
          <cell r="G461">
            <v>13500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4500</v>
          </cell>
          <cell r="M461">
            <v>13500</v>
          </cell>
          <cell r="W461">
            <v>-13500</v>
          </cell>
          <cell r="X461">
            <v>0</v>
          </cell>
        </row>
        <row r="462">
          <cell r="B462" t="str">
            <v>인류 크램프</v>
          </cell>
          <cell r="C462" t="str">
            <v>ACSR 95㎟</v>
          </cell>
          <cell r="D462" t="str">
            <v>개</v>
          </cell>
          <cell r="E462">
            <v>3</v>
          </cell>
          <cell r="F462">
            <v>29200</v>
          </cell>
          <cell r="G462">
            <v>87600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29200</v>
          </cell>
          <cell r="M462">
            <v>87600</v>
          </cell>
          <cell r="W462">
            <v>-87600</v>
          </cell>
          <cell r="X462">
            <v>0</v>
          </cell>
        </row>
        <row r="463">
          <cell r="B463" t="str">
            <v>인류 크램프</v>
          </cell>
          <cell r="C463" t="str">
            <v>ACSR 58㎟</v>
          </cell>
          <cell r="D463" t="str">
            <v>개</v>
          </cell>
          <cell r="E463">
            <v>1</v>
          </cell>
          <cell r="F463">
            <v>29200</v>
          </cell>
          <cell r="G463">
            <v>29200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29200</v>
          </cell>
          <cell r="M463">
            <v>29200</v>
          </cell>
          <cell r="W463">
            <v>-29200</v>
          </cell>
          <cell r="X463">
            <v>0</v>
          </cell>
        </row>
        <row r="464">
          <cell r="B464" t="str">
            <v>활선 크램프</v>
          </cell>
          <cell r="C464" t="str">
            <v>ACSR 95㎟</v>
          </cell>
          <cell r="D464" t="str">
            <v>개</v>
          </cell>
          <cell r="E464">
            <v>3</v>
          </cell>
          <cell r="F464">
            <v>3500</v>
          </cell>
          <cell r="G464">
            <v>10500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3500</v>
          </cell>
          <cell r="M464">
            <v>10500</v>
          </cell>
          <cell r="W464">
            <v>-10500</v>
          </cell>
          <cell r="X464">
            <v>0</v>
          </cell>
        </row>
        <row r="465">
          <cell r="B465" t="str">
            <v>볼트.너트</v>
          </cell>
          <cell r="C465" t="str">
            <v>M16 x 250mm</v>
          </cell>
          <cell r="D465" t="str">
            <v>개</v>
          </cell>
          <cell r="E465">
            <v>2</v>
          </cell>
          <cell r="F465">
            <v>1000</v>
          </cell>
          <cell r="G465">
            <v>2000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1000</v>
          </cell>
          <cell r="M465">
            <v>2000</v>
          </cell>
          <cell r="W465">
            <v>-2000</v>
          </cell>
          <cell r="X465">
            <v>0</v>
          </cell>
        </row>
        <row r="466">
          <cell r="B466" t="str">
            <v>노무비</v>
          </cell>
          <cell r="C466" t="str">
            <v>배전전공</v>
          </cell>
          <cell r="D466" t="str">
            <v>인</v>
          </cell>
          <cell r="E466">
            <v>0.65</v>
          </cell>
          <cell r="F466">
            <v>0</v>
          </cell>
          <cell r="G466">
            <v>0</v>
          </cell>
          <cell r="H466">
            <v>182333</v>
          </cell>
          <cell r="I466">
            <v>118516</v>
          </cell>
          <cell r="J466">
            <v>0</v>
          </cell>
          <cell r="K466">
            <v>0</v>
          </cell>
          <cell r="L466">
            <v>182333</v>
          </cell>
          <cell r="M466">
            <v>118516</v>
          </cell>
          <cell r="W466">
            <v>-118516</v>
          </cell>
          <cell r="X466">
            <v>0</v>
          </cell>
        </row>
        <row r="467">
          <cell r="B467" t="str">
            <v>노무비</v>
          </cell>
          <cell r="C467" t="str">
            <v>보통인부</v>
          </cell>
          <cell r="D467" t="str">
            <v>인</v>
          </cell>
          <cell r="E467">
            <v>0.56000000000000005</v>
          </cell>
          <cell r="F467">
            <v>0</v>
          </cell>
          <cell r="G467">
            <v>0</v>
          </cell>
          <cell r="H467">
            <v>34360</v>
          </cell>
          <cell r="I467">
            <v>19241</v>
          </cell>
          <cell r="J467">
            <v>0</v>
          </cell>
          <cell r="K467">
            <v>0</v>
          </cell>
          <cell r="L467">
            <v>34360</v>
          </cell>
          <cell r="M467">
            <v>19241</v>
          </cell>
          <cell r="W467">
            <v>-19241</v>
          </cell>
          <cell r="X467">
            <v>0</v>
          </cell>
        </row>
        <row r="468">
          <cell r="B468" t="str">
            <v>공구손료</v>
          </cell>
          <cell r="C468" t="str">
            <v>노무비의 3%</v>
          </cell>
          <cell r="D468" t="str">
            <v>식</v>
          </cell>
          <cell r="E468">
            <v>1</v>
          </cell>
          <cell r="F468">
            <v>4050</v>
          </cell>
          <cell r="G468">
            <v>4050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4050</v>
          </cell>
          <cell r="M468">
            <v>4050</v>
          </cell>
          <cell r="W468">
            <v>-4050</v>
          </cell>
          <cell r="X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W469">
            <v>0</v>
          </cell>
          <cell r="X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W470">
            <v>0</v>
          </cell>
          <cell r="X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W471">
            <v>0</v>
          </cell>
          <cell r="X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W472">
            <v>0</v>
          </cell>
          <cell r="X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W473">
            <v>0</v>
          </cell>
          <cell r="X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W474">
            <v>0</v>
          </cell>
          <cell r="X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W475">
            <v>0</v>
          </cell>
          <cell r="X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W476">
            <v>0</v>
          </cell>
          <cell r="X476">
            <v>0</v>
          </cell>
        </row>
        <row r="477">
          <cell r="B477" t="str">
            <v>계</v>
          </cell>
          <cell r="C477">
            <v>0</v>
          </cell>
          <cell r="D477">
            <v>0</v>
          </cell>
          <cell r="E477">
            <v>0</v>
          </cell>
          <cell r="G477">
            <v>307910</v>
          </cell>
          <cell r="I477">
            <v>137757</v>
          </cell>
          <cell r="J477">
            <v>0</v>
          </cell>
          <cell r="K477">
            <v>0</v>
          </cell>
          <cell r="M477">
            <v>445667</v>
          </cell>
          <cell r="W477">
            <v>-445667</v>
          </cell>
          <cell r="X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445667</v>
          </cell>
          <cell r="M478">
            <v>6685005</v>
          </cell>
          <cell r="W478">
            <v>-6685005</v>
          </cell>
          <cell r="X478">
            <v>0</v>
          </cell>
        </row>
        <row r="479">
          <cell r="A479" t="str">
            <v>일위33-1</v>
          </cell>
          <cell r="B479" t="str">
            <v>낙착율</v>
          </cell>
          <cell r="C479">
            <v>0.80800000000000005</v>
          </cell>
          <cell r="D479">
            <v>0</v>
          </cell>
          <cell r="E479">
            <v>15</v>
          </cell>
          <cell r="F479">
            <v>307910</v>
          </cell>
          <cell r="G479">
            <v>4618650</v>
          </cell>
          <cell r="H479">
            <v>137757</v>
          </cell>
          <cell r="I479">
            <v>2066355</v>
          </cell>
          <cell r="J479">
            <v>0</v>
          </cell>
          <cell r="K479">
            <v>0</v>
          </cell>
          <cell r="L479">
            <v>323337</v>
          </cell>
          <cell r="M479">
            <v>4850055</v>
          </cell>
          <cell r="W479">
            <v>-4850055</v>
          </cell>
          <cell r="X479">
            <v>0</v>
          </cell>
        </row>
        <row r="480">
          <cell r="A480" t="str">
            <v>일위34</v>
          </cell>
          <cell r="B480" t="str">
            <v xml:space="preserve"> 32. 기중개페기 신설</v>
          </cell>
          <cell r="C480" t="str">
            <v>AS 7.5KV 3P</v>
          </cell>
          <cell r="D480" t="str">
            <v>대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W480">
            <v>0</v>
          </cell>
          <cell r="X480">
            <v>0</v>
          </cell>
        </row>
        <row r="481">
          <cell r="B481" t="str">
            <v>기중개페기 신설</v>
          </cell>
          <cell r="C481" t="str">
            <v>AS 7.KV 3P</v>
          </cell>
          <cell r="D481" t="str">
            <v>대</v>
          </cell>
          <cell r="E481">
            <v>1</v>
          </cell>
          <cell r="F481">
            <v>0</v>
          </cell>
          <cell r="G481" t="str">
            <v>관 급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W481">
            <v>0</v>
          </cell>
          <cell r="X481">
            <v>0</v>
          </cell>
        </row>
        <row r="482">
          <cell r="B482" t="str">
            <v>활선 클램프</v>
          </cell>
          <cell r="C482" t="str">
            <v>6.5t x 5.0</v>
          </cell>
          <cell r="D482" t="str">
            <v>개</v>
          </cell>
          <cell r="E482">
            <v>3</v>
          </cell>
          <cell r="F482">
            <v>2070</v>
          </cell>
          <cell r="G482">
            <v>6210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2070</v>
          </cell>
          <cell r="M482">
            <v>6210</v>
          </cell>
          <cell r="W482">
            <v>-6210</v>
          </cell>
          <cell r="X482">
            <v>0</v>
          </cell>
        </row>
        <row r="483">
          <cell r="B483" t="str">
            <v>노무비</v>
          </cell>
          <cell r="C483" t="str">
            <v>배전전공</v>
          </cell>
          <cell r="D483" t="str">
            <v>인</v>
          </cell>
          <cell r="E483">
            <v>0.4</v>
          </cell>
          <cell r="F483">
            <v>0</v>
          </cell>
          <cell r="G483">
            <v>0</v>
          </cell>
          <cell r="H483">
            <v>182333</v>
          </cell>
          <cell r="I483">
            <v>72933</v>
          </cell>
          <cell r="J483">
            <v>0</v>
          </cell>
          <cell r="K483">
            <v>0</v>
          </cell>
          <cell r="L483">
            <v>182333</v>
          </cell>
          <cell r="M483">
            <v>72933</v>
          </cell>
          <cell r="W483">
            <v>-72933</v>
          </cell>
          <cell r="X483">
            <v>0</v>
          </cell>
        </row>
        <row r="484">
          <cell r="B484" t="str">
            <v>노무비</v>
          </cell>
          <cell r="C484" t="str">
            <v>보통인부</v>
          </cell>
          <cell r="D484" t="str">
            <v>인</v>
          </cell>
          <cell r="E484">
            <v>0.23</v>
          </cell>
          <cell r="F484">
            <v>0</v>
          </cell>
          <cell r="G484">
            <v>0</v>
          </cell>
          <cell r="H484">
            <v>34360</v>
          </cell>
          <cell r="I484">
            <v>7902</v>
          </cell>
          <cell r="J484">
            <v>0</v>
          </cell>
          <cell r="K484">
            <v>0</v>
          </cell>
          <cell r="L484">
            <v>34360</v>
          </cell>
          <cell r="M484">
            <v>7902</v>
          </cell>
          <cell r="W484">
            <v>-7902</v>
          </cell>
          <cell r="X484">
            <v>0</v>
          </cell>
        </row>
        <row r="485">
          <cell r="B485" t="str">
            <v>공구손료</v>
          </cell>
          <cell r="C485" t="str">
            <v>노무비의 3%</v>
          </cell>
          <cell r="D485" t="str">
            <v>식</v>
          </cell>
          <cell r="E485">
            <v>1</v>
          </cell>
          <cell r="F485">
            <v>2571</v>
          </cell>
          <cell r="G485">
            <v>2571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2571</v>
          </cell>
          <cell r="M485">
            <v>2571</v>
          </cell>
          <cell r="W485">
            <v>-2571</v>
          </cell>
          <cell r="X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W486">
            <v>0</v>
          </cell>
          <cell r="X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W487">
            <v>0</v>
          </cell>
          <cell r="X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W488">
            <v>0</v>
          </cell>
          <cell r="X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W489">
            <v>0</v>
          </cell>
          <cell r="X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W490">
            <v>0</v>
          </cell>
          <cell r="X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W491">
            <v>0</v>
          </cell>
          <cell r="X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W492">
            <v>0</v>
          </cell>
          <cell r="X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W493">
            <v>0</v>
          </cell>
          <cell r="X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W494">
            <v>0</v>
          </cell>
          <cell r="X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W495">
            <v>0</v>
          </cell>
          <cell r="X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W496">
            <v>0</v>
          </cell>
          <cell r="X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W497">
            <v>0</v>
          </cell>
          <cell r="X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W498">
            <v>0</v>
          </cell>
          <cell r="X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W499">
            <v>0</v>
          </cell>
          <cell r="X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W500">
            <v>0</v>
          </cell>
          <cell r="X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W501">
            <v>0</v>
          </cell>
          <cell r="X501">
            <v>0</v>
          </cell>
        </row>
        <row r="502">
          <cell r="B502" t="str">
            <v>계</v>
          </cell>
          <cell r="C502">
            <v>0</v>
          </cell>
          <cell r="D502">
            <v>0</v>
          </cell>
          <cell r="E502">
            <v>0</v>
          </cell>
          <cell r="G502">
            <v>8781</v>
          </cell>
          <cell r="I502">
            <v>80835</v>
          </cell>
          <cell r="J502">
            <v>0</v>
          </cell>
          <cell r="K502">
            <v>0</v>
          </cell>
          <cell r="M502">
            <v>89616</v>
          </cell>
          <cell r="W502">
            <v>-89616</v>
          </cell>
          <cell r="X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89616</v>
          </cell>
          <cell r="M503">
            <v>1344240</v>
          </cell>
          <cell r="W503">
            <v>-1344240</v>
          </cell>
          <cell r="X503">
            <v>0</v>
          </cell>
        </row>
        <row r="504">
          <cell r="A504" t="str">
            <v>일위34-1</v>
          </cell>
          <cell r="B504" t="str">
            <v>낙착율</v>
          </cell>
          <cell r="C504">
            <v>0.80800000000000005</v>
          </cell>
          <cell r="D504">
            <v>0</v>
          </cell>
          <cell r="E504">
            <v>15</v>
          </cell>
          <cell r="F504">
            <v>8781</v>
          </cell>
          <cell r="G504">
            <v>131715</v>
          </cell>
          <cell r="H504">
            <v>80835</v>
          </cell>
          <cell r="I504">
            <v>1212525</v>
          </cell>
          <cell r="J504">
            <v>0</v>
          </cell>
          <cell r="K504">
            <v>0</v>
          </cell>
          <cell r="L504">
            <v>71539</v>
          </cell>
          <cell r="M504">
            <v>1073085</v>
          </cell>
          <cell r="W504">
            <v>-1073085</v>
          </cell>
          <cell r="X504">
            <v>0</v>
          </cell>
        </row>
        <row r="505">
          <cell r="A505" t="str">
            <v>일위36</v>
          </cell>
          <cell r="B505" t="str">
            <v xml:space="preserve"> 33. 피뢰기 신설</v>
          </cell>
          <cell r="C505" t="str">
            <v>7.5KV</v>
          </cell>
          <cell r="D505" t="str">
            <v>대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W505">
            <v>0</v>
          </cell>
          <cell r="X505">
            <v>0</v>
          </cell>
        </row>
        <row r="506">
          <cell r="B506" t="str">
            <v xml:space="preserve">피뢰기 </v>
          </cell>
          <cell r="C506" t="str">
            <v>7.5KV</v>
          </cell>
          <cell r="D506" t="str">
            <v>대</v>
          </cell>
          <cell r="E506">
            <v>3</v>
          </cell>
          <cell r="F506">
            <v>0</v>
          </cell>
          <cell r="G506" t="str">
            <v>관 급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W506">
            <v>0</v>
          </cell>
          <cell r="X506">
            <v>0</v>
          </cell>
        </row>
        <row r="507">
          <cell r="B507" t="str">
            <v>활선 클램프</v>
          </cell>
          <cell r="C507" t="str">
            <v>ACSR 58㎟</v>
          </cell>
          <cell r="D507" t="str">
            <v>개</v>
          </cell>
          <cell r="E507">
            <v>3</v>
          </cell>
          <cell r="F507">
            <v>6120</v>
          </cell>
          <cell r="G507">
            <v>18360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6120</v>
          </cell>
          <cell r="M507">
            <v>18360</v>
          </cell>
          <cell r="W507">
            <v>-18360</v>
          </cell>
          <cell r="X507">
            <v>0</v>
          </cell>
        </row>
        <row r="508">
          <cell r="B508" t="str">
            <v>노무비</v>
          </cell>
          <cell r="C508" t="str">
            <v>배전전공</v>
          </cell>
          <cell r="D508" t="str">
            <v>인</v>
          </cell>
          <cell r="E508">
            <v>0.51</v>
          </cell>
          <cell r="F508">
            <v>0</v>
          </cell>
          <cell r="G508">
            <v>0</v>
          </cell>
          <cell r="H508">
            <v>182333</v>
          </cell>
          <cell r="I508">
            <v>92989</v>
          </cell>
          <cell r="J508">
            <v>0</v>
          </cell>
          <cell r="K508">
            <v>0</v>
          </cell>
          <cell r="L508">
            <v>182333</v>
          </cell>
          <cell r="M508">
            <v>92989</v>
          </cell>
          <cell r="W508">
            <v>-92989</v>
          </cell>
          <cell r="X508">
            <v>0</v>
          </cell>
        </row>
        <row r="509">
          <cell r="B509" t="str">
            <v>노무비</v>
          </cell>
          <cell r="C509" t="str">
            <v>보통인부</v>
          </cell>
          <cell r="D509" t="str">
            <v>인</v>
          </cell>
          <cell r="E509">
            <v>0.02</v>
          </cell>
          <cell r="F509">
            <v>0</v>
          </cell>
          <cell r="G509">
            <v>0</v>
          </cell>
          <cell r="H509">
            <v>34360</v>
          </cell>
          <cell r="I509">
            <v>687</v>
          </cell>
          <cell r="J509">
            <v>0</v>
          </cell>
          <cell r="K509">
            <v>0</v>
          </cell>
          <cell r="L509">
            <v>34360</v>
          </cell>
          <cell r="M509">
            <v>687</v>
          </cell>
          <cell r="W509">
            <v>-687</v>
          </cell>
          <cell r="X509">
            <v>0</v>
          </cell>
        </row>
        <row r="510">
          <cell r="B510" t="str">
            <v>공구손료</v>
          </cell>
          <cell r="C510" t="str">
            <v>노무비의 3%</v>
          </cell>
          <cell r="D510" t="str">
            <v>식</v>
          </cell>
          <cell r="E510">
            <v>1</v>
          </cell>
          <cell r="F510">
            <v>2969</v>
          </cell>
          <cell r="G510">
            <v>2969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2969</v>
          </cell>
          <cell r="M510">
            <v>2969</v>
          </cell>
          <cell r="W510">
            <v>-2969</v>
          </cell>
          <cell r="X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W511">
            <v>0</v>
          </cell>
          <cell r="X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W512">
            <v>0</v>
          </cell>
          <cell r="X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W513">
            <v>0</v>
          </cell>
          <cell r="X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W514">
            <v>0</v>
          </cell>
          <cell r="X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W515">
            <v>0</v>
          </cell>
          <cell r="X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W516">
            <v>0</v>
          </cell>
          <cell r="X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W517">
            <v>0</v>
          </cell>
          <cell r="X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W518">
            <v>0</v>
          </cell>
          <cell r="X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W519">
            <v>0</v>
          </cell>
          <cell r="X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W520">
            <v>0</v>
          </cell>
          <cell r="X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W521">
            <v>0</v>
          </cell>
          <cell r="X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W522">
            <v>0</v>
          </cell>
          <cell r="X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W523">
            <v>0</v>
          </cell>
          <cell r="X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W524">
            <v>0</v>
          </cell>
          <cell r="X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W525">
            <v>0</v>
          </cell>
          <cell r="X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W526">
            <v>0</v>
          </cell>
          <cell r="X526">
            <v>0</v>
          </cell>
        </row>
        <row r="527">
          <cell r="B527" t="str">
            <v>계</v>
          </cell>
          <cell r="C527">
            <v>0</v>
          </cell>
          <cell r="D527">
            <v>0</v>
          </cell>
          <cell r="E527">
            <v>0</v>
          </cell>
          <cell r="G527">
            <v>21329</v>
          </cell>
          <cell r="I527">
            <v>93676</v>
          </cell>
          <cell r="J527">
            <v>0</v>
          </cell>
          <cell r="K527">
            <v>0</v>
          </cell>
          <cell r="M527">
            <v>115005</v>
          </cell>
          <cell r="W527">
            <v>-115005</v>
          </cell>
          <cell r="X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115005</v>
          </cell>
          <cell r="M528">
            <v>1610070</v>
          </cell>
          <cell r="W528">
            <v>-1610070</v>
          </cell>
          <cell r="X528">
            <v>0</v>
          </cell>
        </row>
        <row r="529">
          <cell r="A529" t="str">
            <v>일위36-1</v>
          </cell>
          <cell r="B529" t="str">
            <v>낙착율</v>
          </cell>
          <cell r="C529">
            <v>0.80800000000000005</v>
          </cell>
          <cell r="D529">
            <v>0</v>
          </cell>
          <cell r="E529">
            <v>14</v>
          </cell>
          <cell r="F529">
            <v>21329</v>
          </cell>
          <cell r="G529">
            <v>298606</v>
          </cell>
          <cell r="H529">
            <v>93676</v>
          </cell>
          <cell r="I529">
            <v>1311464</v>
          </cell>
          <cell r="J529">
            <v>0</v>
          </cell>
          <cell r="K529">
            <v>0</v>
          </cell>
          <cell r="L529">
            <v>90570</v>
          </cell>
          <cell r="M529">
            <v>1267980</v>
          </cell>
          <cell r="W529">
            <v>-1267980</v>
          </cell>
          <cell r="X529">
            <v>0</v>
          </cell>
        </row>
        <row r="530">
          <cell r="A530" t="str">
            <v>일위37</v>
          </cell>
          <cell r="B530" t="str">
            <v xml:space="preserve"> 34. 접지장치 신설</v>
          </cell>
          <cell r="C530" t="str">
            <v>선로 제1종</v>
          </cell>
          <cell r="D530" t="str">
            <v>m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W530">
            <v>0</v>
          </cell>
          <cell r="X530">
            <v>0</v>
          </cell>
        </row>
        <row r="531">
          <cell r="B531" t="str">
            <v>접지선</v>
          </cell>
          <cell r="C531" t="str">
            <v>GV 22㎟</v>
          </cell>
          <cell r="D531" t="str">
            <v>m</v>
          </cell>
          <cell r="E531">
            <v>10</v>
          </cell>
          <cell r="F531">
            <v>1416</v>
          </cell>
          <cell r="G531">
            <v>14160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1416</v>
          </cell>
          <cell r="M531">
            <v>14160</v>
          </cell>
          <cell r="W531">
            <v>-14160</v>
          </cell>
          <cell r="X531">
            <v>0</v>
          </cell>
        </row>
        <row r="532">
          <cell r="B532" t="str">
            <v>경동연선</v>
          </cell>
          <cell r="C532" t="str">
            <v>CU  22㎟</v>
          </cell>
          <cell r="D532" t="str">
            <v>m</v>
          </cell>
          <cell r="E532">
            <v>13</v>
          </cell>
          <cell r="F532">
            <v>1192</v>
          </cell>
          <cell r="G532">
            <v>15496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1192</v>
          </cell>
          <cell r="M532">
            <v>15496</v>
          </cell>
          <cell r="W532">
            <v>-15496</v>
          </cell>
          <cell r="X532">
            <v>0</v>
          </cell>
        </row>
        <row r="533">
          <cell r="B533" t="str">
            <v>접지 콘넥타</v>
          </cell>
          <cell r="C533" t="str">
            <v xml:space="preserve">  22㎟</v>
          </cell>
          <cell r="D533" t="str">
            <v>개</v>
          </cell>
          <cell r="E533">
            <v>5</v>
          </cell>
          <cell r="F533">
            <v>3250</v>
          </cell>
          <cell r="G533">
            <v>16250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3250</v>
          </cell>
          <cell r="M533">
            <v>16250</v>
          </cell>
          <cell r="W533">
            <v>-16250</v>
          </cell>
          <cell r="X533">
            <v>0</v>
          </cell>
        </row>
        <row r="534">
          <cell r="B534" t="str">
            <v>접지봉</v>
          </cell>
          <cell r="C534" t="str">
            <v>φ16 x 1800mm</v>
          </cell>
          <cell r="D534" t="str">
            <v>본</v>
          </cell>
          <cell r="E534">
            <v>10</v>
          </cell>
          <cell r="F534">
            <v>4900</v>
          </cell>
          <cell r="G534">
            <v>49000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4900</v>
          </cell>
          <cell r="M534">
            <v>49000</v>
          </cell>
          <cell r="W534">
            <v>-49000</v>
          </cell>
          <cell r="X534">
            <v>0</v>
          </cell>
        </row>
        <row r="535">
          <cell r="B535" t="str">
            <v>경질비닐전선관</v>
          </cell>
          <cell r="C535" t="str">
            <v>HI PVC 16C</v>
          </cell>
          <cell r="D535" t="str">
            <v>m</v>
          </cell>
          <cell r="E535">
            <v>3</v>
          </cell>
          <cell r="F535">
            <v>460</v>
          </cell>
          <cell r="G535">
            <v>1380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460</v>
          </cell>
          <cell r="M535">
            <v>1380</v>
          </cell>
          <cell r="W535">
            <v>-1380</v>
          </cell>
          <cell r="X535">
            <v>0</v>
          </cell>
        </row>
        <row r="536">
          <cell r="B536" t="str">
            <v>압착 터미널</v>
          </cell>
          <cell r="C536" t="str">
            <v xml:space="preserve">  22㎟</v>
          </cell>
          <cell r="D536" t="str">
            <v>개</v>
          </cell>
          <cell r="E536">
            <v>2</v>
          </cell>
          <cell r="F536">
            <v>137</v>
          </cell>
          <cell r="G536">
            <v>274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137</v>
          </cell>
          <cell r="M536">
            <v>274</v>
          </cell>
          <cell r="W536">
            <v>-274</v>
          </cell>
          <cell r="X536">
            <v>0</v>
          </cell>
        </row>
        <row r="537">
          <cell r="B537" t="str">
            <v>필림밴드</v>
          </cell>
          <cell r="C537" t="str">
            <v>GST - 13</v>
          </cell>
          <cell r="D537" t="str">
            <v>개</v>
          </cell>
          <cell r="E537">
            <v>4</v>
          </cell>
          <cell r="F537">
            <v>13000</v>
          </cell>
          <cell r="G537">
            <v>52000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13000</v>
          </cell>
          <cell r="M537">
            <v>52000</v>
          </cell>
          <cell r="W537">
            <v>-52000</v>
          </cell>
          <cell r="X537">
            <v>0</v>
          </cell>
        </row>
        <row r="538">
          <cell r="B538" t="str">
            <v>노무비</v>
          </cell>
          <cell r="C538" t="str">
            <v>배전전공</v>
          </cell>
          <cell r="D538" t="str">
            <v>인</v>
          </cell>
          <cell r="E538">
            <v>2.15</v>
          </cell>
          <cell r="F538">
            <v>0</v>
          </cell>
          <cell r="G538">
            <v>0</v>
          </cell>
          <cell r="H538">
            <v>182333</v>
          </cell>
          <cell r="I538">
            <v>392015</v>
          </cell>
          <cell r="J538">
            <v>0</v>
          </cell>
          <cell r="K538">
            <v>0</v>
          </cell>
          <cell r="L538">
            <v>182333</v>
          </cell>
          <cell r="M538">
            <v>392015</v>
          </cell>
          <cell r="W538">
            <v>-392015</v>
          </cell>
          <cell r="X538">
            <v>0</v>
          </cell>
        </row>
        <row r="539">
          <cell r="B539" t="str">
            <v>노무비</v>
          </cell>
          <cell r="C539" t="str">
            <v>보통인부</v>
          </cell>
          <cell r="D539" t="str">
            <v>인</v>
          </cell>
          <cell r="E539">
            <v>2.93</v>
          </cell>
          <cell r="F539">
            <v>0</v>
          </cell>
          <cell r="G539">
            <v>0</v>
          </cell>
          <cell r="H539">
            <v>34360</v>
          </cell>
          <cell r="I539">
            <v>100674</v>
          </cell>
          <cell r="J539">
            <v>0</v>
          </cell>
          <cell r="K539">
            <v>0</v>
          </cell>
          <cell r="L539">
            <v>34360</v>
          </cell>
          <cell r="M539">
            <v>100674</v>
          </cell>
          <cell r="W539">
            <v>-100674</v>
          </cell>
          <cell r="X539">
            <v>0</v>
          </cell>
        </row>
        <row r="540">
          <cell r="B540" t="str">
            <v>공구손료</v>
          </cell>
          <cell r="C540" t="str">
            <v>노무비의 3 %</v>
          </cell>
          <cell r="D540" t="str">
            <v>식</v>
          </cell>
          <cell r="E540">
            <v>1</v>
          </cell>
          <cell r="F540">
            <v>12879</v>
          </cell>
          <cell r="G540">
            <v>12879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12879</v>
          </cell>
          <cell r="M540">
            <v>12879</v>
          </cell>
          <cell r="W540">
            <v>-12879</v>
          </cell>
          <cell r="X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W541">
            <v>0</v>
          </cell>
          <cell r="X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W542">
            <v>0</v>
          </cell>
          <cell r="X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W543">
            <v>0</v>
          </cell>
          <cell r="X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W544">
            <v>0</v>
          </cell>
          <cell r="X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W545">
            <v>0</v>
          </cell>
          <cell r="X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W546">
            <v>0</v>
          </cell>
          <cell r="X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W547">
            <v>0</v>
          </cell>
          <cell r="X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W548">
            <v>0</v>
          </cell>
          <cell r="X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W549">
            <v>0</v>
          </cell>
          <cell r="X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W550">
            <v>0</v>
          </cell>
          <cell r="X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W551">
            <v>0</v>
          </cell>
          <cell r="X551">
            <v>0</v>
          </cell>
        </row>
        <row r="552">
          <cell r="B552" t="str">
            <v>계</v>
          </cell>
          <cell r="C552">
            <v>0</v>
          </cell>
          <cell r="D552">
            <v>0</v>
          </cell>
          <cell r="E552">
            <v>0</v>
          </cell>
          <cell r="G552">
            <v>161439</v>
          </cell>
          <cell r="I552">
            <v>492689</v>
          </cell>
          <cell r="J552">
            <v>0</v>
          </cell>
          <cell r="K552">
            <v>0</v>
          </cell>
          <cell r="M552">
            <v>654128</v>
          </cell>
          <cell r="W552">
            <v>-654128</v>
          </cell>
          <cell r="X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654128</v>
          </cell>
          <cell r="M553">
            <v>9157792</v>
          </cell>
          <cell r="W553">
            <v>-9157792</v>
          </cell>
          <cell r="X553">
            <v>0</v>
          </cell>
        </row>
        <row r="554">
          <cell r="A554" t="str">
            <v>일위37-1</v>
          </cell>
          <cell r="B554" t="str">
            <v>낙착율</v>
          </cell>
          <cell r="C554">
            <v>0.80800000000000005</v>
          </cell>
          <cell r="D554">
            <v>0</v>
          </cell>
          <cell r="E554">
            <v>14</v>
          </cell>
          <cell r="F554">
            <v>161439</v>
          </cell>
          <cell r="G554">
            <v>2260146</v>
          </cell>
          <cell r="H554">
            <v>492689</v>
          </cell>
          <cell r="I554">
            <v>6897646</v>
          </cell>
          <cell r="J554">
            <v>0</v>
          </cell>
          <cell r="K554">
            <v>0</v>
          </cell>
          <cell r="L554">
            <v>489330</v>
          </cell>
          <cell r="M554">
            <v>6850620</v>
          </cell>
          <cell r="W554">
            <v>-6850620</v>
          </cell>
          <cell r="X554">
            <v>0</v>
          </cell>
        </row>
        <row r="555">
          <cell r="A555" t="str">
            <v>일위38</v>
          </cell>
          <cell r="B555" t="str">
            <v xml:space="preserve"> 35. 접지장치 신설</v>
          </cell>
          <cell r="C555" t="str">
            <v>선로 50Ω</v>
          </cell>
          <cell r="D555" t="str">
            <v>m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W555">
            <v>0</v>
          </cell>
          <cell r="X555">
            <v>0</v>
          </cell>
        </row>
        <row r="556">
          <cell r="B556" t="str">
            <v>접지선</v>
          </cell>
          <cell r="C556" t="str">
            <v>GV 22㎟</v>
          </cell>
          <cell r="D556" t="str">
            <v>m</v>
          </cell>
          <cell r="E556">
            <v>12</v>
          </cell>
          <cell r="F556">
            <v>1416</v>
          </cell>
          <cell r="G556">
            <v>16992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1416</v>
          </cell>
          <cell r="M556">
            <v>16992</v>
          </cell>
          <cell r="W556">
            <v>-16992</v>
          </cell>
          <cell r="X556">
            <v>0</v>
          </cell>
        </row>
        <row r="557">
          <cell r="B557" t="str">
            <v>경동연선</v>
          </cell>
          <cell r="C557" t="str">
            <v>CU  22㎟</v>
          </cell>
          <cell r="D557" t="str">
            <v>m</v>
          </cell>
          <cell r="E557">
            <v>12</v>
          </cell>
          <cell r="F557">
            <v>1192</v>
          </cell>
          <cell r="G557">
            <v>14304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1192</v>
          </cell>
          <cell r="M557">
            <v>14304</v>
          </cell>
          <cell r="W557">
            <v>-14304</v>
          </cell>
          <cell r="X557">
            <v>0</v>
          </cell>
        </row>
        <row r="558">
          <cell r="B558" t="str">
            <v>접지 콘넥타</v>
          </cell>
          <cell r="C558" t="str">
            <v xml:space="preserve">  22㎟</v>
          </cell>
          <cell r="D558" t="str">
            <v>개</v>
          </cell>
          <cell r="E558">
            <v>1</v>
          </cell>
          <cell r="F558">
            <v>3250</v>
          </cell>
          <cell r="G558">
            <v>3250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3250</v>
          </cell>
          <cell r="M558">
            <v>3250</v>
          </cell>
          <cell r="W558">
            <v>-3250</v>
          </cell>
          <cell r="X558">
            <v>0</v>
          </cell>
        </row>
        <row r="559">
          <cell r="B559" t="str">
            <v>압착터미널</v>
          </cell>
          <cell r="C559" t="str">
            <v xml:space="preserve">  22㎟</v>
          </cell>
          <cell r="D559" t="str">
            <v>개</v>
          </cell>
          <cell r="E559">
            <v>2</v>
          </cell>
          <cell r="F559">
            <v>137</v>
          </cell>
          <cell r="G559">
            <v>274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137</v>
          </cell>
          <cell r="M559">
            <v>274</v>
          </cell>
          <cell r="W559">
            <v>-274</v>
          </cell>
          <cell r="X559">
            <v>0</v>
          </cell>
        </row>
        <row r="560">
          <cell r="B560" t="str">
            <v>경질비닐 전선관</v>
          </cell>
          <cell r="C560" t="str">
            <v>HI-PVC 16C</v>
          </cell>
          <cell r="D560" t="str">
            <v>m</v>
          </cell>
          <cell r="E560">
            <v>3</v>
          </cell>
          <cell r="F560">
            <v>460</v>
          </cell>
          <cell r="G560">
            <v>1380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460</v>
          </cell>
          <cell r="M560">
            <v>1380</v>
          </cell>
          <cell r="W560">
            <v>-1380</v>
          </cell>
          <cell r="X560">
            <v>0</v>
          </cell>
        </row>
        <row r="561">
          <cell r="B561" t="str">
            <v>접지봉</v>
          </cell>
          <cell r="C561" t="str">
            <v>φ16 x 1800mm</v>
          </cell>
          <cell r="D561" t="str">
            <v>m</v>
          </cell>
          <cell r="E561">
            <v>9</v>
          </cell>
          <cell r="F561">
            <v>4900</v>
          </cell>
          <cell r="G561">
            <v>44100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4900</v>
          </cell>
          <cell r="M561">
            <v>44100</v>
          </cell>
          <cell r="W561">
            <v>-44100</v>
          </cell>
          <cell r="X561">
            <v>0</v>
          </cell>
        </row>
        <row r="562">
          <cell r="B562" t="str">
            <v>노무비</v>
          </cell>
          <cell r="C562" t="str">
            <v>배전전공</v>
          </cell>
          <cell r="D562" t="str">
            <v>인</v>
          </cell>
          <cell r="E562">
            <v>1.54</v>
          </cell>
          <cell r="F562">
            <v>0</v>
          </cell>
          <cell r="G562">
            <v>0</v>
          </cell>
          <cell r="H562">
            <v>182333</v>
          </cell>
          <cell r="I562">
            <v>280792</v>
          </cell>
          <cell r="J562">
            <v>0</v>
          </cell>
          <cell r="K562">
            <v>0</v>
          </cell>
          <cell r="L562">
            <v>182333</v>
          </cell>
          <cell r="M562">
            <v>280792</v>
          </cell>
          <cell r="W562">
            <v>-280792</v>
          </cell>
          <cell r="X562">
            <v>0</v>
          </cell>
        </row>
        <row r="563">
          <cell r="B563" t="str">
            <v>노무비</v>
          </cell>
          <cell r="C563" t="str">
            <v>보통인부</v>
          </cell>
          <cell r="D563" t="str">
            <v>인</v>
          </cell>
          <cell r="E563">
            <v>2.4900000000000002</v>
          </cell>
          <cell r="F563">
            <v>0</v>
          </cell>
          <cell r="G563">
            <v>0</v>
          </cell>
          <cell r="H563">
            <v>34360</v>
          </cell>
          <cell r="I563">
            <v>85556</v>
          </cell>
          <cell r="J563">
            <v>0</v>
          </cell>
          <cell r="K563">
            <v>0</v>
          </cell>
          <cell r="L563">
            <v>34360</v>
          </cell>
          <cell r="M563">
            <v>85556</v>
          </cell>
          <cell r="W563">
            <v>-85556</v>
          </cell>
          <cell r="X563">
            <v>0</v>
          </cell>
        </row>
        <row r="564">
          <cell r="B564" t="str">
            <v>공구손료</v>
          </cell>
          <cell r="C564" t="str">
            <v>노무비의 3 %</v>
          </cell>
          <cell r="D564" t="str">
            <v>식</v>
          </cell>
          <cell r="E564">
            <v>1</v>
          </cell>
          <cell r="F564">
            <v>11717</v>
          </cell>
          <cell r="G564">
            <v>11717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11717</v>
          </cell>
          <cell r="M564">
            <v>11717</v>
          </cell>
          <cell r="W564">
            <v>-11717</v>
          </cell>
          <cell r="X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W565">
            <v>0</v>
          </cell>
          <cell r="X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W566">
            <v>0</v>
          </cell>
          <cell r="X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W567">
            <v>0</v>
          </cell>
          <cell r="X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W568">
            <v>0</v>
          </cell>
          <cell r="X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W569">
            <v>0</v>
          </cell>
          <cell r="X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W570">
            <v>0</v>
          </cell>
          <cell r="X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W571">
            <v>0</v>
          </cell>
          <cell r="X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W572">
            <v>0</v>
          </cell>
          <cell r="X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W573">
            <v>0</v>
          </cell>
          <cell r="X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W574">
            <v>0</v>
          </cell>
          <cell r="X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W575">
            <v>0</v>
          </cell>
          <cell r="X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W576">
            <v>0</v>
          </cell>
          <cell r="X576">
            <v>0</v>
          </cell>
        </row>
        <row r="577">
          <cell r="B577" t="str">
            <v>계</v>
          </cell>
          <cell r="C577">
            <v>0</v>
          </cell>
          <cell r="D577">
            <v>0</v>
          </cell>
          <cell r="E577">
            <v>0</v>
          </cell>
          <cell r="G577">
            <v>92017</v>
          </cell>
          <cell r="I577">
            <v>366348</v>
          </cell>
          <cell r="J577">
            <v>0</v>
          </cell>
          <cell r="K577">
            <v>0</v>
          </cell>
          <cell r="M577">
            <v>458365</v>
          </cell>
          <cell r="W577">
            <v>-458365</v>
          </cell>
          <cell r="X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458365</v>
          </cell>
          <cell r="M578">
            <v>33460645</v>
          </cell>
          <cell r="W578">
            <v>-33460645</v>
          </cell>
          <cell r="X578">
            <v>0</v>
          </cell>
        </row>
        <row r="579">
          <cell r="A579" t="str">
            <v>일위38-1</v>
          </cell>
          <cell r="B579" t="str">
            <v>낙착율</v>
          </cell>
          <cell r="C579">
            <v>0.80800000000000005</v>
          </cell>
          <cell r="D579">
            <v>0</v>
          </cell>
          <cell r="E579">
            <v>73</v>
          </cell>
          <cell r="F579">
            <v>92017</v>
          </cell>
          <cell r="G579">
            <v>6717241</v>
          </cell>
          <cell r="H579">
            <v>366348</v>
          </cell>
          <cell r="I579">
            <v>26743404</v>
          </cell>
          <cell r="J579">
            <v>0</v>
          </cell>
          <cell r="K579">
            <v>0</v>
          </cell>
          <cell r="L579">
            <v>342452</v>
          </cell>
          <cell r="M579">
            <v>24998996</v>
          </cell>
          <cell r="W579">
            <v>-24998996</v>
          </cell>
          <cell r="X579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목(가-마)"/>
      <sheetName val="수목(바-주목)"/>
      <sheetName val="수목(중국단풍-)"/>
      <sheetName val="식재인부"/>
      <sheetName val="지주목수"/>
      <sheetName val="데이타"/>
      <sheetName val="갑지"/>
      <sheetName val="목차"/>
      <sheetName val="1표지-공사시방서"/>
      <sheetName val="2표지-설계내역서"/>
      <sheetName val="원가계산서"/>
      <sheetName val="관급내역서"/>
      <sheetName val="내역서"/>
      <sheetName val="일위대가표"/>
      <sheetName val="aiming(일위대가표)"/>
      <sheetName val="산출서"/>
      <sheetName val="F단가비교표"/>
      <sheetName val="3표지-설계도면"/>
      <sheetName val="노임"/>
      <sheetName val="炷舅?XLS]데이타'!$E$124"/>
      <sheetName val="ls]노임"/>
      <sheetName val="____"/>
      <sheetName val="___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炷舅?XLS"/>
      <sheetName val="ls"/>
      <sheetName val="토공사"/>
      <sheetName val="소일위대가코드표"/>
      <sheetName val="품셈집계표"/>
      <sheetName val="자재조사표(참고용)"/>
      <sheetName val="일반부표집계표"/>
      <sheetName val="간접"/>
      <sheetName val="원가계산"/>
      <sheetName val="수목데이타"/>
      <sheetName val="수목일위"/>
      <sheetName val=""/>
      <sheetName val="수목표준대가"/>
      <sheetName val="단가대비표"/>
      <sheetName val="설명"/>
      <sheetName val="노임단가"/>
      <sheetName val="단가조사"/>
      <sheetName val="기타 정보통신공사"/>
      <sheetName val="6호기"/>
      <sheetName val="품셈TABLE"/>
      <sheetName val="AS포장복구 "/>
      <sheetName val="표지 (2)"/>
      <sheetName val="2000.11월설계내역"/>
      <sheetName val="Sheet1"/>
      <sheetName val="Customer Databas"/>
      <sheetName val="건축2"/>
      <sheetName val="공종단가"/>
      <sheetName val="참고"/>
      <sheetName val="공사개요"/>
      <sheetName val="갑  지"/>
      <sheetName val="䈘목(중국단풍-)"/>
      <sheetName val="장비별표(오거보링)(Ø400)(12M)"/>
      <sheetName val="1"/>
      <sheetName val="2"/>
      <sheetName val="3"/>
      <sheetName val="4"/>
      <sheetName val="5"/>
      <sheetName val="접속도로1"/>
      <sheetName val="평가데이터"/>
      <sheetName val="unit 4"/>
      <sheetName val="시설물일위"/>
      <sheetName val="가설공사"/>
      <sheetName val="단가결정"/>
      <sheetName val="내역아"/>
      <sheetName val="울타리"/>
      <sheetName val="화재 탐지 설비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Total"/>
      <sheetName val="수량산출서"/>
      <sheetName val="기초일위"/>
      <sheetName val="시설일위"/>
      <sheetName val="조명일위"/>
      <sheetName val="간선계산"/>
      <sheetName val="문학간접"/>
      <sheetName val="1차증가원가계산"/>
      <sheetName val="직재"/>
      <sheetName val="재집"/>
      <sheetName val="전체"/>
      <sheetName val="전익자재"/>
      <sheetName val="원내역"/>
      <sheetName val="일위대가(가설)"/>
      <sheetName val="골조시행"/>
      <sheetName val="가설공사비"/>
      <sheetName val="도로구조공사비"/>
      <sheetName val="도로토공공사비"/>
      <sheetName val="여수토공사비"/>
      <sheetName val="Sheet1 (2)"/>
      <sheetName val="자재단가조사표-수목"/>
      <sheetName val="금액"/>
      <sheetName val="49"/>
      <sheetName val="노임이"/>
      <sheetName val="총괄내역"/>
      <sheetName val="금액내역서"/>
      <sheetName val="이름표지정"/>
      <sheetName val="기본단가표"/>
      <sheetName val="준검 내역서"/>
      <sheetName val="data"/>
      <sheetName val="직접경비"/>
      <sheetName val="직접인건비"/>
      <sheetName val="건축-물가변동"/>
      <sheetName val="현장관리비"/>
      <sheetName val="데리네이타현황"/>
      <sheetName val="단가 및 재료비"/>
      <sheetName val="단가산출2"/>
      <sheetName val="교사기준면적(초등)"/>
      <sheetName val="내역"/>
      <sheetName val="금융비용"/>
      <sheetName val="EACT10"/>
      <sheetName val="Sheet2"/>
      <sheetName val="철근총괄집계표"/>
      <sheetName val="#REF"/>
      <sheetName val="집수정(600-700)"/>
      <sheetName val="토사(PE)"/>
      <sheetName val="DATE"/>
      <sheetName val="Sheet3"/>
      <sheetName val="터파기및재료"/>
      <sheetName val="빗물받이(910-510-410)"/>
      <sheetName val="우수"/>
      <sheetName val="일위대가"/>
      <sheetName val="2000년1차"/>
      <sheetName val="2000전체분"/>
      <sheetName val="전주2本1"/>
      <sheetName val="조명시설"/>
      <sheetName val="1.설계조건"/>
      <sheetName val="9811"/>
      <sheetName val="A"/>
      <sheetName val="공종목록표"/>
      <sheetName val="개인"/>
      <sheetName val="산출내역서집계표"/>
      <sheetName val="DC-O-4-S(설명서)"/>
      <sheetName val="노무,재료"/>
      <sheetName val="별표집계"/>
      <sheetName val="남양내역"/>
      <sheetName val="Sheet4"/>
      <sheetName val="공종별원가계산"/>
      <sheetName val="가감수량"/>
      <sheetName val="맨홀수량산출"/>
      <sheetName val="총괄내역서"/>
      <sheetName val="가격"/>
      <sheetName val="일위"/>
      <sheetName val="파일의이용"/>
      <sheetName val="충주"/>
      <sheetName val="시멘트"/>
      <sheetName val="DANGA"/>
      <sheetName val="기초자료입력"/>
      <sheetName val="단가"/>
      <sheetName val="단가산출1"/>
      <sheetName val="횡배수관토공수량"/>
      <sheetName val="10공구일위"/>
      <sheetName val="자재단가"/>
      <sheetName val="9509"/>
      <sheetName val="견적시담(송포2공구)"/>
      <sheetName val="기계경비적용기준"/>
      <sheetName val="단가산출"/>
      <sheetName val="참조"/>
      <sheetName val="전기"/>
      <sheetName val="설계명세서"/>
      <sheetName val="예산명세서"/>
      <sheetName val="자료입력"/>
      <sheetName val="간접비"/>
      <sheetName val="평가내역"/>
      <sheetName val="토공산출(주차장)"/>
      <sheetName val="현장관리"/>
      <sheetName val="공통가설"/>
      <sheetName val="매입"/>
      <sheetName val="토공산출 (아파트)"/>
      <sheetName val="2공구산출내역"/>
      <sheetName val="철콘"/>
      <sheetName val="수목단가"/>
      <sheetName val="시설수량표"/>
      <sheetName val="식재수량표"/>
      <sheetName val="연습"/>
      <sheetName val="입찰"/>
      <sheetName val="현경"/>
      <sheetName val="비목군분류일위"/>
      <sheetName val="년도별시공"/>
      <sheetName val="내역(APT)"/>
      <sheetName val="Mc1"/>
      <sheetName val="품셈"/>
      <sheetName val="골조대비내역"/>
      <sheetName val="전기혼잡제경비(45)"/>
      <sheetName val="현장"/>
      <sheetName val="식재일위"/>
      <sheetName val="세부내역"/>
      <sheetName val="토목주소"/>
      <sheetName val="공사비예산서(토목분)"/>
      <sheetName val="일위대가-1"/>
      <sheetName val="개소별수량산출"/>
      <sheetName val="GAS"/>
      <sheetName val="123"/>
      <sheetName val="공구원가계산"/>
      <sheetName val="배수내역"/>
      <sheetName val="참조M"/>
      <sheetName val="DT"/>
      <sheetName val="롤러"/>
      <sheetName val="펌프차타설"/>
      <sheetName val="공작물조직표(용배수)"/>
      <sheetName val="물가자료"/>
      <sheetName val="BID"/>
      <sheetName val="5 일위목록"/>
      <sheetName val="7 단가조사"/>
      <sheetName val="6 일위대가"/>
      <sheetName val="정렬"/>
      <sheetName val="INPUT"/>
      <sheetName val="부하계산서"/>
      <sheetName val="총괄표"/>
      <sheetName val="ABUT수량-A1"/>
      <sheetName val="계수시트"/>
      <sheetName val="Ⅶ-2.현장경비산출"/>
      <sheetName val="중기일위대가"/>
      <sheetName val="노임(1차)"/>
      <sheetName val="노무비단가"/>
      <sheetName val="중기사용료산출근거"/>
      <sheetName val="제수"/>
      <sheetName val="공기"/>
      <sheetName val="시설물기초"/>
      <sheetName val="대가표(품셈)"/>
      <sheetName val="공내역"/>
      <sheetName val="일위목록"/>
      <sheetName val="E.P.T수량산출서"/>
      <sheetName val="기계설비-물가변동"/>
      <sheetName val="자재 집계표"/>
      <sheetName val="말고개터널조명전압강하"/>
      <sheetName val="천방교접속"/>
      <sheetName val="교육종류"/>
      <sheetName val="수량산출"/>
      <sheetName val="간지"/>
      <sheetName val="배수공"/>
      <sheetName val="예가표"/>
      <sheetName val="산출근거"/>
      <sheetName val="주요항목별"/>
      <sheetName val="입력자료"/>
      <sheetName val="카렌스센터계량기설치공사"/>
      <sheetName val="준공정산"/>
      <sheetName val="실행간접비용"/>
      <sheetName val="DB@Acess"/>
      <sheetName val="Civil"/>
      <sheetName val="견적"/>
      <sheetName val="合成単価作成表-BLDG"/>
      <sheetName val="삭제금지단가"/>
      <sheetName val="설계서"/>
      <sheetName val="공사기본내용입력"/>
      <sheetName val="공통"/>
      <sheetName val="수안보-MBR1"/>
      <sheetName val="동해title"/>
      <sheetName val="조건"/>
      <sheetName val="전선 및 전선관"/>
      <sheetName val="금융"/>
      <sheetName val="1차 내역서"/>
      <sheetName val="일위대가목차"/>
      <sheetName val="부대공Ⅱ"/>
      <sheetName val="경산"/>
      <sheetName val="2.대외공문"/>
      <sheetName val="공사요율산출표"/>
      <sheetName val="에너지동"/>
      <sheetName val="공사별 가중치 산출근거(토목)"/>
      <sheetName val="가중치근거(조경)"/>
      <sheetName val="설계내역일위"/>
      <sheetName val="식재"/>
      <sheetName val="시설물"/>
      <sheetName val="식재출력용"/>
      <sheetName val="유지관리"/>
      <sheetName val="가도공"/>
      <sheetName val="상 부"/>
      <sheetName val="현관"/>
      <sheetName val="인원"/>
      <sheetName val="귀래 설계 공내역서"/>
      <sheetName val="지수"/>
      <sheetName val="대치판정"/>
      <sheetName val="토공수량"/>
      <sheetName val="일위집계표"/>
      <sheetName val="관공일위대가"/>
      <sheetName val="단가 산출서(산근#1~#102)"/>
      <sheetName val="EQUIP-H"/>
      <sheetName val="설계내역서"/>
      <sheetName val="운동장 (2)"/>
      <sheetName val="EQT-ESTN"/>
      <sheetName val="1안"/>
      <sheetName val="부하계산"/>
      <sheetName val="기초자료"/>
      <sheetName val="JUCKEYK"/>
      <sheetName val="단위단가"/>
      <sheetName val="단가표 (2)"/>
      <sheetName val="입찰안"/>
      <sheetName val="11월"/>
      <sheetName val="총괄"/>
      <sheetName val="약품설비"/>
      <sheetName val="기기리스트"/>
      <sheetName val="기성청구"/>
      <sheetName val="기타_정보통신공사"/>
      <sheetName val="2000_11월설계내역"/>
      <sheetName val="AS포장복구_"/>
      <sheetName val="표지_(2)"/>
      <sheetName val="Customer_Databas"/>
      <sheetName val="화재_탐지_설비"/>
      <sheetName val="갑__지"/>
      <sheetName val="unit_4"/>
      <sheetName val="단가_및_재료비"/>
      <sheetName val="Sheet1_(2)"/>
      <sheetName val="준검_내역서"/>
      <sheetName val="1차_내역서"/>
      <sheetName val="1_설계조건"/>
      <sheetName val="토공산출_(아파트)"/>
      <sheetName val="퇴직금(울산천상)"/>
      <sheetName val="밸브설치"/>
      <sheetName val="일반부표"/>
      <sheetName val="MOTOR"/>
      <sheetName val="지주목시비량산출서"/>
      <sheetName val="가로등"/>
      <sheetName val="견적율"/>
      <sheetName val="자료"/>
      <sheetName val="간선"/>
      <sheetName val="전압"/>
      <sheetName val="조도"/>
      <sheetName val="동력"/>
      <sheetName val="소야공정계획표"/>
      <sheetName val="설계예산서"/>
      <sheetName val="JUCK"/>
      <sheetName val="bearing"/>
      <sheetName val="날개벽(좌,우=60도-4개)"/>
      <sheetName val="정화조방수미장"/>
      <sheetName val="조명율표"/>
      <sheetName val="코드"/>
      <sheetName val="D&amp;P특기사항"/>
      <sheetName val="내역서01"/>
      <sheetName val="설계내"/>
      <sheetName val="SG"/>
      <sheetName val="예산갑지"/>
      <sheetName val="토공집계"/>
      <sheetName val="4-10"/>
      <sheetName val="Ⅶ-2_현장경비산출"/>
      <sheetName val="단가표_(2)"/>
      <sheetName val="5_일위목록"/>
      <sheetName val="7_단가조사"/>
      <sheetName val="6_일위대가"/>
      <sheetName val="E_P_T수량산출서"/>
      <sheetName val="사급자재"/>
      <sheetName val="총괄표1"/>
      <sheetName val="설계내역"/>
      <sheetName val="공정코드"/>
      <sheetName val="참조(2)"/>
      <sheetName val="BH"/>
      <sheetName val="부대공1(65-77,93-95)"/>
      <sheetName val="부대공2(78-"/>
      <sheetName val="구조물공1(51~56)"/>
      <sheetName val="배수및구조물공1"/>
      <sheetName val="구조물토공"/>
      <sheetName val="토공2(11~19)"/>
      <sheetName val="배수및구조물공2"/>
      <sheetName val="토공1(1~10,92)"/>
      <sheetName val="토공3(20~31)"/>
      <sheetName val="약품공급2"/>
      <sheetName val="설계"/>
      <sheetName val="공사비집계표"/>
      <sheetName val="현장조사"/>
      <sheetName val="요약&amp;결과"/>
      <sheetName val="공통비총괄표"/>
      <sheetName val="내역서2안"/>
      <sheetName val="퍼스트"/>
      <sheetName val="X17-TOTAL"/>
      <sheetName val="연돌일위집계"/>
      <sheetName val="주관사업"/>
      <sheetName val="HVAC"/>
      <sheetName val="cable-data"/>
      <sheetName val="위치조서"/>
      <sheetName val="1호인버트수량"/>
      <sheetName val="석축설면"/>
      <sheetName val="법면단"/>
      <sheetName val="설계조건"/>
      <sheetName val="안정계산"/>
      <sheetName val="단면검토"/>
      <sheetName val="가스(내역)"/>
      <sheetName val="3.바닥판  "/>
      <sheetName val="WORK"/>
      <sheetName val="자단"/>
      <sheetName val="인공산출"/>
      <sheetName val="사전공사"/>
      <sheetName val="시추주상도"/>
      <sheetName val="공종집계"/>
      <sheetName val="적용기준"/>
      <sheetName val="평교-내역"/>
      <sheetName val="지급자재"/>
      <sheetName val="을"/>
      <sheetName val="계산내역(설비)"/>
      <sheetName val="공사발의서"/>
      <sheetName val="S0"/>
      <sheetName val="03하반기내역서"/>
      <sheetName val="04상반기"/>
      <sheetName val="시공"/>
      <sheetName val="담장산출"/>
      <sheetName val="투찰금액"/>
      <sheetName val="기계실 D200"/>
      <sheetName val="근거(기밀댐퍼)"/>
      <sheetName val="설계예시"/>
      <sheetName val="자"/>
      <sheetName val="노"/>
      <sheetName val="단가비교"/>
      <sheetName val="전기공사"/>
      <sheetName val="Sheet6"/>
      <sheetName val="전계가"/>
      <sheetName val="인건비"/>
      <sheetName val="배수판"/>
      <sheetName val="잡비"/>
      <sheetName val=" 견적서"/>
      <sheetName val="SCHE"/>
      <sheetName val="귀래_설계_공내역서"/>
      <sheetName val="자재_집계표"/>
      <sheetName val="전선_및_전선관"/>
      <sheetName val="炷舅_XLS_데이타'!$E$124"/>
      <sheetName val="ls_노임"/>
      <sheetName val="炷舅_XLS"/>
      <sheetName val="부안일위"/>
      <sheetName val="과세내역(세부)"/>
      <sheetName val="평형별수량표"/>
      <sheetName val="가설개략"/>
      <sheetName val="을지"/>
      <sheetName val="평당"/>
      <sheetName val="매입세"/>
      <sheetName val="창호"/>
      <sheetName val="PW3"/>
      <sheetName val="PW4"/>
      <sheetName val="SC1"/>
      <sheetName val="PE"/>
      <sheetName val="PM"/>
      <sheetName val="TR"/>
      <sheetName val="List"/>
      <sheetName val="10"/>
      <sheetName val="11"/>
      <sheetName val="6"/>
      <sheetName val="7"/>
      <sheetName val="8"/>
      <sheetName val="9"/>
      <sheetName val="개요"/>
      <sheetName val="수량"/>
      <sheetName val="발생토"/>
      <sheetName val="품셈표"/>
      <sheetName val="정부노임단가"/>
      <sheetName val="GAS저장소"/>
      <sheetName val="라인마킹"/>
      <sheetName val="위험물저장소"/>
      <sheetName val="일반창고동"/>
      <sheetName val="제잡비"/>
      <sheetName val="토집"/>
      <sheetName val="진주방향"/>
      <sheetName val="참고자료"/>
      <sheetName val="하수급견적대비"/>
      <sheetName val="기초1"/>
      <sheetName val="동력부하계산"/>
      <sheetName val="실행철강하도"/>
      <sheetName val="인부신상자료"/>
      <sheetName val="당초내역서"/>
      <sheetName val="3.공통공사대비"/>
      <sheetName val="전차선로 물량표"/>
      <sheetName val="한강운반비"/>
      <sheetName val="자재"/>
      <sheetName val="공통(20-91)"/>
      <sheetName val="가스내역"/>
      <sheetName val="환경기계공정표 (3)"/>
      <sheetName val="ENTRY"/>
      <sheetName val="22인공"/>
      <sheetName val="01"/>
      <sheetName val="건축내역서"/>
      <sheetName val="설비내역서"/>
      <sheetName val="전기내역서"/>
      <sheetName val="가격비"/>
      <sheetName val="토공실행"/>
      <sheetName val="구조물철거타공정이월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날개벽수량표"/>
      <sheetName val="수목데이타 "/>
      <sheetName val="9GNG운반"/>
      <sheetName val="재료단가"/>
      <sheetName val="전기일위대가"/>
      <sheetName val="FB25JN"/>
      <sheetName val="이름정의"/>
      <sheetName val="초기화면"/>
      <sheetName val="기타_정보통신공사1"/>
      <sheetName val="Customer_Databas1"/>
      <sheetName val="AS포장복구_1"/>
      <sheetName val="2000_11월설계내역1"/>
      <sheetName val="표지_(2)1"/>
      <sheetName val="갑__지1"/>
      <sheetName val="unit_41"/>
      <sheetName val="화재_탐지_설비1"/>
      <sheetName val="준검_내역서1"/>
      <sheetName val="Sheet1_(2)1"/>
      <sheetName val="단가_및_재료비1"/>
      <sheetName val="1_설계조건1"/>
      <sheetName val="Ⅶ-2_현장경비산출1"/>
      <sheetName val="토공산출_(아파트)1"/>
      <sheetName val="5_일위목록1"/>
      <sheetName val="7_단가조사1"/>
      <sheetName val="6_일위대가1"/>
      <sheetName val="E_P_T수량산출서1"/>
      <sheetName val="노무비"/>
      <sheetName val="PAINT"/>
      <sheetName val="TEL"/>
      <sheetName val="실행"/>
      <sheetName val="신표지1"/>
      <sheetName val="EJ"/>
      <sheetName val="기성내역"/>
      <sheetName val="날개벽"/>
      <sheetName val="안정검토(온1)"/>
      <sheetName val="일위대가목록"/>
      <sheetName val="각종단가"/>
      <sheetName val="N賃率-職"/>
      <sheetName val="가설"/>
      <sheetName val="구조포설"/>
      <sheetName val="복구"/>
      <sheetName val="부대"/>
      <sheetName val="부호표"/>
      <sheetName val="토공"/>
      <sheetName val="sub"/>
      <sheetName val="절감계산"/>
      <sheetName val="와동25-3(변경)"/>
      <sheetName val="TB-내역서"/>
      <sheetName val="성곽내역서"/>
      <sheetName val="교대시점"/>
      <sheetName val="Sheet13"/>
      <sheetName val="발전기"/>
      <sheetName val="Sheet14"/>
      <sheetName val="영업.일1"/>
      <sheetName val="전등설비"/>
      <sheetName val="건축(을)"/>
      <sheetName val="청천내"/>
      <sheetName val="토공집계표"/>
      <sheetName val="단목"/>
      <sheetName val="토목수량"/>
      <sheetName val="2호맨홀공제수량"/>
      <sheetName val="직접공사비집계표_7"/>
      <sheetName val="공통가설_8"/>
      <sheetName val="기타시설"/>
      <sheetName val="아파트_9"/>
      <sheetName val="주민복지관"/>
      <sheetName val="지하주차장"/>
      <sheetName val="인사자료총집계"/>
      <sheetName val="수로단위수량"/>
      <sheetName val="수량집계표"/>
      <sheetName val="공종별수량집계"/>
      <sheetName val="토목"/>
      <sheetName val="변경일위"/>
      <sheetName val="Book1"/>
      <sheetName val="기성내역서표지"/>
      <sheetName val="용산1(해보)"/>
      <sheetName val="기초공"/>
      <sheetName val="기둥(원형)"/>
      <sheetName val="부대내역"/>
      <sheetName val="제잡비집계"/>
      <sheetName val="가설건물"/>
      <sheetName val="70%"/>
      <sheetName val="ITEM"/>
      <sheetName val="터널조도"/>
      <sheetName val="6PILE  (돌출)"/>
      <sheetName val="소요자재"/>
      <sheetName val="노무산출서"/>
      <sheetName val="횡배수관수량집계"/>
      <sheetName val="횡배수관기초"/>
      <sheetName val="원가"/>
      <sheetName val="邅☳"/>
      <sheetName val="1.가설"/>
      <sheetName val="4.목공사"/>
      <sheetName val="덕소내역"/>
      <sheetName val="98지급계획"/>
      <sheetName val="실행(표지,갑,을)"/>
      <sheetName val="-배수구조물⳵토공"/>
      <sheetName val="경상비"/>
      <sheetName val="경비"/>
      <sheetName val="자판실행"/>
      <sheetName val="말뚝지지력산정"/>
      <sheetName val="3차준공"/>
      <sheetName val="MAIN"/>
      <sheetName val="대공종"/>
      <sheetName val="수량집계"/>
      <sheetName val="A-4"/>
      <sheetName val="설계기준"/>
      <sheetName val="2.2.10.샤시등"/>
      <sheetName val="내역1"/>
      <sheetName val="공사비산출내역"/>
      <sheetName val="I一般比"/>
      <sheetName val="Y-WORK"/>
      <sheetName val="설계가"/>
      <sheetName val="7단가"/>
      <sheetName val="투자효율분석"/>
      <sheetName val="오억미만"/>
      <sheetName val="일위대가(건축)"/>
      <sheetName val="내2"/>
      <sheetName val="암거단위-1련"/>
      <sheetName val="프랜트면허"/>
      <sheetName val="철거산출근거"/>
      <sheetName val="5.전사투자계획종함안"/>
      <sheetName val="1공구내역서(1)"/>
      <sheetName val="b_balju_cho"/>
      <sheetName val="우수공"/>
      <sheetName val="자재표"/>
      <sheetName val="단면가정"/>
      <sheetName val="기구조직"/>
      <sheetName val="목차 "/>
      <sheetName val="계획서"/>
      <sheetName val="연장"/>
      <sheetName val="위치도(점용허가용)"/>
      <sheetName val="신청서"/>
      <sheetName val="기계경비일람"/>
      <sheetName val="원형1호맨홀토공수량"/>
      <sheetName val="2.가로등(영구)"/>
      <sheetName val="FA설치명세"/>
      <sheetName val="영창26"/>
      <sheetName val="관리,공감"/>
      <sheetName val="예정(3)"/>
      <sheetName val="COVER"/>
      <sheetName val="Front"/>
      <sheetName val="wall"/>
      <sheetName val="설명서"/>
      <sheetName val="예정공정표"/>
      <sheetName val="표지1"/>
      <sheetName val="부하(성남)"/>
      <sheetName val="DATA1"/>
      <sheetName val="타견적(을)"/>
      <sheetName val="부시수량"/>
      <sheetName val="CODE"/>
      <sheetName val="설계서(본관)"/>
      <sheetName val="간선토공재집"/>
      <sheetName val="지선토공재집"/>
      <sheetName val="견적서"/>
      <sheetName val="공사원가"/>
      <sheetName val="제2~4호표"/>
      <sheetName val="2-나.물가조사서"/>
      <sheetName val="잡철물"/>
      <sheetName val="현장관리비 "/>
      <sheetName val="table"/>
      <sheetName val="대비표(토공1안)"/>
      <sheetName val="직원투입계획"/>
      <sheetName val="G.R300경비"/>
      <sheetName val="36+45-113-18+19+20I"/>
      <sheetName val="부속동"/>
      <sheetName val="우배수"/>
      <sheetName val="원형맨홀수량"/>
      <sheetName val="JOIN(2span)"/>
      <sheetName val="바닥판"/>
      <sheetName val="주빔의 설계"/>
      <sheetName val="철근량산정및사용성검토"/>
      <sheetName val="입력DATA"/>
      <sheetName val="계약내역서(을지)"/>
      <sheetName val="가격조사서"/>
      <sheetName val="결재갑지"/>
      <sheetName val="Cost bd-&quot;A&quot;"/>
      <sheetName val="3.하중산정4.지지력"/>
    </sheetNames>
    <sheetDataSet>
      <sheetData sheetId="0"/>
      <sheetData sheetId="1"/>
      <sheetData sheetId="2"/>
      <sheetData sheetId="3" refreshError="1">
        <row r="5">
          <cell r="B5">
            <v>0.09</v>
          </cell>
        </row>
        <row r="18">
          <cell r="B18">
            <v>0.14000000000000001</v>
          </cell>
          <cell r="C18">
            <v>0.09</v>
          </cell>
        </row>
        <row r="19">
          <cell r="B19">
            <v>0.23</v>
          </cell>
          <cell r="C19">
            <v>0.14000000000000001</v>
          </cell>
        </row>
        <row r="20">
          <cell r="B20">
            <v>0.32</v>
          </cell>
          <cell r="C20">
            <v>0.19</v>
          </cell>
        </row>
        <row r="22">
          <cell r="B22">
            <v>0.5</v>
          </cell>
          <cell r="C22">
            <v>0.28999999999999998</v>
          </cell>
        </row>
        <row r="24">
          <cell r="B24">
            <v>0.68</v>
          </cell>
          <cell r="C24">
            <v>0.39</v>
          </cell>
        </row>
        <row r="48">
          <cell r="B48">
            <v>0.11</v>
          </cell>
          <cell r="C48">
            <v>7.0000000000000007E-2</v>
          </cell>
        </row>
        <row r="49">
          <cell r="B49">
            <v>0.17</v>
          </cell>
          <cell r="C49">
            <v>0.1</v>
          </cell>
        </row>
        <row r="50">
          <cell r="B50">
            <v>0.23</v>
          </cell>
          <cell r="C50">
            <v>0.14000000000000001</v>
          </cell>
        </row>
        <row r="51">
          <cell r="B51">
            <v>0.3</v>
          </cell>
          <cell r="C51">
            <v>0.18</v>
          </cell>
        </row>
        <row r="52">
          <cell r="B52">
            <v>0.37</v>
          </cell>
          <cell r="C52">
            <v>0.22</v>
          </cell>
        </row>
        <row r="54">
          <cell r="B54">
            <v>0.51</v>
          </cell>
          <cell r="C54">
            <v>0.3</v>
          </cell>
        </row>
        <row r="56">
          <cell r="B56">
            <v>0.65</v>
          </cell>
          <cell r="C56">
            <v>0.39</v>
          </cell>
        </row>
        <row r="59">
          <cell r="B59">
            <v>0.87</v>
          </cell>
          <cell r="C59">
            <v>0.52</v>
          </cell>
        </row>
      </sheetData>
      <sheetData sheetId="4"/>
      <sheetData sheetId="5" refreshError="1">
        <row r="2">
          <cell r="E2">
            <v>23200</v>
          </cell>
        </row>
        <row r="3">
          <cell r="E3">
            <v>44600</v>
          </cell>
        </row>
        <row r="4">
          <cell r="E4">
            <v>66500</v>
          </cell>
        </row>
        <row r="5">
          <cell r="E5">
            <v>123000</v>
          </cell>
        </row>
        <row r="6">
          <cell r="E6">
            <v>3600</v>
          </cell>
        </row>
        <row r="7">
          <cell r="E7">
            <v>6400</v>
          </cell>
        </row>
        <row r="8">
          <cell r="E8">
            <v>13000</v>
          </cell>
        </row>
        <row r="9">
          <cell r="E9">
            <v>22300</v>
          </cell>
        </row>
        <row r="10">
          <cell r="E10">
            <v>47700</v>
          </cell>
        </row>
        <row r="11">
          <cell r="E11">
            <v>203800</v>
          </cell>
        </row>
        <row r="12">
          <cell r="E12">
            <v>407710</v>
          </cell>
        </row>
        <row r="13">
          <cell r="E13">
            <v>815430</v>
          </cell>
        </row>
        <row r="14">
          <cell r="E14">
            <v>1630860</v>
          </cell>
        </row>
        <row r="15">
          <cell r="E15">
            <v>6100</v>
          </cell>
        </row>
        <row r="16">
          <cell r="E16">
            <v>9700</v>
          </cell>
        </row>
        <row r="17">
          <cell r="E17">
            <v>13500</v>
          </cell>
        </row>
        <row r="18">
          <cell r="E18">
            <v>20800</v>
          </cell>
        </row>
        <row r="19">
          <cell r="E19">
            <v>37500</v>
          </cell>
        </row>
        <row r="20">
          <cell r="E20">
            <v>18600</v>
          </cell>
        </row>
        <row r="21">
          <cell r="E21">
            <v>42000</v>
          </cell>
        </row>
        <row r="22">
          <cell r="E22">
            <v>41500</v>
          </cell>
        </row>
        <row r="23">
          <cell r="E23">
            <v>68250</v>
          </cell>
        </row>
        <row r="24">
          <cell r="E24">
            <v>76100</v>
          </cell>
        </row>
        <row r="25">
          <cell r="E25">
            <v>157500</v>
          </cell>
        </row>
        <row r="26">
          <cell r="E26">
            <v>127000</v>
          </cell>
        </row>
        <row r="27">
          <cell r="E27">
            <v>380</v>
          </cell>
        </row>
        <row r="28">
          <cell r="E28">
            <v>910</v>
          </cell>
        </row>
        <row r="29">
          <cell r="E29">
            <v>1400</v>
          </cell>
        </row>
        <row r="30">
          <cell r="E30">
            <v>3460</v>
          </cell>
        </row>
        <row r="31">
          <cell r="E31">
            <v>3100</v>
          </cell>
        </row>
        <row r="32">
          <cell r="E32">
            <v>5300</v>
          </cell>
        </row>
        <row r="33">
          <cell r="E33">
            <v>8500</v>
          </cell>
        </row>
        <row r="34">
          <cell r="E34">
            <v>23700</v>
          </cell>
        </row>
        <row r="35">
          <cell r="E35">
            <v>71170</v>
          </cell>
        </row>
        <row r="36">
          <cell r="E36">
            <v>4070</v>
          </cell>
        </row>
        <row r="37">
          <cell r="E37">
            <v>5100</v>
          </cell>
        </row>
        <row r="38">
          <cell r="E38">
            <v>10000</v>
          </cell>
        </row>
        <row r="39">
          <cell r="E39">
            <v>23500</v>
          </cell>
        </row>
        <row r="40">
          <cell r="E40">
            <v>45600</v>
          </cell>
        </row>
        <row r="42">
          <cell r="E42">
            <v>27000</v>
          </cell>
        </row>
        <row r="44">
          <cell r="E44">
            <v>2200</v>
          </cell>
        </row>
        <row r="45">
          <cell r="E45">
            <v>3200</v>
          </cell>
        </row>
        <row r="47">
          <cell r="E47">
            <v>22400</v>
          </cell>
        </row>
        <row r="48">
          <cell r="E48">
            <v>271810</v>
          </cell>
        </row>
        <row r="49">
          <cell r="E49">
            <v>327470</v>
          </cell>
        </row>
        <row r="50">
          <cell r="E50">
            <v>427240</v>
          </cell>
        </row>
        <row r="51">
          <cell r="E51">
            <v>1500</v>
          </cell>
        </row>
        <row r="52">
          <cell r="E52">
            <v>2200</v>
          </cell>
        </row>
        <row r="53">
          <cell r="E53">
            <v>5800</v>
          </cell>
        </row>
        <row r="54">
          <cell r="E54">
            <v>14000</v>
          </cell>
        </row>
        <row r="55">
          <cell r="E55">
            <v>20000</v>
          </cell>
        </row>
        <row r="56">
          <cell r="E56">
            <v>30100</v>
          </cell>
        </row>
        <row r="57">
          <cell r="E57">
            <v>45200</v>
          </cell>
        </row>
        <row r="58">
          <cell r="E58">
            <v>13500</v>
          </cell>
        </row>
        <row r="59">
          <cell r="E59">
            <v>25600</v>
          </cell>
        </row>
        <row r="60">
          <cell r="E60">
            <v>55600</v>
          </cell>
        </row>
        <row r="61">
          <cell r="E61">
            <v>13600</v>
          </cell>
        </row>
        <row r="62">
          <cell r="E62">
            <v>42500</v>
          </cell>
        </row>
        <row r="63">
          <cell r="E63">
            <v>50400</v>
          </cell>
        </row>
        <row r="64">
          <cell r="E64">
            <v>82000</v>
          </cell>
        </row>
        <row r="65">
          <cell r="E65">
            <v>18900</v>
          </cell>
        </row>
        <row r="66">
          <cell r="E66">
            <v>52600</v>
          </cell>
        </row>
        <row r="67">
          <cell r="E67">
            <v>98600</v>
          </cell>
        </row>
        <row r="68">
          <cell r="E68">
            <v>148200</v>
          </cell>
        </row>
        <row r="69">
          <cell r="E69">
            <v>48200</v>
          </cell>
        </row>
        <row r="70">
          <cell r="E70">
            <v>164700</v>
          </cell>
        </row>
        <row r="71">
          <cell r="E71">
            <v>294200</v>
          </cell>
        </row>
        <row r="72">
          <cell r="E72">
            <v>411900</v>
          </cell>
        </row>
        <row r="73">
          <cell r="E73">
            <v>258900</v>
          </cell>
        </row>
        <row r="74">
          <cell r="E74">
            <v>482500</v>
          </cell>
        </row>
        <row r="75">
          <cell r="E75">
            <v>765000</v>
          </cell>
        </row>
        <row r="76">
          <cell r="E76">
            <v>5800</v>
          </cell>
        </row>
        <row r="77">
          <cell r="E77">
            <v>12900</v>
          </cell>
        </row>
        <row r="78">
          <cell r="E78">
            <v>29400</v>
          </cell>
        </row>
        <row r="79">
          <cell r="E79">
            <v>52000</v>
          </cell>
        </row>
        <row r="80">
          <cell r="E80">
            <v>91700</v>
          </cell>
        </row>
        <row r="81">
          <cell r="E81">
            <v>12000</v>
          </cell>
        </row>
        <row r="82">
          <cell r="E82">
            <v>18600</v>
          </cell>
        </row>
        <row r="83">
          <cell r="E83">
            <v>33600</v>
          </cell>
        </row>
        <row r="84">
          <cell r="E84">
            <v>61800</v>
          </cell>
        </row>
        <row r="85">
          <cell r="E85">
            <v>244540</v>
          </cell>
        </row>
        <row r="86">
          <cell r="E86">
            <v>24800</v>
          </cell>
        </row>
        <row r="87">
          <cell r="E87">
            <v>36600</v>
          </cell>
        </row>
        <row r="88">
          <cell r="E88">
            <v>54300</v>
          </cell>
        </row>
        <row r="89">
          <cell r="E89">
            <v>85200</v>
          </cell>
        </row>
        <row r="90">
          <cell r="E90">
            <v>220600</v>
          </cell>
        </row>
        <row r="91">
          <cell r="E91">
            <v>367400</v>
          </cell>
        </row>
        <row r="92">
          <cell r="E92">
            <v>4600</v>
          </cell>
        </row>
        <row r="93">
          <cell r="E93">
            <v>7200</v>
          </cell>
        </row>
        <row r="94">
          <cell r="E94">
            <v>13200</v>
          </cell>
        </row>
        <row r="95">
          <cell r="E95">
            <v>30300</v>
          </cell>
        </row>
        <row r="96">
          <cell r="E96">
            <v>164700</v>
          </cell>
        </row>
        <row r="97">
          <cell r="E97">
            <v>12000</v>
          </cell>
        </row>
        <row r="98">
          <cell r="E98">
            <v>19600</v>
          </cell>
        </row>
        <row r="100">
          <cell r="E100">
            <v>64400</v>
          </cell>
        </row>
        <row r="101">
          <cell r="E101">
            <v>20100</v>
          </cell>
        </row>
        <row r="102">
          <cell r="E102">
            <v>30500</v>
          </cell>
        </row>
        <row r="103">
          <cell r="E103">
            <v>63000</v>
          </cell>
        </row>
        <row r="105">
          <cell r="E105">
            <v>173000</v>
          </cell>
        </row>
        <row r="106">
          <cell r="E106">
            <v>361000</v>
          </cell>
        </row>
        <row r="107">
          <cell r="E107">
            <v>476170</v>
          </cell>
        </row>
        <row r="108">
          <cell r="E108">
            <v>663000</v>
          </cell>
        </row>
        <row r="109">
          <cell r="E109">
            <v>998000</v>
          </cell>
        </row>
        <row r="110">
          <cell r="E110">
            <v>2224530</v>
          </cell>
        </row>
        <row r="111">
          <cell r="E111">
            <v>23600</v>
          </cell>
        </row>
        <row r="112">
          <cell r="E112">
            <v>72600</v>
          </cell>
        </row>
        <row r="113">
          <cell r="E113">
            <v>175300</v>
          </cell>
        </row>
        <row r="114">
          <cell r="E114">
            <v>600</v>
          </cell>
        </row>
        <row r="115">
          <cell r="E115">
            <v>29300</v>
          </cell>
        </row>
        <row r="116">
          <cell r="E116">
            <v>82300</v>
          </cell>
        </row>
        <row r="117">
          <cell r="E117">
            <v>120000</v>
          </cell>
        </row>
        <row r="118">
          <cell r="E118">
            <v>180000</v>
          </cell>
        </row>
        <row r="119">
          <cell r="E119">
            <v>8300</v>
          </cell>
        </row>
        <row r="120">
          <cell r="E120">
            <v>25200</v>
          </cell>
        </row>
        <row r="121">
          <cell r="E121">
            <v>25500</v>
          </cell>
        </row>
        <row r="122">
          <cell r="E122">
            <v>49100</v>
          </cell>
        </row>
        <row r="123">
          <cell r="E123">
            <v>81700</v>
          </cell>
        </row>
        <row r="124">
          <cell r="E124">
            <v>25100</v>
          </cell>
        </row>
        <row r="125">
          <cell r="E125">
            <v>40000</v>
          </cell>
        </row>
        <row r="126">
          <cell r="E126">
            <v>77200</v>
          </cell>
        </row>
        <row r="127">
          <cell r="E127">
            <v>136000</v>
          </cell>
        </row>
        <row r="128">
          <cell r="E128">
            <v>2600</v>
          </cell>
        </row>
        <row r="129">
          <cell r="E129">
            <v>8030</v>
          </cell>
        </row>
        <row r="130">
          <cell r="E130">
            <v>12650</v>
          </cell>
        </row>
        <row r="131">
          <cell r="E131">
            <v>10000</v>
          </cell>
        </row>
        <row r="132">
          <cell r="E132">
            <v>18000</v>
          </cell>
        </row>
        <row r="133">
          <cell r="E133">
            <v>36000</v>
          </cell>
        </row>
        <row r="134">
          <cell r="E134">
            <v>54700</v>
          </cell>
        </row>
        <row r="135">
          <cell r="E135">
            <v>97500</v>
          </cell>
        </row>
        <row r="136">
          <cell r="E136">
            <v>289060</v>
          </cell>
        </row>
        <row r="137">
          <cell r="E137">
            <v>12500</v>
          </cell>
        </row>
        <row r="138">
          <cell r="E138">
            <v>23600</v>
          </cell>
        </row>
        <row r="139">
          <cell r="E139">
            <v>43800</v>
          </cell>
        </row>
        <row r="140">
          <cell r="E140">
            <v>81100</v>
          </cell>
        </row>
        <row r="141">
          <cell r="E141">
            <v>2300</v>
          </cell>
        </row>
        <row r="142">
          <cell r="E142">
            <v>10500</v>
          </cell>
        </row>
        <row r="143">
          <cell r="E143">
            <v>16100</v>
          </cell>
        </row>
        <row r="144">
          <cell r="E144">
            <v>33500</v>
          </cell>
        </row>
        <row r="145">
          <cell r="E145">
            <v>4800</v>
          </cell>
        </row>
        <row r="146">
          <cell r="E146">
            <v>11200</v>
          </cell>
        </row>
        <row r="147">
          <cell r="E147">
            <v>21000</v>
          </cell>
        </row>
        <row r="148">
          <cell r="E148">
            <v>180000</v>
          </cell>
        </row>
        <row r="149">
          <cell r="E149">
            <v>308700</v>
          </cell>
        </row>
        <row r="150">
          <cell r="E150">
            <v>372960</v>
          </cell>
        </row>
        <row r="151">
          <cell r="E151">
            <v>406000</v>
          </cell>
        </row>
        <row r="152">
          <cell r="E152">
            <v>1662040</v>
          </cell>
        </row>
        <row r="153">
          <cell r="E153">
            <v>11000</v>
          </cell>
        </row>
        <row r="154">
          <cell r="E154">
            <v>23500</v>
          </cell>
        </row>
        <row r="155">
          <cell r="E155">
            <v>36700</v>
          </cell>
        </row>
        <row r="156">
          <cell r="E156">
            <v>7300</v>
          </cell>
        </row>
        <row r="157">
          <cell r="E157">
            <v>21900</v>
          </cell>
        </row>
        <row r="158">
          <cell r="E158">
            <v>61000</v>
          </cell>
        </row>
        <row r="159">
          <cell r="E159">
            <v>99900</v>
          </cell>
        </row>
        <row r="160">
          <cell r="E160">
            <v>14800</v>
          </cell>
        </row>
        <row r="161">
          <cell r="E161">
            <v>33100</v>
          </cell>
        </row>
        <row r="162">
          <cell r="E162">
            <v>131040</v>
          </cell>
        </row>
        <row r="163">
          <cell r="E163">
            <v>1300</v>
          </cell>
        </row>
        <row r="164">
          <cell r="E164">
            <v>2000</v>
          </cell>
        </row>
        <row r="165">
          <cell r="E165">
            <v>3900</v>
          </cell>
        </row>
        <row r="166">
          <cell r="E166">
            <v>2400</v>
          </cell>
        </row>
        <row r="168">
          <cell r="E168">
            <v>3670</v>
          </cell>
        </row>
        <row r="169">
          <cell r="E169">
            <v>8820</v>
          </cell>
        </row>
        <row r="170">
          <cell r="E170">
            <v>11760</v>
          </cell>
        </row>
        <row r="171">
          <cell r="E171">
            <v>10100</v>
          </cell>
        </row>
        <row r="172">
          <cell r="E172">
            <v>17100</v>
          </cell>
        </row>
        <row r="173">
          <cell r="E173">
            <v>31100</v>
          </cell>
        </row>
        <row r="174">
          <cell r="E174">
            <v>162500</v>
          </cell>
        </row>
        <row r="176">
          <cell r="E176">
            <v>21000</v>
          </cell>
        </row>
        <row r="177">
          <cell r="E177">
            <v>30100</v>
          </cell>
        </row>
        <row r="178">
          <cell r="E178">
            <v>98800</v>
          </cell>
        </row>
        <row r="179">
          <cell r="E179">
            <v>158000</v>
          </cell>
        </row>
        <row r="180">
          <cell r="E180">
            <v>202000</v>
          </cell>
        </row>
        <row r="183">
          <cell r="E183">
            <v>1300</v>
          </cell>
        </row>
        <row r="184">
          <cell r="E184">
            <v>2800</v>
          </cell>
        </row>
        <row r="185">
          <cell r="E185">
            <v>4000</v>
          </cell>
        </row>
        <row r="186">
          <cell r="E186">
            <v>10500</v>
          </cell>
        </row>
        <row r="187">
          <cell r="E187">
            <v>24700</v>
          </cell>
        </row>
        <row r="188">
          <cell r="E188">
            <v>50600</v>
          </cell>
        </row>
        <row r="189">
          <cell r="E189">
            <v>88000</v>
          </cell>
        </row>
        <row r="190">
          <cell r="E190">
            <v>176500</v>
          </cell>
        </row>
        <row r="191">
          <cell r="E191">
            <v>8100</v>
          </cell>
        </row>
        <row r="192">
          <cell r="E192">
            <v>10900</v>
          </cell>
        </row>
        <row r="193">
          <cell r="E193">
            <v>18600</v>
          </cell>
        </row>
        <row r="194">
          <cell r="E194">
            <v>76120</v>
          </cell>
        </row>
        <row r="195">
          <cell r="E195">
            <v>101000</v>
          </cell>
        </row>
        <row r="196">
          <cell r="E196">
            <v>149000</v>
          </cell>
        </row>
        <row r="197">
          <cell r="E197">
            <v>290000</v>
          </cell>
        </row>
        <row r="198">
          <cell r="E198">
            <v>466000</v>
          </cell>
        </row>
        <row r="199">
          <cell r="E199">
            <v>1544760</v>
          </cell>
        </row>
        <row r="200">
          <cell r="E200">
            <v>5600</v>
          </cell>
        </row>
        <row r="201">
          <cell r="E201">
            <v>17200</v>
          </cell>
        </row>
        <row r="202">
          <cell r="E202">
            <v>9200</v>
          </cell>
        </row>
        <row r="203">
          <cell r="E203">
            <v>18200</v>
          </cell>
        </row>
        <row r="204">
          <cell r="E204">
            <v>34700</v>
          </cell>
        </row>
        <row r="205">
          <cell r="E205">
            <v>65100</v>
          </cell>
        </row>
        <row r="206">
          <cell r="E206">
            <v>108000</v>
          </cell>
        </row>
        <row r="207">
          <cell r="E207">
            <v>150000</v>
          </cell>
        </row>
        <row r="210">
          <cell r="E210">
            <v>9500</v>
          </cell>
        </row>
        <row r="211">
          <cell r="E211">
            <v>16000</v>
          </cell>
        </row>
        <row r="212">
          <cell r="E212">
            <v>26400</v>
          </cell>
        </row>
        <row r="213">
          <cell r="E213">
            <v>47700</v>
          </cell>
        </row>
        <row r="214">
          <cell r="E214">
            <v>70600</v>
          </cell>
        </row>
        <row r="215">
          <cell r="E215">
            <v>154700</v>
          </cell>
        </row>
        <row r="216">
          <cell r="E216">
            <v>430</v>
          </cell>
        </row>
        <row r="217">
          <cell r="E217">
            <v>1100</v>
          </cell>
        </row>
        <row r="218">
          <cell r="E218">
            <v>1000</v>
          </cell>
        </row>
        <row r="219">
          <cell r="E219">
            <v>1500</v>
          </cell>
        </row>
        <row r="220">
          <cell r="E220">
            <v>4700</v>
          </cell>
        </row>
        <row r="221">
          <cell r="E221">
            <v>22300</v>
          </cell>
        </row>
        <row r="222">
          <cell r="E222">
            <v>36400</v>
          </cell>
        </row>
        <row r="223">
          <cell r="E223">
            <v>52900</v>
          </cell>
        </row>
        <row r="224">
          <cell r="E224">
            <v>4000</v>
          </cell>
        </row>
        <row r="225">
          <cell r="E225">
            <v>8200</v>
          </cell>
        </row>
        <row r="552">
          <cell r="E552">
            <v>48300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급여대장"/>
      <sheetName val="근로계약서(경비직 외)"/>
      <sheetName val="임금계약서(경비직 외)"/>
      <sheetName val="근로계약서(경비직.격일.서울포승)"/>
      <sheetName val="간이세액표(2013년)"/>
      <sheetName val="근로계약서(경비직.격일.평택천안)"/>
      <sheetName val="근로계약서(경비직.3교대안산)."/>
      <sheetName val="근로계약서(경비직.3교대천안)"/>
      <sheetName val="희망시스템 진단 및 종합의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화면설명"/>
      <sheetName val="입력화면"/>
      <sheetName val="원천징수영수증"/>
      <sheetName val="세액계산"/>
      <sheetName val="원천징수영수증 작성요령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BAND"/>
      <sheetName val="작업시트"/>
      <sheetName val="Sheet3"/>
      <sheetName val="Sheet4"/>
      <sheetName val="Sheet5"/>
    </sheetNames>
    <sheetDataSet>
      <sheetData sheetId="0">
        <row r="3">
          <cell r="A3" t="str">
            <v>직무등급</v>
          </cell>
          <cell r="B3" t="str">
            <v>표준 체류년</v>
          </cell>
          <cell r="C3" t="str">
            <v>예비 체류년</v>
          </cell>
          <cell r="D3" t="str">
            <v>최장 체류년</v>
          </cell>
          <cell r="E3" t="str">
            <v>연간 인상율</v>
          </cell>
          <cell r="F3" t="str">
            <v>Range Spread</v>
          </cell>
          <cell r="G3" t="str">
            <v>Minimum</v>
          </cell>
          <cell r="H3" t="str">
            <v>중하선</v>
          </cell>
          <cell r="I3" t="str">
            <v>Midpoint</v>
          </cell>
          <cell r="J3" t="str">
            <v>상중선</v>
          </cell>
          <cell r="K3" t="str">
            <v>Maximum</v>
          </cell>
        </row>
        <row r="4">
          <cell r="A4" t="str">
            <v>L7</v>
          </cell>
          <cell r="E4">
            <v>0.05</v>
          </cell>
          <cell r="F4">
            <v>0.47745544378906257</v>
          </cell>
          <cell r="G4">
            <v>50034561</v>
          </cell>
          <cell r="H4">
            <v>57997652</v>
          </cell>
          <cell r="I4">
            <v>61979198</v>
          </cell>
          <cell r="J4">
            <v>65960744</v>
          </cell>
          <cell r="K4">
            <v>73923835</v>
          </cell>
        </row>
        <row r="5">
          <cell r="A5" t="str">
            <v>L6</v>
          </cell>
          <cell r="B5">
            <v>4</v>
          </cell>
          <cell r="C5">
            <v>4</v>
          </cell>
          <cell r="D5">
            <v>8</v>
          </cell>
          <cell r="E5">
            <v>0.05</v>
          </cell>
          <cell r="F5">
            <v>0.47745544378906257</v>
          </cell>
          <cell r="G5">
            <v>43508313</v>
          </cell>
          <cell r="H5">
            <v>50432740</v>
          </cell>
          <cell r="I5">
            <v>53894954</v>
          </cell>
          <cell r="J5">
            <v>57357167</v>
          </cell>
          <cell r="K5">
            <v>64281594</v>
          </cell>
        </row>
        <row r="6">
          <cell r="A6" t="str">
            <v>L5</v>
          </cell>
          <cell r="E6">
            <v>0.05</v>
          </cell>
          <cell r="F6">
            <v>0.47745544378906257</v>
          </cell>
          <cell r="G6">
            <v>39821254</v>
          </cell>
          <cell r="H6">
            <v>46158879</v>
          </cell>
          <cell r="I6">
            <v>49327692</v>
          </cell>
          <cell r="J6">
            <v>52496504</v>
          </cell>
          <cell r="K6">
            <v>58834129</v>
          </cell>
        </row>
        <row r="7">
          <cell r="A7" t="str">
            <v>L4</v>
          </cell>
          <cell r="B7">
            <v>4</v>
          </cell>
          <cell r="C7">
            <v>4</v>
          </cell>
          <cell r="D7">
            <v>8</v>
          </cell>
          <cell r="E7">
            <v>0.05</v>
          </cell>
          <cell r="F7">
            <v>0.47745544378906257</v>
          </cell>
          <cell r="G7">
            <v>34627177</v>
          </cell>
          <cell r="H7">
            <v>40138155</v>
          </cell>
          <cell r="I7">
            <v>42893644</v>
          </cell>
          <cell r="J7">
            <v>45649133</v>
          </cell>
          <cell r="K7">
            <v>51160111</v>
          </cell>
        </row>
        <row r="8">
          <cell r="A8" t="str">
            <v>L3</v>
          </cell>
          <cell r="E8">
            <v>0.05</v>
          </cell>
          <cell r="F8">
            <v>0.47745544378906257</v>
          </cell>
          <cell r="G8">
            <v>35350152</v>
          </cell>
          <cell r="H8">
            <v>40976193</v>
          </cell>
          <cell r="I8">
            <v>43789214</v>
          </cell>
          <cell r="J8">
            <v>46602234</v>
          </cell>
          <cell r="K8">
            <v>52228275</v>
          </cell>
        </row>
        <row r="9">
          <cell r="A9" t="str">
            <v>L2</v>
          </cell>
          <cell r="B9">
            <v>4</v>
          </cell>
          <cell r="C9">
            <v>4</v>
          </cell>
          <cell r="D9">
            <v>8</v>
          </cell>
          <cell r="E9">
            <v>0.05</v>
          </cell>
          <cell r="F9">
            <v>0.47745544378906257</v>
          </cell>
          <cell r="G9">
            <v>30739262</v>
          </cell>
          <cell r="H9">
            <v>35631471</v>
          </cell>
          <cell r="I9">
            <v>38077576</v>
          </cell>
          <cell r="J9">
            <v>40523681</v>
          </cell>
          <cell r="K9">
            <v>45415890</v>
          </cell>
        </row>
        <row r="10">
          <cell r="A10" t="str">
            <v>L1</v>
          </cell>
          <cell r="B10">
            <v>4</v>
          </cell>
          <cell r="C10">
            <v>4</v>
          </cell>
          <cell r="D10">
            <v>8</v>
          </cell>
          <cell r="E10">
            <v>0.05</v>
          </cell>
          <cell r="F10">
            <v>0.47745544378906257</v>
          </cell>
          <cell r="G10">
            <v>23791750</v>
          </cell>
          <cell r="H10">
            <v>27578250</v>
          </cell>
          <cell r="I10">
            <v>29471501</v>
          </cell>
          <cell r="J10">
            <v>31364751</v>
          </cell>
          <cell r="K10">
            <v>35151251</v>
          </cell>
        </row>
        <row r="12">
          <cell r="C12" t="str">
            <v>경쟁력확보</v>
          </cell>
        </row>
        <row r="13">
          <cell r="A13">
            <v>0.03</v>
          </cell>
          <cell r="C13" t="str">
            <v>L7</v>
          </cell>
          <cell r="D13">
            <v>0.03</v>
          </cell>
          <cell r="I13">
            <v>0.03</v>
          </cell>
          <cell r="J13">
            <v>0.02</v>
          </cell>
          <cell r="K13">
            <v>0</v>
          </cell>
          <cell r="L13">
            <v>0.03</v>
          </cell>
        </row>
        <row r="14">
          <cell r="C14" t="str">
            <v>L6</v>
          </cell>
          <cell r="D14">
            <v>0.03</v>
          </cell>
        </row>
        <row r="15">
          <cell r="C15" t="str">
            <v>L5</v>
          </cell>
          <cell r="D15">
            <v>0.03</v>
          </cell>
          <cell r="G15" t="str">
            <v>S</v>
          </cell>
          <cell r="H15" t="str">
            <v>A</v>
          </cell>
          <cell r="I15" t="str">
            <v>B</v>
          </cell>
          <cell r="J15" t="str">
            <v>C</v>
          </cell>
          <cell r="K15" t="str">
            <v>D</v>
          </cell>
        </row>
        <row r="16">
          <cell r="C16" t="str">
            <v>L4</v>
          </cell>
          <cell r="D16">
            <v>0.03</v>
          </cell>
          <cell r="F16" t="str">
            <v>상위밴드</v>
          </cell>
          <cell r="G16">
            <v>0.03</v>
          </cell>
          <cell r="H16">
            <v>0.02</v>
          </cell>
          <cell r="I16">
            <v>0.01</v>
          </cell>
          <cell r="J16">
            <v>0</v>
          </cell>
          <cell r="K16">
            <v>0</v>
          </cell>
        </row>
        <row r="17">
          <cell r="C17" t="str">
            <v>L3</v>
          </cell>
          <cell r="D17">
            <v>0.02</v>
          </cell>
          <cell r="F17" t="str">
            <v>중간밴드</v>
          </cell>
          <cell r="G17">
            <v>0.04</v>
          </cell>
          <cell r="H17">
            <v>0.03</v>
          </cell>
          <cell r="I17">
            <v>0.02</v>
          </cell>
          <cell r="J17">
            <v>0.01</v>
          </cell>
          <cell r="K17">
            <v>0</v>
          </cell>
        </row>
        <row r="18">
          <cell r="C18" t="str">
            <v>L2</v>
          </cell>
          <cell r="D18">
            <v>0.02</v>
          </cell>
          <cell r="F18" t="str">
            <v>하위밴드</v>
          </cell>
          <cell r="G18">
            <v>0.05</v>
          </cell>
          <cell r="H18">
            <v>0.04</v>
          </cell>
          <cell r="I18">
            <v>0.03</v>
          </cell>
          <cell r="J18">
            <v>1.9999999999999997E-2</v>
          </cell>
          <cell r="K18">
            <v>9.9999999999999967E-3</v>
          </cell>
        </row>
        <row r="19">
          <cell r="C19" t="str">
            <v>L1</v>
          </cell>
          <cell r="D19">
            <v>0.02</v>
          </cell>
        </row>
        <row r="20">
          <cell r="C20" t="str">
            <v>A3-2</v>
          </cell>
          <cell r="D20">
            <v>0.02</v>
          </cell>
        </row>
        <row r="21">
          <cell r="C21" t="str">
            <v>A3-1</v>
          </cell>
          <cell r="D21">
            <v>0.02</v>
          </cell>
          <cell r="F21">
            <v>1</v>
          </cell>
        </row>
        <row r="22">
          <cell r="C22" t="str">
            <v>A2</v>
          </cell>
          <cell r="D22">
            <v>0.02</v>
          </cell>
        </row>
        <row r="23">
          <cell r="C23" t="str">
            <v>A1</v>
          </cell>
          <cell r="D23">
            <v>0.02</v>
          </cell>
        </row>
        <row r="24">
          <cell r="C24" t="str">
            <v>A0</v>
          </cell>
          <cell r="D24">
            <v>0.02</v>
          </cell>
        </row>
        <row r="25">
          <cell r="C25" t="str">
            <v>C2</v>
          </cell>
          <cell r="D25">
            <v>0.02</v>
          </cell>
        </row>
        <row r="26">
          <cell r="C26" t="str">
            <v>C1</v>
          </cell>
          <cell r="D26">
            <v>0.02</v>
          </cell>
        </row>
        <row r="27">
          <cell r="C27" t="str">
            <v>C0</v>
          </cell>
          <cell r="D27">
            <v>0.02</v>
          </cell>
        </row>
        <row r="28">
          <cell r="C28" t="str">
            <v>운전직</v>
          </cell>
          <cell r="D28">
            <v>0.02</v>
          </cell>
        </row>
        <row r="29">
          <cell r="C29" t="str">
            <v>연봉직</v>
          </cell>
          <cell r="D29">
            <v>0.02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원사현황"/>
      <sheetName val="자문료정보"/>
      <sheetName val="회원사정보"/>
      <sheetName val="정규직근로자명부"/>
      <sheetName val="퇴사자명부"/>
      <sheetName val="근로시간설정"/>
      <sheetName val="임금구성항목"/>
      <sheetName val="급여명세서"/>
      <sheetName val="급여이체내역서"/>
      <sheetName val="근로계약서"/>
      <sheetName val="연장근로신청서"/>
      <sheetName val="연차휴가테이블"/>
      <sheetName val="미사용연차통보서"/>
      <sheetName val="연차시기지정통보서"/>
      <sheetName val="재직증명서"/>
      <sheetName val="인사기록카드"/>
      <sheetName val="퇴직금중간정산신청서"/>
      <sheetName val="퇴직금산정내역서"/>
      <sheetName val="일용직근로자명부"/>
      <sheetName val="단시간근로자명부"/>
      <sheetName val="만년달력"/>
      <sheetName val="조정계수표"/>
      <sheetName val="간이세액표(2012)"/>
      <sheetName val="결재란"/>
      <sheetName val="Sheet1"/>
    </sheetNames>
    <sheetDataSet>
      <sheetData sheetId="0"/>
      <sheetData sheetId="1"/>
      <sheetData sheetId="2">
        <row r="5">
          <cell r="C5" t="str">
            <v>으뜸 인재 양성의 요람</v>
          </cell>
        </row>
      </sheetData>
      <sheetData sheetId="3">
        <row r="6">
          <cell r="A6">
            <v>1</v>
          </cell>
          <cell r="K6">
            <v>40603</v>
          </cell>
        </row>
        <row r="7">
          <cell r="K7">
            <v>40579</v>
          </cell>
        </row>
        <row r="8">
          <cell r="K8">
            <v>40787</v>
          </cell>
        </row>
        <row r="9">
          <cell r="K9">
            <v>40820</v>
          </cell>
        </row>
        <row r="10">
          <cell r="K10">
            <v>40989</v>
          </cell>
        </row>
        <row r="11">
          <cell r="K11">
            <v>40672</v>
          </cell>
        </row>
        <row r="12">
          <cell r="K12">
            <v>40823</v>
          </cell>
        </row>
        <row r="13">
          <cell r="K13">
            <v>40014</v>
          </cell>
        </row>
        <row r="14">
          <cell r="K14">
            <v>40851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A5">
            <v>1</v>
          </cell>
          <cell r="N5" t="str">
            <v>연차미발생</v>
          </cell>
        </row>
        <row r="6">
          <cell r="N6" t="str">
            <v>연차미발생</v>
          </cell>
        </row>
        <row r="7">
          <cell r="N7" t="str">
            <v>연차미발생</v>
          </cell>
        </row>
        <row r="8">
          <cell r="N8" t="str">
            <v>연차미발생</v>
          </cell>
        </row>
        <row r="9">
          <cell r="N9" t="str">
            <v>연차미발생</v>
          </cell>
        </row>
        <row r="10">
          <cell r="N10" t="str">
            <v>연차미발생</v>
          </cell>
        </row>
        <row r="11">
          <cell r="N11" t="str">
            <v>연차미발생</v>
          </cell>
        </row>
        <row r="12">
          <cell r="N12">
            <v>15</v>
          </cell>
        </row>
        <row r="13">
          <cell r="N13" t="str">
            <v>연차미발생</v>
          </cell>
        </row>
        <row r="14">
          <cell r="N14">
            <v>25</v>
          </cell>
        </row>
        <row r="15">
          <cell r="N15">
            <v>25</v>
          </cell>
        </row>
        <row r="16">
          <cell r="N16">
            <v>25</v>
          </cell>
        </row>
        <row r="17">
          <cell r="N17">
            <v>25</v>
          </cell>
        </row>
        <row r="18">
          <cell r="N18">
            <v>25</v>
          </cell>
        </row>
        <row r="19">
          <cell r="N19">
            <v>25</v>
          </cell>
        </row>
        <row r="20">
          <cell r="N20">
            <v>25</v>
          </cell>
        </row>
        <row r="21">
          <cell r="N21">
            <v>25</v>
          </cell>
        </row>
        <row r="22">
          <cell r="N22">
            <v>25</v>
          </cell>
        </row>
        <row r="23">
          <cell r="N23">
            <v>25</v>
          </cell>
        </row>
        <row r="24">
          <cell r="N24">
            <v>25</v>
          </cell>
        </row>
        <row r="25">
          <cell r="N25">
            <v>25</v>
          </cell>
        </row>
        <row r="26">
          <cell r="N26">
            <v>25</v>
          </cell>
        </row>
        <row r="27">
          <cell r="N27">
            <v>25</v>
          </cell>
        </row>
        <row r="28">
          <cell r="N28">
            <v>25</v>
          </cell>
        </row>
        <row r="29">
          <cell r="N29">
            <v>25</v>
          </cell>
        </row>
        <row r="30">
          <cell r="N30">
            <v>25</v>
          </cell>
        </row>
        <row r="31">
          <cell r="N31">
            <v>25</v>
          </cell>
        </row>
        <row r="32">
          <cell r="N32">
            <v>25</v>
          </cell>
        </row>
        <row r="33">
          <cell r="N33">
            <v>25</v>
          </cell>
        </row>
        <row r="34">
          <cell r="N34">
            <v>25</v>
          </cell>
        </row>
        <row r="35">
          <cell r="N35">
            <v>25</v>
          </cell>
        </row>
        <row r="36">
          <cell r="N36">
            <v>25</v>
          </cell>
        </row>
        <row r="37">
          <cell r="N37">
            <v>25</v>
          </cell>
        </row>
        <row r="38">
          <cell r="N38">
            <v>25</v>
          </cell>
        </row>
        <row r="39">
          <cell r="N39">
            <v>25</v>
          </cell>
        </row>
        <row r="40">
          <cell r="N40">
            <v>25</v>
          </cell>
        </row>
        <row r="41">
          <cell r="N41">
            <v>25</v>
          </cell>
        </row>
        <row r="42">
          <cell r="N42">
            <v>25</v>
          </cell>
        </row>
        <row r="43">
          <cell r="N43">
            <v>25</v>
          </cell>
        </row>
        <row r="44">
          <cell r="N44">
            <v>25</v>
          </cell>
        </row>
        <row r="45">
          <cell r="N45">
            <v>25</v>
          </cell>
        </row>
        <row r="46">
          <cell r="N46">
            <v>25</v>
          </cell>
        </row>
        <row r="47">
          <cell r="N47">
            <v>25</v>
          </cell>
        </row>
        <row r="48">
          <cell r="N48">
            <v>25</v>
          </cell>
        </row>
        <row r="49">
          <cell r="N49">
            <v>25</v>
          </cell>
        </row>
        <row r="50">
          <cell r="N50">
            <v>25</v>
          </cell>
        </row>
        <row r="51">
          <cell r="N51">
            <v>25</v>
          </cell>
        </row>
        <row r="52">
          <cell r="N52">
            <v>25</v>
          </cell>
        </row>
        <row r="53">
          <cell r="N53">
            <v>25</v>
          </cell>
        </row>
        <row r="54">
          <cell r="N54">
            <v>25</v>
          </cell>
        </row>
        <row r="55">
          <cell r="N55">
            <v>25</v>
          </cell>
        </row>
        <row r="56">
          <cell r="N56">
            <v>25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정공정"/>
      <sheetName val="동원내역"/>
      <sheetName val="동원인원"/>
      <sheetName val="집계표"/>
      <sheetName val="데이타"/>
    </sheetNames>
    <sheetDataSet>
      <sheetData sheetId="0"/>
      <sheetData sheetId="1"/>
      <sheetData sheetId="2">
        <row r="127">
          <cell r="E127">
            <v>48</v>
          </cell>
        </row>
      </sheetData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숫자"/>
      <sheetName val="전압강하율"/>
      <sheetName val="개소별명세표 (2)"/>
      <sheetName val="인공"/>
      <sheetName val="도면치수"/>
      <sheetName val="설계산출표지"/>
      <sheetName val="마지막일위대가표"/>
      <sheetName val="도급예산내역서총괄표"/>
      <sheetName val="설계산출기초"/>
      <sheetName val="공사원가계산서"/>
      <sheetName val="도급예산내역서"/>
      <sheetName val="도급예산내역서봉투"/>
      <sheetName val="도급예산내역서표지"/>
      <sheetName val="전선가설"/>
      <sheetName val="전선철거"/>
      <sheetName val="가공지선신설"/>
      <sheetName val="가공지선철거"/>
      <sheetName val="가공케이블신설"/>
      <sheetName val="지중고케이블이설"/>
      <sheetName val="지중케이블철거"/>
      <sheetName val="저케VCT2.0신설"/>
      <sheetName val="전주신설"/>
      <sheetName val="전주철거"/>
      <sheetName val="지선신설"/>
      <sheetName val="지선철거"/>
      <sheetName val="전주철거11"/>
      <sheetName val="고정빔철거"/>
      <sheetName val="변압기신설 "/>
      <sheetName val="변압기신설 (2)"/>
      <sheetName val="변압기철거"/>
      <sheetName val="변압기대철거"/>
      <sheetName val="개폐기개신"/>
      <sheetName val="옥외등개신"/>
      <sheetName val="옥외등 철거"/>
      <sheetName val="개폐기함신설"/>
      <sheetName val="분전함개신"/>
      <sheetName val="제어함신설"/>
      <sheetName val="개폐기함신설 (2)"/>
      <sheetName val="SENSOR신설"/>
      <sheetName val="단가단출기초 (2)"/>
      <sheetName val="접지1종"/>
      <sheetName val="접지2종"/>
      <sheetName val="접지3종"/>
      <sheetName val="수량산출근거"/>
      <sheetName val="단가산출표지"/>
      <sheetName val="단가단출기초"/>
      <sheetName val="수량산출기초표지"/>
      <sheetName val="설계산출기초표지"/>
      <sheetName val="운반비산출표지"/>
      <sheetName val="운반비산출"/>
      <sheetName val="을부담운반비"/>
      <sheetName val="중량산출기초(전선류)"/>
      <sheetName val="(철재류)"/>
      <sheetName val="(애자류)"/>
      <sheetName val="(비계목류)"/>
      <sheetName val="(시멘근가류)"/>
      <sheetName val="폐기물중량산출표지"/>
      <sheetName val="(폐기물처리중량)"/>
      <sheetName val="(철거발생)"/>
      <sheetName val="철거발생품"/>
      <sheetName val="공사재료사정조서 (2)"/>
      <sheetName val="관급자재조서"/>
      <sheetName val="수량조서"/>
      <sheetName val="개소별명세표"/>
      <sheetName val="실행대비"/>
      <sheetName val="일위대가표"/>
      <sheetName val="동원인원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제전    제  7  호</v>
          </cell>
        </row>
      </sheetData>
      <sheetData sheetId="6"/>
      <sheetData sheetId="7">
        <row r="21">
          <cell r="E21">
            <v>11921667</v>
          </cell>
        </row>
      </sheetData>
      <sheetData sheetId="8">
        <row r="6">
          <cell r="G6">
            <v>2869281</v>
          </cell>
        </row>
      </sheetData>
      <sheetData sheetId="9">
        <row r="6">
          <cell r="C6">
            <v>12421215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25">
          <cell r="E25">
            <v>1.6479999999999999</v>
          </cell>
        </row>
      </sheetData>
      <sheetData sheetId="50">
        <row r="1">
          <cell r="D1">
            <v>2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계경비(시간당)"/>
      <sheetName val="램머"/>
      <sheetName val="경산"/>
      <sheetName val="설계산출표지"/>
      <sheetName val="공사원가계산서"/>
      <sheetName val="설계산출기초"/>
      <sheetName val="도급예산내역서총괄표"/>
      <sheetName val="을부담운반비"/>
      <sheetName val="운반비산출"/>
      <sheetName val="동원인원"/>
    </sheetNames>
    <sheetDataSet>
      <sheetData sheetId="0">
        <row r="1">
          <cell r="C1">
            <v>0</v>
          </cell>
        </row>
      </sheetData>
      <sheetData sheetId="1">
        <row r="20">
          <cell r="D20">
            <v>174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"/>
      <sheetName val="자재단가"/>
      <sheetName val="48수량"/>
      <sheetName val="48인공"/>
      <sheetName val="48일위"/>
      <sheetName val="48수량(기존)"/>
      <sheetName val="48인공(기존)"/>
      <sheetName val="48일위(기존)"/>
      <sheetName val="총괄표"/>
      <sheetName val="공내역"/>
      <sheetName val="공내역(기존)"/>
      <sheetName val="내역"/>
      <sheetName val="효성CB 1P기초"/>
      <sheetName val="관급_File"/>
      <sheetName val="기계경비(시간당)"/>
      <sheetName val="램머"/>
      <sheetName val="변동내역"/>
      <sheetName val="토사(P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B2" t="str">
            <v>공 사 종 류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더존-업로드"/>
      <sheetName val="사원등록(EXCELIMPORT)_건강"/>
      <sheetName val="https___d_docs_live_net_Docum_2"/>
      <sheetName val="https___d_docs_live_net_Docum_3"/>
      <sheetName val="https___d_docs_live_net_Docum_4"/>
      <sheetName val="https___d_docs_live_net_Docum_5"/>
    </sheetNames>
    <definedNames>
      <definedName name="국민"/>
      <definedName name="국민연금"/>
    </definedNames>
    <sheetDataSet>
      <sheetData sheetId="0" refreshError="1"/>
      <sheetData sheetId="1" refreshError="1"/>
      <sheetData sheetId="2"/>
      <sheetData sheetId="3"/>
      <sheetData sheetId="4"/>
      <sheetData sheetId="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팔레스 (2)"/>
      <sheetName val="근로자명단"/>
      <sheetName val="참고용"/>
      <sheetName val="체불내역"/>
      <sheetName val="롯데"/>
      <sheetName val="예보"/>
      <sheetName val="삼보"/>
      <sheetName val="종로"/>
    </sheetNames>
    <sheetDataSet>
      <sheetData sheetId="0"/>
      <sheetData sheetId="1"/>
      <sheetData sheetId="2">
        <row r="3">
          <cell r="P3" t="str">
            <v>신고</v>
          </cell>
          <cell r="Q3" t="str">
            <v>임금</v>
          </cell>
          <cell r="R3" t="str">
            <v>산업연수생</v>
          </cell>
        </row>
        <row r="4">
          <cell r="P4" t="str">
            <v>기타</v>
          </cell>
          <cell r="Q4" t="str">
            <v>해고예고수당</v>
          </cell>
          <cell r="R4" t="str">
            <v>일반취업자</v>
          </cell>
        </row>
        <row r="5">
          <cell r="Q5" t="str">
            <v>기타</v>
          </cell>
          <cell r="R5" t="str">
            <v>불법취업자</v>
          </cell>
        </row>
        <row r="6">
          <cell r="Q6" t="str">
            <v>퇴직금</v>
          </cell>
        </row>
        <row r="7">
          <cell r="Q7" t="str">
            <v>휴업수당</v>
          </cell>
        </row>
        <row r="12">
          <cell r="P12" t="str">
            <v>가나</v>
          </cell>
          <cell r="Q12" t="str">
            <v>구 근로기준법 제32조(해고예고절차 미이행)</v>
          </cell>
        </row>
        <row r="13">
          <cell r="P13" t="str">
            <v>가봉</v>
          </cell>
          <cell r="Q13" t="str">
            <v>구 근로기준법 제36조(각종 금품 미청산)</v>
          </cell>
        </row>
        <row r="14">
          <cell r="P14" t="str">
            <v>가이아나</v>
          </cell>
          <cell r="Q14" t="str">
            <v>구 근로기준법 제42조(임금의 체불 등)</v>
          </cell>
        </row>
        <row r="15">
          <cell r="P15" t="str">
            <v>감비아</v>
          </cell>
          <cell r="Q15" t="str">
            <v>구 근로기준법 제45조(휴업수당미지급)</v>
          </cell>
        </row>
        <row r="16">
          <cell r="P16" t="str">
            <v>과테말라</v>
          </cell>
          <cell r="Q16" t="str">
            <v>구 근로기준법 제55조(연장.야간.휴일수당 미지급)</v>
          </cell>
        </row>
        <row r="17">
          <cell r="P17" t="str">
            <v>괌</v>
          </cell>
          <cell r="Q17" t="str">
            <v>구 근로기준법 제57조(월차유급휴가 미부여)</v>
          </cell>
        </row>
        <row r="18">
          <cell r="P18" t="str">
            <v>그레나다</v>
          </cell>
          <cell r="Q18" t="str">
            <v>구 근로기준법 제59조 제5항</v>
          </cell>
        </row>
        <row r="19">
          <cell r="P19" t="str">
            <v>그리이스</v>
          </cell>
          <cell r="Q19" t="str">
            <v>구 근로기준법 제81조(요양보상 미이행)</v>
          </cell>
        </row>
        <row r="20">
          <cell r="P20" t="str">
            <v>그리인란드</v>
          </cell>
          <cell r="Q20" t="str">
            <v>구 근로기준법 제82조(휴업보상 미이행)</v>
          </cell>
        </row>
        <row r="21">
          <cell r="P21" t="str">
            <v>기니</v>
          </cell>
          <cell r="Q21" t="str">
            <v>구 근로기준법 제83조(장해보상 미이행)</v>
          </cell>
        </row>
        <row r="22">
          <cell r="P22" t="str">
            <v>기니비소</v>
          </cell>
          <cell r="Q22" t="str">
            <v>구 근로기준법 제85조(유족보상 미이행)</v>
          </cell>
        </row>
        <row r="23">
          <cell r="P23" t="str">
            <v>기아나</v>
          </cell>
          <cell r="Q23" t="str">
            <v>구 근로기준법 제86조(장의비 미지급)</v>
          </cell>
        </row>
        <row r="24">
          <cell r="P24" t="str">
            <v>까뽀베르데</v>
          </cell>
          <cell r="Q24" t="str">
            <v>신 근로기준법 제26조(해고예고절차 미이행)</v>
          </cell>
        </row>
        <row r="25">
          <cell r="P25" t="str">
            <v>나미비아</v>
          </cell>
          <cell r="Q25" t="str">
            <v>신 근로기준법 제36조(각종 금품 미청산)</v>
          </cell>
        </row>
        <row r="26">
          <cell r="P26" t="str">
            <v>나우루</v>
          </cell>
          <cell r="Q26" t="str">
            <v>신 근로기준법 제43조(임금의 체불 등)</v>
          </cell>
        </row>
        <row r="27">
          <cell r="P27" t="str">
            <v>나이지리아</v>
          </cell>
          <cell r="Q27" t="str">
            <v>신 근로기준법 제46조(휴업수당미지급)</v>
          </cell>
        </row>
        <row r="28">
          <cell r="P28" t="str">
            <v>남아공화국</v>
          </cell>
          <cell r="Q28" t="str">
            <v>신 근로기준법 제56조(연장.야간.휴일수당 미지급)</v>
          </cell>
        </row>
        <row r="29">
          <cell r="P29" t="str">
            <v>남예멘</v>
          </cell>
          <cell r="Q29" t="str">
            <v>신 근로기준법 제60조 제5항</v>
          </cell>
        </row>
        <row r="30">
          <cell r="P30" t="str">
            <v>네덜란드</v>
          </cell>
          <cell r="Q30" t="str">
            <v>신 근로기준법 제78조(요양보상 미이행)</v>
          </cell>
        </row>
        <row r="31">
          <cell r="P31" t="str">
            <v>네팔</v>
          </cell>
          <cell r="Q31" t="str">
            <v>신 근로기준법 제79조(휴업보상)</v>
          </cell>
        </row>
        <row r="32">
          <cell r="P32" t="str">
            <v>노르웨이</v>
          </cell>
          <cell r="Q32" t="str">
            <v>신 근로기준법 제80조(장해보상 미이행)</v>
          </cell>
        </row>
        <row r="33">
          <cell r="P33" t="str">
            <v>뉴질랜드</v>
          </cell>
          <cell r="Q33" t="str">
            <v>신 근로기준법 제82조(유족보상 미이행)</v>
          </cell>
        </row>
        <row r="34">
          <cell r="P34" t="str">
            <v>뉴칼레도니아</v>
          </cell>
          <cell r="Q34" t="str">
            <v>신 근로기준법 제83조(장의비 미지급)</v>
          </cell>
        </row>
        <row r="35">
          <cell r="P35" t="str">
            <v>니우에</v>
          </cell>
          <cell r="Q35" t="str">
            <v>최저임금법 제6조(최저임금액 미달)</v>
          </cell>
        </row>
        <row r="36">
          <cell r="P36" t="str">
            <v>니제르</v>
          </cell>
          <cell r="Q36" t="str">
            <v>노동조합및노동관계조정법 제92조 제1호</v>
          </cell>
        </row>
        <row r="37">
          <cell r="P37" t="str">
            <v>니카라과</v>
          </cell>
          <cell r="Q37" t="str">
            <v>남녀고용평등법 제8조 제1항(임금 차별)</v>
          </cell>
        </row>
        <row r="38">
          <cell r="P38" t="str">
            <v>대만</v>
          </cell>
          <cell r="Q38" t="str">
            <v>남녀고용평등법 제9조(임금이외 금품등 차별)</v>
          </cell>
        </row>
        <row r="39">
          <cell r="P39" t="str">
            <v>대한민국</v>
          </cell>
          <cell r="Q39" t="str">
            <v>근로자퇴직급여보장법 제9조(퇴직급 미지급)</v>
          </cell>
        </row>
        <row r="40">
          <cell r="P40" t="str">
            <v>덴마크</v>
          </cell>
        </row>
        <row r="41">
          <cell r="P41" t="str">
            <v>도미니카공화국</v>
          </cell>
        </row>
        <row r="42">
          <cell r="P42" t="str">
            <v>도미니카연방</v>
          </cell>
        </row>
        <row r="43">
          <cell r="P43" t="str">
            <v>독일</v>
          </cell>
        </row>
        <row r="44">
          <cell r="P44" t="str">
            <v>동독</v>
          </cell>
        </row>
        <row r="45">
          <cell r="P45" t="str">
            <v>라오스</v>
          </cell>
        </row>
        <row r="46">
          <cell r="P46" t="str">
            <v>라이베리아</v>
          </cell>
        </row>
        <row r="47">
          <cell r="P47" t="str">
            <v>러시아</v>
          </cell>
        </row>
        <row r="48">
          <cell r="P48" t="str">
            <v>레바논</v>
          </cell>
        </row>
        <row r="49">
          <cell r="P49" t="str">
            <v>레소토</v>
          </cell>
        </row>
        <row r="50">
          <cell r="P50" t="str">
            <v>로디시아</v>
          </cell>
        </row>
        <row r="51">
          <cell r="P51" t="str">
            <v>루마니아</v>
          </cell>
        </row>
        <row r="52">
          <cell r="P52" t="str">
            <v>루안다</v>
          </cell>
        </row>
        <row r="53">
          <cell r="P53" t="str">
            <v>룩셈부르크</v>
          </cell>
        </row>
        <row r="54">
          <cell r="P54" t="str">
            <v>리비아</v>
          </cell>
        </row>
        <row r="55">
          <cell r="P55" t="str">
            <v>리히텐시타인</v>
          </cell>
        </row>
        <row r="56">
          <cell r="P56" t="str">
            <v>마다가스카르</v>
          </cell>
        </row>
        <row r="57">
          <cell r="P57" t="str">
            <v>마리에나</v>
          </cell>
        </row>
        <row r="58">
          <cell r="P58" t="str">
            <v>마아샬아일랜드</v>
          </cell>
        </row>
        <row r="59">
          <cell r="P59" t="str">
            <v>마카오</v>
          </cell>
        </row>
        <row r="60">
          <cell r="P60" t="str">
            <v>말라위</v>
          </cell>
        </row>
        <row r="61">
          <cell r="P61" t="str">
            <v>말레이시아</v>
          </cell>
        </row>
        <row r="62">
          <cell r="P62" t="str">
            <v>말리</v>
          </cell>
        </row>
        <row r="63">
          <cell r="P63" t="str">
            <v>멕시코</v>
          </cell>
        </row>
        <row r="64">
          <cell r="P64" t="str">
            <v>모나코</v>
          </cell>
        </row>
        <row r="65">
          <cell r="P65" t="str">
            <v>모로코</v>
          </cell>
        </row>
        <row r="66">
          <cell r="P66" t="str">
            <v>모리셔스</v>
          </cell>
        </row>
        <row r="67">
          <cell r="P67" t="str">
            <v>모리타니아</v>
          </cell>
        </row>
        <row r="68">
          <cell r="P68" t="str">
            <v>모잠비크</v>
          </cell>
        </row>
        <row r="69">
          <cell r="P69" t="str">
            <v>몬세라</v>
          </cell>
        </row>
        <row r="70">
          <cell r="P70" t="str">
            <v>몰디브</v>
          </cell>
        </row>
        <row r="71">
          <cell r="P71" t="str">
            <v>몰타</v>
          </cell>
        </row>
        <row r="72">
          <cell r="P72" t="str">
            <v>몽고</v>
          </cell>
        </row>
        <row r="73">
          <cell r="P73" t="str">
            <v>미국</v>
          </cell>
        </row>
        <row r="74">
          <cell r="P74" t="str">
            <v>미얀마</v>
          </cell>
        </row>
        <row r="75">
          <cell r="P75" t="str">
            <v>바누아투</v>
          </cell>
        </row>
        <row r="76">
          <cell r="P76" t="str">
            <v>바레인</v>
          </cell>
        </row>
        <row r="77">
          <cell r="P77" t="str">
            <v>바베이도스</v>
          </cell>
        </row>
        <row r="78">
          <cell r="P78" t="str">
            <v>바티칸</v>
          </cell>
        </row>
        <row r="79">
          <cell r="P79" t="str">
            <v>바하마</v>
          </cell>
        </row>
        <row r="80">
          <cell r="P80" t="str">
            <v>방글라데시</v>
          </cell>
        </row>
        <row r="81">
          <cell r="P81" t="str">
            <v>버뮤다</v>
          </cell>
        </row>
        <row r="82">
          <cell r="P82" t="str">
            <v>버어진제도</v>
          </cell>
        </row>
        <row r="83">
          <cell r="P83" t="str">
            <v>베네수엘라</v>
          </cell>
        </row>
        <row r="84">
          <cell r="P84" t="str">
            <v>베넹</v>
          </cell>
        </row>
        <row r="85">
          <cell r="P85" t="str">
            <v>베트남</v>
          </cell>
        </row>
        <row r="86">
          <cell r="P86" t="str">
            <v>벨기에</v>
          </cell>
        </row>
        <row r="87">
          <cell r="P87" t="str">
            <v>벨리즈</v>
          </cell>
        </row>
        <row r="88">
          <cell r="P88" t="str">
            <v>보츠와나</v>
          </cell>
        </row>
        <row r="89">
          <cell r="P89" t="str">
            <v>볼리비아</v>
          </cell>
        </row>
        <row r="90">
          <cell r="P90" t="str">
            <v>부룬디</v>
          </cell>
        </row>
        <row r="91">
          <cell r="P91" t="str">
            <v>부르나이</v>
          </cell>
        </row>
        <row r="92">
          <cell r="P92" t="str">
            <v>부르키나파소</v>
          </cell>
        </row>
        <row r="93">
          <cell r="P93" t="str">
            <v>부탄</v>
          </cell>
        </row>
        <row r="94">
          <cell r="P94" t="str">
            <v>불가리아</v>
          </cell>
        </row>
        <row r="95">
          <cell r="P95" t="str">
            <v>브라질</v>
          </cell>
        </row>
        <row r="96">
          <cell r="P96" t="str">
            <v>비스마크열도</v>
          </cell>
        </row>
        <row r="97">
          <cell r="P97" t="str">
            <v>사모아</v>
          </cell>
        </row>
        <row r="98">
          <cell r="P98" t="str">
            <v>사우디·쿠웨이트중립</v>
          </cell>
        </row>
        <row r="99">
          <cell r="P99" t="str">
            <v>사우디아라비아</v>
          </cell>
        </row>
        <row r="100">
          <cell r="P100" t="str">
            <v>사이프러스</v>
          </cell>
        </row>
        <row r="101">
          <cell r="P101" t="str">
            <v>산마리노</v>
          </cell>
        </row>
        <row r="102">
          <cell r="P102" t="str">
            <v>상토메프린시페</v>
          </cell>
        </row>
        <row r="103">
          <cell r="P103" t="str">
            <v>생피에르미크론</v>
          </cell>
        </row>
        <row r="104">
          <cell r="P104" t="str">
            <v>서사모아</v>
          </cell>
        </row>
        <row r="105">
          <cell r="P105" t="str">
            <v>서인도제도(프령)</v>
          </cell>
        </row>
        <row r="106">
          <cell r="P106" t="str">
            <v>서인도제도(화령)</v>
          </cell>
        </row>
        <row r="107">
          <cell r="P107" t="str">
            <v>세네갈</v>
          </cell>
        </row>
        <row r="108">
          <cell r="P108" t="str">
            <v>세이쉘</v>
          </cell>
        </row>
        <row r="109">
          <cell r="P109" t="str">
            <v>세인트루치아</v>
          </cell>
        </row>
        <row r="110">
          <cell r="P110" t="str">
            <v>소말리아</v>
          </cell>
        </row>
        <row r="111">
          <cell r="P111" t="str">
            <v>솔로몬아일랜드</v>
          </cell>
        </row>
        <row r="112">
          <cell r="P112" t="str">
            <v>수단</v>
          </cell>
        </row>
        <row r="113">
          <cell r="P113" t="str">
            <v>수리남</v>
          </cell>
        </row>
        <row r="114">
          <cell r="P114" t="str">
            <v>스리랑카</v>
          </cell>
        </row>
        <row r="115">
          <cell r="P115" t="str">
            <v>스와지랜드</v>
          </cell>
        </row>
        <row r="116">
          <cell r="P116" t="str">
            <v>스웨덴</v>
          </cell>
        </row>
        <row r="117">
          <cell r="P117" t="str">
            <v>스위스</v>
          </cell>
        </row>
        <row r="118">
          <cell r="P118" t="str">
            <v>스페인</v>
          </cell>
        </row>
        <row r="119">
          <cell r="P119" t="str">
            <v>시리아</v>
          </cell>
        </row>
        <row r="120">
          <cell r="P120" t="str">
            <v>시에라리온</v>
          </cell>
        </row>
        <row r="121">
          <cell r="P121" t="str">
            <v>싱가폴</v>
          </cell>
        </row>
        <row r="122">
          <cell r="P122" t="str">
            <v>아랍에미리트연합국</v>
          </cell>
        </row>
        <row r="123">
          <cell r="P123" t="str">
            <v>아르헨티나</v>
          </cell>
        </row>
        <row r="124">
          <cell r="P124" t="str">
            <v>아이보리코스트</v>
          </cell>
        </row>
        <row r="125">
          <cell r="P125" t="str">
            <v>아이슬란드</v>
          </cell>
        </row>
        <row r="126">
          <cell r="P126" t="str">
            <v>아이티</v>
          </cell>
        </row>
        <row r="127">
          <cell r="P127" t="str">
            <v>아일랜드</v>
          </cell>
        </row>
        <row r="128">
          <cell r="P128" t="str">
            <v>아조레스</v>
          </cell>
        </row>
        <row r="129">
          <cell r="P129" t="str">
            <v>아프가니스탄</v>
          </cell>
        </row>
        <row r="130">
          <cell r="P130" t="str">
            <v>안도라</v>
          </cell>
        </row>
        <row r="131">
          <cell r="P131" t="str">
            <v>안티구아</v>
          </cell>
        </row>
        <row r="132">
          <cell r="P132" t="str">
            <v>안티구아바부다</v>
          </cell>
        </row>
        <row r="133">
          <cell r="P133" t="str">
            <v>안틸</v>
          </cell>
        </row>
        <row r="134">
          <cell r="P134" t="str">
            <v>알바니아</v>
          </cell>
        </row>
        <row r="135">
          <cell r="P135" t="str">
            <v>알제리</v>
          </cell>
        </row>
        <row r="136">
          <cell r="P136" t="str">
            <v>앙골라</v>
          </cell>
        </row>
        <row r="137">
          <cell r="P137" t="str">
            <v>에쿠아도르</v>
          </cell>
        </row>
        <row r="138">
          <cell r="P138" t="str">
            <v>엘살바도르</v>
          </cell>
        </row>
        <row r="139">
          <cell r="P139" t="str">
            <v>영국</v>
          </cell>
        </row>
        <row r="140">
          <cell r="P140" t="str">
            <v>예멘</v>
          </cell>
        </row>
        <row r="141">
          <cell r="P141" t="str">
            <v>오만</v>
          </cell>
        </row>
        <row r="142">
          <cell r="P142" t="str">
            <v>오스트리아</v>
          </cell>
        </row>
        <row r="143">
          <cell r="P143" t="str">
            <v>온두라스</v>
          </cell>
        </row>
        <row r="144">
          <cell r="P144" t="str">
            <v>요르단</v>
          </cell>
        </row>
        <row r="145">
          <cell r="P145" t="str">
            <v>우간다</v>
          </cell>
        </row>
        <row r="146">
          <cell r="P146" t="str">
            <v>우루과이</v>
          </cell>
        </row>
        <row r="147">
          <cell r="P147" t="str">
            <v>우즈베키스탄</v>
          </cell>
        </row>
        <row r="148">
          <cell r="P148" t="str">
            <v>우크라이나</v>
          </cell>
        </row>
        <row r="149">
          <cell r="P149" t="str">
            <v>운하지대</v>
          </cell>
        </row>
        <row r="150">
          <cell r="P150" t="str">
            <v>유고</v>
          </cell>
        </row>
        <row r="151">
          <cell r="P151" t="str">
            <v>이디오피아</v>
          </cell>
        </row>
        <row r="152">
          <cell r="P152" t="str">
            <v>이라크</v>
          </cell>
        </row>
        <row r="153">
          <cell r="P153" t="str">
            <v>이란</v>
          </cell>
        </row>
        <row r="154">
          <cell r="P154" t="str">
            <v>이스라엘</v>
          </cell>
        </row>
        <row r="155">
          <cell r="P155" t="str">
            <v>이집트</v>
          </cell>
        </row>
        <row r="156">
          <cell r="P156" t="str">
            <v>이탈리아</v>
          </cell>
        </row>
        <row r="157">
          <cell r="P157" t="str">
            <v>인도</v>
          </cell>
        </row>
        <row r="158">
          <cell r="P158" t="str">
            <v>인도네시아</v>
          </cell>
        </row>
        <row r="159">
          <cell r="P159" t="str">
            <v>일본</v>
          </cell>
        </row>
        <row r="160">
          <cell r="P160" t="str">
            <v>자메이카</v>
          </cell>
        </row>
        <row r="161">
          <cell r="P161" t="str">
            <v>자이레</v>
          </cell>
        </row>
        <row r="162">
          <cell r="P162" t="str">
            <v>잠비아</v>
          </cell>
        </row>
        <row r="163">
          <cell r="P163" t="str">
            <v>적도기네</v>
          </cell>
        </row>
        <row r="164">
          <cell r="P164" t="str">
            <v>중국</v>
          </cell>
        </row>
        <row r="165">
          <cell r="P165" t="str">
            <v>중앙아프리카</v>
          </cell>
        </row>
        <row r="166">
          <cell r="P166" t="str">
            <v>지부티</v>
          </cell>
        </row>
        <row r="167">
          <cell r="P167" t="str">
            <v>지브롤터</v>
          </cell>
        </row>
        <row r="168">
          <cell r="P168" t="str">
            <v>짐바브웨</v>
          </cell>
        </row>
        <row r="169">
          <cell r="P169" t="str">
            <v>차드</v>
          </cell>
        </row>
        <row r="170">
          <cell r="P170" t="str">
            <v>체코</v>
          </cell>
        </row>
        <row r="171">
          <cell r="P171" t="str">
            <v>칠레</v>
          </cell>
        </row>
        <row r="172">
          <cell r="P172" t="str">
            <v>카나리아제도</v>
          </cell>
        </row>
        <row r="173">
          <cell r="P173" t="str">
            <v>카라비안</v>
          </cell>
        </row>
        <row r="174">
          <cell r="P174" t="str">
            <v>카메룬</v>
          </cell>
        </row>
        <row r="175">
          <cell r="P175" t="str">
            <v>카자흐스탄</v>
          </cell>
        </row>
        <row r="176">
          <cell r="P176" t="str">
            <v>카타르</v>
          </cell>
        </row>
        <row r="177">
          <cell r="P177" t="str">
            <v>캄보디아</v>
          </cell>
        </row>
        <row r="178">
          <cell r="P178" t="str">
            <v>캄푸차</v>
          </cell>
        </row>
        <row r="179">
          <cell r="P179" t="str">
            <v>캐나다</v>
          </cell>
        </row>
        <row r="180">
          <cell r="P180" t="str">
            <v>케냐</v>
          </cell>
        </row>
        <row r="181">
          <cell r="P181" t="str">
            <v>케이맨</v>
          </cell>
        </row>
        <row r="182">
          <cell r="P182" t="str">
            <v>코모로</v>
          </cell>
        </row>
        <row r="183">
          <cell r="P183" t="str">
            <v>코스타리카</v>
          </cell>
        </row>
        <row r="184">
          <cell r="P184" t="str">
            <v>콜롬비아</v>
          </cell>
        </row>
        <row r="185">
          <cell r="P185" t="str">
            <v>콩고</v>
          </cell>
        </row>
        <row r="186">
          <cell r="P186" t="str">
            <v>쿠바</v>
          </cell>
        </row>
        <row r="187">
          <cell r="P187" t="str">
            <v>쿠웨이트</v>
          </cell>
        </row>
        <row r="188">
          <cell r="P188" t="str">
            <v>쿡제도</v>
          </cell>
        </row>
        <row r="189">
          <cell r="P189" t="str">
            <v>키리바티</v>
          </cell>
        </row>
        <row r="190">
          <cell r="P190" t="str">
            <v>탄자니아</v>
          </cell>
        </row>
        <row r="191">
          <cell r="P191" t="str">
            <v>태국</v>
          </cell>
        </row>
        <row r="192">
          <cell r="P192" t="str">
            <v>터키</v>
          </cell>
        </row>
        <row r="193">
          <cell r="P193" t="str">
            <v>토켈리우</v>
          </cell>
        </row>
        <row r="194">
          <cell r="P194" t="str">
            <v>토코</v>
          </cell>
        </row>
        <row r="195">
          <cell r="P195" t="str">
            <v>통가</v>
          </cell>
        </row>
        <row r="196">
          <cell r="P196" t="str">
            <v>투발루</v>
          </cell>
        </row>
        <row r="197">
          <cell r="P197" t="str">
            <v>튀니지</v>
          </cell>
        </row>
        <row r="198">
          <cell r="P198" t="str">
            <v>트리니다드토바고</v>
          </cell>
        </row>
        <row r="199">
          <cell r="P199" t="str">
            <v>티모르</v>
          </cell>
        </row>
        <row r="200">
          <cell r="P200" t="str">
            <v>파나마</v>
          </cell>
        </row>
        <row r="201">
          <cell r="P201" t="str">
            <v>파라과이</v>
          </cell>
        </row>
        <row r="202">
          <cell r="P202" t="str">
            <v>파키스탄</v>
          </cell>
        </row>
        <row r="203">
          <cell r="P203" t="str">
            <v>파푸아뉴기니</v>
          </cell>
        </row>
        <row r="204">
          <cell r="P204" t="str">
            <v>팔라우</v>
          </cell>
        </row>
        <row r="205">
          <cell r="P205" t="str">
            <v>페루</v>
          </cell>
        </row>
        <row r="206">
          <cell r="P206" t="str">
            <v>포르투갈</v>
          </cell>
        </row>
        <row r="207">
          <cell r="P207" t="str">
            <v>포크랜드제도</v>
          </cell>
        </row>
        <row r="208">
          <cell r="P208" t="str">
            <v>폴란드</v>
          </cell>
        </row>
        <row r="209">
          <cell r="P209" t="str">
            <v>푸에르토리코</v>
          </cell>
        </row>
        <row r="210">
          <cell r="P210" t="str">
            <v>프랑스</v>
          </cell>
        </row>
        <row r="211">
          <cell r="P211" t="str">
            <v>프렌치폴리네시아</v>
          </cell>
        </row>
        <row r="212">
          <cell r="P212" t="str">
            <v>피지</v>
          </cell>
        </row>
        <row r="213">
          <cell r="P213" t="str">
            <v>핀란드</v>
          </cell>
        </row>
        <row r="214">
          <cell r="P214" t="str">
            <v>필리핀</v>
          </cell>
        </row>
        <row r="215">
          <cell r="P215" t="str">
            <v>헝가리</v>
          </cell>
        </row>
        <row r="216">
          <cell r="P216" t="str">
            <v>호주</v>
          </cell>
        </row>
        <row r="217">
          <cell r="P217" t="str">
            <v>홍콩</v>
          </cell>
        </row>
        <row r="218">
          <cell r="P218" t="str">
            <v>화러위즈아일랜드</v>
          </cell>
        </row>
        <row r="219">
          <cell r="P219" t="str">
            <v>St.빈센트그레나딘스</v>
          </cell>
        </row>
        <row r="220">
          <cell r="P220" t="str">
            <v>St.크리스토퍼네비스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근로자인적사항"/>
      <sheetName val="연봉책정내역"/>
      <sheetName val="근로계약서"/>
      <sheetName val="월임금산정표"/>
      <sheetName val="차이"/>
      <sheetName val="임금대장"/>
      <sheetName val="임금명세서"/>
      <sheetName val="윈(WIN)초음파(급여봉투)"/>
      <sheetName val="건강보험료정산분분할계획서"/>
      <sheetName val="Sheet1"/>
      <sheetName val="년차일수기준표(만지지말것)"/>
      <sheetName val="연차관리대장(만지지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근로자별인적사항(1)"/>
      <sheetName val="근로자명부(2)"/>
      <sheetName val="년차산정표(3)"/>
      <sheetName val="근로시간산정(4)"/>
      <sheetName val="최저임금계산(5)"/>
      <sheetName val="임금조정(6)"/>
      <sheetName val="근로계약내용(7)"/>
      <sheetName val="월별지급임금산정표(8)"/>
      <sheetName val="임금대장(9)"/>
      <sheetName val="임금명세서 (10)"/>
      <sheetName val="급여봉투 (1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이세액조견표"/>
      <sheetName val="국민연금"/>
      <sheetName val="의료보험"/>
      <sheetName val="명부"/>
      <sheetName val="일근태"/>
      <sheetName val="월근태"/>
      <sheetName val="급여대장"/>
      <sheetName val="계좌이체"/>
      <sheetName val="명세서"/>
    </sheetNames>
    <sheetDataSet>
      <sheetData sheetId="0"/>
      <sheetData sheetId="1"/>
      <sheetData sheetId="2"/>
      <sheetData sheetId="3">
        <row r="5">
          <cell r="B5">
            <v>1001</v>
          </cell>
        </row>
      </sheetData>
      <sheetData sheetId="4" refreshError="1"/>
      <sheetData sheetId="5">
        <row r="14">
          <cell r="C14">
            <v>1001</v>
          </cell>
          <cell r="D14" t="str">
            <v>김노순</v>
          </cell>
          <cell r="E14" t="str">
            <v>대표이사</v>
          </cell>
          <cell r="F14">
            <v>8125</v>
          </cell>
          <cell r="G14" t="str">
            <v>주</v>
          </cell>
          <cell r="H14" t="str">
            <v>정</v>
          </cell>
          <cell r="I14" t="str">
            <v>남</v>
          </cell>
          <cell r="J14">
            <v>31</v>
          </cell>
          <cell r="K14">
            <v>0</v>
          </cell>
          <cell r="L14">
            <v>8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1180000</v>
          </cell>
          <cell r="U14">
            <v>1180000</v>
          </cell>
          <cell r="V14">
            <v>0</v>
          </cell>
          <cell r="AB14">
            <v>1001</v>
          </cell>
          <cell r="AC14">
            <v>1000000</v>
          </cell>
          <cell r="AD14">
            <v>50000</v>
          </cell>
          <cell r="AE14">
            <v>0</v>
          </cell>
          <cell r="AF14">
            <v>130000</v>
          </cell>
          <cell r="AG14">
            <v>65000</v>
          </cell>
          <cell r="AH14">
            <v>0</v>
          </cell>
          <cell r="AK14">
            <v>-65000</v>
          </cell>
          <cell r="AL14">
            <v>1180000</v>
          </cell>
        </row>
        <row r="15">
          <cell r="C15">
            <v>1002</v>
          </cell>
          <cell r="D15" t="str">
            <v>김형필</v>
          </cell>
          <cell r="E15" t="str">
            <v>차장</v>
          </cell>
          <cell r="F15">
            <v>7500</v>
          </cell>
          <cell r="G15" t="str">
            <v>주</v>
          </cell>
          <cell r="H15" t="str">
            <v>정</v>
          </cell>
          <cell r="I15" t="str">
            <v>남</v>
          </cell>
          <cell r="J15">
            <v>31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  <cell r="Q15">
            <v>0</v>
          </cell>
          <cell r="R15">
            <v>0</v>
          </cell>
          <cell r="S15">
            <v>0</v>
          </cell>
          <cell r="T15">
            <v>1800000</v>
          </cell>
          <cell r="U15">
            <v>1800000</v>
          </cell>
          <cell r="V15">
            <v>0</v>
          </cell>
          <cell r="AB15">
            <v>1002</v>
          </cell>
          <cell r="AC15">
            <v>1860000</v>
          </cell>
          <cell r="AD15">
            <v>0</v>
          </cell>
          <cell r="AE15">
            <v>0</v>
          </cell>
          <cell r="AF15">
            <v>0</v>
          </cell>
          <cell r="AG15">
            <v>60000</v>
          </cell>
          <cell r="AH15">
            <v>0</v>
          </cell>
          <cell r="AK15">
            <v>-60000</v>
          </cell>
          <cell r="AL15">
            <v>1860000</v>
          </cell>
        </row>
        <row r="16">
          <cell r="C16">
            <v>1003</v>
          </cell>
          <cell r="D16" t="str">
            <v>추한상</v>
          </cell>
          <cell r="E16" t="str">
            <v>과장</v>
          </cell>
          <cell r="F16">
            <v>6250</v>
          </cell>
          <cell r="G16" t="str">
            <v>주</v>
          </cell>
          <cell r="H16" t="str">
            <v>정</v>
          </cell>
          <cell r="I16" t="str">
            <v>남</v>
          </cell>
          <cell r="J16">
            <v>7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1</v>
          </cell>
          <cell r="R16">
            <v>0</v>
          </cell>
          <cell r="S16">
            <v>0</v>
          </cell>
          <cell r="T16">
            <v>349895</v>
          </cell>
          <cell r="U16">
            <v>349895</v>
          </cell>
          <cell r="V16">
            <v>0</v>
          </cell>
          <cell r="AB16">
            <v>1003</v>
          </cell>
          <cell r="AC16">
            <v>225806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K16">
            <v>-104</v>
          </cell>
          <cell r="AL16">
            <v>225702</v>
          </cell>
        </row>
        <row r="17">
          <cell r="C17">
            <v>1004</v>
          </cell>
          <cell r="D17" t="str">
            <v>이경옥</v>
          </cell>
          <cell r="E17" t="str">
            <v>사원</v>
          </cell>
          <cell r="F17">
            <v>3375</v>
          </cell>
          <cell r="G17" t="str">
            <v>주</v>
          </cell>
          <cell r="H17" t="str">
            <v>일</v>
          </cell>
          <cell r="I17" t="str">
            <v>여</v>
          </cell>
          <cell r="J17">
            <v>31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</v>
          </cell>
          <cell r="S17">
            <v>0</v>
          </cell>
          <cell r="T17">
            <v>887625</v>
          </cell>
          <cell r="U17">
            <v>887625</v>
          </cell>
          <cell r="V17">
            <v>0</v>
          </cell>
          <cell r="AB17">
            <v>1004</v>
          </cell>
          <cell r="AC17">
            <v>837000</v>
          </cell>
          <cell r="AD17">
            <v>0</v>
          </cell>
          <cell r="AE17">
            <v>0</v>
          </cell>
          <cell r="AF17">
            <v>0</v>
          </cell>
          <cell r="AG17">
            <v>27000</v>
          </cell>
          <cell r="AH17">
            <v>27000</v>
          </cell>
          <cell r="AK17">
            <v>-3375</v>
          </cell>
          <cell r="AL17">
            <v>887625</v>
          </cell>
        </row>
        <row r="18">
          <cell r="C18">
            <v>1005</v>
          </cell>
          <cell r="D18" t="str">
            <v>김정숙</v>
          </cell>
          <cell r="E18" t="str">
            <v>주임</v>
          </cell>
          <cell r="F18">
            <v>3375</v>
          </cell>
          <cell r="G18" t="str">
            <v>주</v>
          </cell>
          <cell r="H18" t="str">
            <v>일</v>
          </cell>
          <cell r="I18" t="str">
            <v>여</v>
          </cell>
          <cell r="J18">
            <v>31</v>
          </cell>
          <cell r="K18">
            <v>0</v>
          </cell>
          <cell r="L18">
            <v>8</v>
          </cell>
          <cell r="M18">
            <v>4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</v>
          </cell>
          <cell r="T18">
            <v>961875</v>
          </cell>
          <cell r="U18">
            <v>961875</v>
          </cell>
          <cell r="V18">
            <v>0</v>
          </cell>
          <cell r="AB18">
            <v>1005</v>
          </cell>
          <cell r="AC18">
            <v>837000</v>
          </cell>
          <cell r="AD18">
            <v>0</v>
          </cell>
          <cell r="AE18">
            <v>20250</v>
          </cell>
          <cell r="AF18">
            <v>54000</v>
          </cell>
          <cell r="AG18">
            <v>27000</v>
          </cell>
          <cell r="AH18">
            <v>27000</v>
          </cell>
          <cell r="AK18">
            <v>-3375</v>
          </cell>
          <cell r="AL18">
            <v>961875</v>
          </cell>
        </row>
        <row r="19">
          <cell r="C19">
            <v>1006</v>
          </cell>
          <cell r="D19" t="str">
            <v>오선희</v>
          </cell>
          <cell r="E19" t="str">
            <v>사원</v>
          </cell>
          <cell r="F19">
            <v>3000</v>
          </cell>
          <cell r="G19" t="str">
            <v>주</v>
          </cell>
          <cell r="H19" t="str">
            <v>일</v>
          </cell>
          <cell r="I19" t="str">
            <v>여</v>
          </cell>
          <cell r="J19">
            <v>31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792000</v>
          </cell>
          <cell r="U19">
            <v>792000</v>
          </cell>
          <cell r="V19">
            <v>0</v>
          </cell>
          <cell r="AB19">
            <v>1006</v>
          </cell>
          <cell r="AC19">
            <v>744000</v>
          </cell>
          <cell r="AD19">
            <v>0</v>
          </cell>
          <cell r="AE19">
            <v>0</v>
          </cell>
          <cell r="AF19">
            <v>0</v>
          </cell>
          <cell r="AG19">
            <v>24000</v>
          </cell>
          <cell r="AH19">
            <v>24000</v>
          </cell>
          <cell r="AK19">
            <v>0</v>
          </cell>
          <cell r="AL19">
            <v>792000</v>
          </cell>
        </row>
        <row r="20">
          <cell r="C20">
            <v>1007</v>
          </cell>
          <cell r="D20" t="str">
            <v>신승억</v>
          </cell>
          <cell r="E20" t="str">
            <v>주임</v>
          </cell>
          <cell r="F20">
            <v>3750</v>
          </cell>
          <cell r="G20" t="str">
            <v>주</v>
          </cell>
          <cell r="H20" t="str">
            <v>일</v>
          </cell>
          <cell r="I20" t="str">
            <v>남</v>
          </cell>
          <cell r="J20">
            <v>31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960000</v>
          </cell>
          <cell r="U20">
            <v>960000</v>
          </cell>
          <cell r="V20">
            <v>0</v>
          </cell>
          <cell r="AB20">
            <v>1007</v>
          </cell>
          <cell r="AC20">
            <v>930000</v>
          </cell>
          <cell r="AD20">
            <v>0</v>
          </cell>
          <cell r="AE20">
            <v>0</v>
          </cell>
          <cell r="AF20">
            <v>0</v>
          </cell>
          <cell r="AG20">
            <v>30000</v>
          </cell>
          <cell r="AH20">
            <v>0</v>
          </cell>
          <cell r="AK20">
            <v>0</v>
          </cell>
          <cell r="AL20">
            <v>960000</v>
          </cell>
        </row>
        <row r="21">
          <cell r="C21">
            <v>1008</v>
          </cell>
          <cell r="D21" t="str">
            <v>구광열</v>
          </cell>
          <cell r="E21" t="str">
            <v>주임</v>
          </cell>
          <cell r="F21">
            <v>3375</v>
          </cell>
          <cell r="G21" t="str">
            <v>주</v>
          </cell>
          <cell r="H21" t="str">
            <v>일</v>
          </cell>
          <cell r="I21" t="str">
            <v>남</v>
          </cell>
          <cell r="J21">
            <v>31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864000</v>
          </cell>
          <cell r="U21">
            <v>864000</v>
          </cell>
          <cell r="V21">
            <v>0</v>
          </cell>
          <cell r="AB21">
            <v>1008</v>
          </cell>
          <cell r="AC21">
            <v>837000</v>
          </cell>
          <cell r="AD21">
            <v>0</v>
          </cell>
          <cell r="AE21">
            <v>0</v>
          </cell>
          <cell r="AF21">
            <v>0</v>
          </cell>
          <cell r="AG21">
            <v>27000</v>
          </cell>
          <cell r="AH21">
            <v>0</v>
          </cell>
          <cell r="AK21">
            <v>0</v>
          </cell>
          <cell r="AL21">
            <v>864000</v>
          </cell>
        </row>
        <row r="22">
          <cell r="C22">
            <v>1009</v>
          </cell>
          <cell r="D22" t="str">
            <v>최금윤</v>
          </cell>
          <cell r="E22" t="str">
            <v>대리</v>
          </cell>
          <cell r="F22">
            <v>5625</v>
          </cell>
          <cell r="G22" t="str">
            <v>주</v>
          </cell>
          <cell r="H22" t="str">
            <v>정</v>
          </cell>
          <cell r="I22" t="str">
            <v>남</v>
          </cell>
          <cell r="J22">
            <v>31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1440000</v>
          </cell>
          <cell r="U22">
            <v>1440000</v>
          </cell>
          <cell r="V22">
            <v>0</v>
          </cell>
          <cell r="AB22">
            <v>1009</v>
          </cell>
          <cell r="AC22">
            <v>1395000</v>
          </cell>
          <cell r="AD22">
            <v>0</v>
          </cell>
          <cell r="AE22">
            <v>0</v>
          </cell>
          <cell r="AF22">
            <v>0</v>
          </cell>
          <cell r="AG22">
            <v>45000</v>
          </cell>
          <cell r="AH22">
            <v>0</v>
          </cell>
          <cell r="AK22">
            <v>0</v>
          </cell>
          <cell r="AL22">
            <v>1440000</v>
          </cell>
        </row>
        <row r="23">
          <cell r="C23">
            <v>1010</v>
          </cell>
          <cell r="D23" t="str">
            <v>김진미</v>
          </cell>
          <cell r="E23" t="str">
            <v>대리</v>
          </cell>
          <cell r="F23">
            <v>5625</v>
          </cell>
          <cell r="G23" t="str">
            <v>야</v>
          </cell>
          <cell r="H23" t="str">
            <v>정</v>
          </cell>
          <cell r="I23" t="str">
            <v>남</v>
          </cell>
          <cell r="J23">
            <v>31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1440000</v>
          </cell>
          <cell r="U23">
            <v>1440000</v>
          </cell>
          <cell r="V23">
            <v>0</v>
          </cell>
          <cell r="AB23">
            <v>1010</v>
          </cell>
          <cell r="AC23">
            <v>1395000</v>
          </cell>
          <cell r="AD23">
            <v>0</v>
          </cell>
          <cell r="AE23">
            <v>0</v>
          </cell>
          <cell r="AF23">
            <v>0</v>
          </cell>
          <cell r="AG23">
            <v>45000</v>
          </cell>
          <cell r="AH23">
            <v>0</v>
          </cell>
          <cell r="AK23">
            <v>0</v>
          </cell>
          <cell r="AL23">
            <v>1440000</v>
          </cell>
        </row>
        <row r="24">
          <cell r="C24">
            <v>1011</v>
          </cell>
          <cell r="D24" t="str">
            <v>김인수</v>
          </cell>
          <cell r="E24" t="str">
            <v>계장</v>
          </cell>
          <cell r="F24">
            <v>5000</v>
          </cell>
          <cell r="G24" t="str">
            <v>야</v>
          </cell>
          <cell r="H24" t="str">
            <v>정</v>
          </cell>
          <cell r="I24" t="str">
            <v>남</v>
          </cell>
          <cell r="J24">
            <v>31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1280000</v>
          </cell>
          <cell r="U24">
            <v>1280000</v>
          </cell>
          <cell r="V24">
            <v>0</v>
          </cell>
          <cell r="AB24">
            <v>1011</v>
          </cell>
          <cell r="AC24">
            <v>1240000</v>
          </cell>
          <cell r="AD24">
            <v>0</v>
          </cell>
          <cell r="AE24">
            <v>0</v>
          </cell>
          <cell r="AF24">
            <v>0</v>
          </cell>
          <cell r="AG24">
            <v>40000</v>
          </cell>
          <cell r="AH24">
            <v>0</v>
          </cell>
          <cell r="AK24">
            <v>0</v>
          </cell>
          <cell r="AL24">
            <v>1280000</v>
          </cell>
        </row>
        <row r="25">
          <cell r="C25">
            <v>1012</v>
          </cell>
          <cell r="D25" t="str">
            <v>김현숙</v>
          </cell>
          <cell r="E25" t="str">
            <v>주임</v>
          </cell>
          <cell r="F25">
            <v>4375</v>
          </cell>
          <cell r="G25" t="str">
            <v>주</v>
          </cell>
          <cell r="H25" t="str">
            <v>정</v>
          </cell>
          <cell r="I25" t="str">
            <v>여</v>
          </cell>
          <cell r="J25">
            <v>31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1155000</v>
          </cell>
          <cell r="U25">
            <v>1155000</v>
          </cell>
          <cell r="V25">
            <v>0</v>
          </cell>
          <cell r="AB25">
            <v>1012</v>
          </cell>
          <cell r="AC25">
            <v>1085000</v>
          </cell>
          <cell r="AD25">
            <v>0</v>
          </cell>
          <cell r="AE25">
            <v>0</v>
          </cell>
          <cell r="AF25">
            <v>0</v>
          </cell>
          <cell r="AG25">
            <v>35000</v>
          </cell>
          <cell r="AH25">
            <v>35000</v>
          </cell>
          <cell r="AK25">
            <v>0</v>
          </cell>
          <cell r="AL25">
            <v>1155000</v>
          </cell>
        </row>
        <row r="26">
          <cell r="C26">
            <v>1013</v>
          </cell>
          <cell r="D26" t="str">
            <v>황인묵</v>
          </cell>
          <cell r="E26" t="str">
            <v>주임</v>
          </cell>
          <cell r="F26">
            <v>4375</v>
          </cell>
          <cell r="G26" t="str">
            <v>주</v>
          </cell>
          <cell r="H26" t="str">
            <v>정</v>
          </cell>
          <cell r="I26" t="str">
            <v>남</v>
          </cell>
          <cell r="J26">
            <v>31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1120000</v>
          </cell>
          <cell r="U26">
            <v>1120000</v>
          </cell>
          <cell r="V26">
            <v>0</v>
          </cell>
          <cell r="AB26">
            <v>1013</v>
          </cell>
          <cell r="AC26">
            <v>1085000</v>
          </cell>
          <cell r="AD26">
            <v>0</v>
          </cell>
          <cell r="AE26">
            <v>0</v>
          </cell>
          <cell r="AF26">
            <v>0</v>
          </cell>
          <cell r="AG26">
            <v>35000</v>
          </cell>
          <cell r="AH26">
            <v>0</v>
          </cell>
          <cell r="AK26">
            <v>0</v>
          </cell>
          <cell r="AL26">
            <v>1120000</v>
          </cell>
        </row>
        <row r="27">
          <cell r="C27">
            <v>1014</v>
          </cell>
          <cell r="D27" t="str">
            <v>설정옥</v>
          </cell>
          <cell r="E27" t="str">
            <v>주임</v>
          </cell>
          <cell r="F27">
            <v>4375</v>
          </cell>
          <cell r="G27" t="str">
            <v>주</v>
          </cell>
          <cell r="H27" t="str">
            <v>정</v>
          </cell>
          <cell r="I27" t="str">
            <v>남</v>
          </cell>
          <cell r="J27">
            <v>31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1120000</v>
          </cell>
          <cell r="U27">
            <v>1120000</v>
          </cell>
          <cell r="V27">
            <v>0</v>
          </cell>
          <cell r="AB27">
            <v>1014</v>
          </cell>
          <cell r="AC27">
            <v>1085000</v>
          </cell>
          <cell r="AD27">
            <v>0</v>
          </cell>
          <cell r="AE27">
            <v>0</v>
          </cell>
          <cell r="AF27">
            <v>0</v>
          </cell>
          <cell r="AG27">
            <v>35000</v>
          </cell>
          <cell r="AH27">
            <v>0</v>
          </cell>
          <cell r="AK27">
            <v>0</v>
          </cell>
          <cell r="AL27">
            <v>1120000</v>
          </cell>
        </row>
        <row r="28">
          <cell r="C28">
            <v>1015</v>
          </cell>
          <cell r="D28" t="str">
            <v>배현정</v>
          </cell>
          <cell r="E28" t="str">
            <v>사원</v>
          </cell>
          <cell r="F28">
            <v>3000</v>
          </cell>
          <cell r="G28" t="str">
            <v>주</v>
          </cell>
          <cell r="H28" t="str">
            <v>일</v>
          </cell>
          <cell r="I28" t="str">
            <v>여</v>
          </cell>
          <cell r="J28">
            <v>31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792000</v>
          </cell>
          <cell r="U28">
            <v>792000</v>
          </cell>
          <cell r="V28">
            <v>0</v>
          </cell>
          <cell r="AB28">
            <v>1015</v>
          </cell>
          <cell r="AC28">
            <v>744000</v>
          </cell>
          <cell r="AD28">
            <v>0</v>
          </cell>
          <cell r="AE28">
            <v>0</v>
          </cell>
          <cell r="AF28">
            <v>0</v>
          </cell>
          <cell r="AG28">
            <v>24000</v>
          </cell>
          <cell r="AH28">
            <v>24000</v>
          </cell>
          <cell r="AK28">
            <v>0</v>
          </cell>
          <cell r="AL28">
            <v>792000</v>
          </cell>
        </row>
        <row r="29">
          <cell r="C29">
            <v>1016</v>
          </cell>
          <cell r="D29" t="str">
            <v>정연숙</v>
          </cell>
          <cell r="E29" t="str">
            <v>사원</v>
          </cell>
          <cell r="F29">
            <v>2875</v>
          </cell>
          <cell r="G29" t="str">
            <v>주</v>
          </cell>
          <cell r="H29" t="str">
            <v>일</v>
          </cell>
          <cell r="I29" t="str">
            <v>여</v>
          </cell>
          <cell r="J29">
            <v>31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759000</v>
          </cell>
          <cell r="U29">
            <v>759000</v>
          </cell>
          <cell r="V29">
            <v>0</v>
          </cell>
          <cell r="AB29">
            <v>1016</v>
          </cell>
          <cell r="AC29">
            <v>713000</v>
          </cell>
          <cell r="AD29">
            <v>0</v>
          </cell>
          <cell r="AE29">
            <v>0</v>
          </cell>
          <cell r="AF29">
            <v>0</v>
          </cell>
          <cell r="AG29">
            <v>23000</v>
          </cell>
          <cell r="AH29">
            <v>23000</v>
          </cell>
          <cell r="AK29">
            <v>0</v>
          </cell>
          <cell r="AL29">
            <v>759000</v>
          </cell>
        </row>
        <row r="30">
          <cell r="C30">
            <v>1017</v>
          </cell>
          <cell r="D30" t="str">
            <v>정승태</v>
          </cell>
          <cell r="E30" t="str">
            <v>사원</v>
          </cell>
          <cell r="F30">
            <v>3125</v>
          </cell>
          <cell r="G30" t="str">
            <v>주</v>
          </cell>
          <cell r="H30" t="str">
            <v>일</v>
          </cell>
          <cell r="I30" t="str">
            <v>남</v>
          </cell>
          <cell r="J30">
            <v>31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800000</v>
          </cell>
          <cell r="U30">
            <v>800000</v>
          </cell>
          <cell r="V30">
            <v>0</v>
          </cell>
          <cell r="AB30">
            <v>1017</v>
          </cell>
          <cell r="AC30">
            <v>775000</v>
          </cell>
          <cell r="AD30">
            <v>0</v>
          </cell>
          <cell r="AE30">
            <v>0</v>
          </cell>
          <cell r="AF30">
            <v>0</v>
          </cell>
          <cell r="AG30">
            <v>25000</v>
          </cell>
          <cell r="AH30">
            <v>0</v>
          </cell>
          <cell r="AK30">
            <v>0</v>
          </cell>
          <cell r="AL30">
            <v>800000</v>
          </cell>
        </row>
        <row r="31">
          <cell r="C31">
            <v>1018</v>
          </cell>
          <cell r="D31" t="str">
            <v>장성업</v>
          </cell>
          <cell r="E31" t="str">
            <v>주임</v>
          </cell>
          <cell r="F31">
            <v>0</v>
          </cell>
          <cell r="G31" t="str">
            <v>주</v>
          </cell>
          <cell r="H31" t="str">
            <v>정</v>
          </cell>
          <cell r="I31" t="str">
            <v>남</v>
          </cell>
          <cell r="J31">
            <v>31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AB31">
            <v>1018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K31">
            <v>0</v>
          </cell>
          <cell r="AL31">
            <v>0</v>
          </cell>
        </row>
        <row r="32">
          <cell r="C32">
            <v>2001</v>
          </cell>
          <cell r="D32" t="str">
            <v>주곤숙</v>
          </cell>
          <cell r="E32" t="str">
            <v>사원</v>
          </cell>
          <cell r="F32">
            <v>2495</v>
          </cell>
          <cell r="G32" t="str">
            <v>주</v>
          </cell>
          <cell r="H32" t="str">
            <v>일</v>
          </cell>
          <cell r="I32" t="str">
            <v>여</v>
          </cell>
          <cell r="J32">
            <v>31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658680</v>
          </cell>
          <cell r="U32">
            <v>658680</v>
          </cell>
          <cell r="V32">
            <v>0</v>
          </cell>
          <cell r="AB32">
            <v>2001</v>
          </cell>
          <cell r="AC32">
            <v>618760</v>
          </cell>
          <cell r="AD32">
            <v>0</v>
          </cell>
          <cell r="AE32">
            <v>0</v>
          </cell>
          <cell r="AF32">
            <v>0</v>
          </cell>
          <cell r="AG32">
            <v>19960</v>
          </cell>
          <cell r="AH32">
            <v>19960</v>
          </cell>
          <cell r="AK32">
            <v>0</v>
          </cell>
          <cell r="AL32">
            <v>658680</v>
          </cell>
        </row>
        <row r="33">
          <cell r="C33">
            <v>2002</v>
          </cell>
          <cell r="D33" t="str">
            <v>양회자</v>
          </cell>
          <cell r="E33" t="str">
            <v>사원</v>
          </cell>
          <cell r="F33">
            <v>2575</v>
          </cell>
          <cell r="G33" t="str">
            <v>주</v>
          </cell>
          <cell r="H33" t="str">
            <v>일</v>
          </cell>
          <cell r="I33" t="str">
            <v>여</v>
          </cell>
          <cell r="J33">
            <v>31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679800</v>
          </cell>
          <cell r="U33">
            <v>679800</v>
          </cell>
          <cell r="V33">
            <v>0</v>
          </cell>
          <cell r="AB33">
            <v>2002</v>
          </cell>
          <cell r="AC33">
            <v>638600</v>
          </cell>
          <cell r="AD33">
            <v>0</v>
          </cell>
          <cell r="AE33">
            <v>0</v>
          </cell>
          <cell r="AF33">
            <v>0</v>
          </cell>
          <cell r="AG33">
            <v>20600</v>
          </cell>
          <cell r="AH33">
            <v>20600</v>
          </cell>
          <cell r="AK33">
            <v>0</v>
          </cell>
          <cell r="AL33">
            <v>679800</v>
          </cell>
        </row>
        <row r="34">
          <cell r="C34">
            <v>2003</v>
          </cell>
          <cell r="D34" t="str">
            <v>권금옥</v>
          </cell>
          <cell r="E34" t="str">
            <v>사원</v>
          </cell>
          <cell r="F34">
            <v>2486.3000000000002</v>
          </cell>
          <cell r="G34" t="str">
            <v>주</v>
          </cell>
          <cell r="H34" t="str">
            <v>일</v>
          </cell>
          <cell r="I34" t="str">
            <v>여</v>
          </cell>
          <cell r="J34">
            <v>31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656383.20000000007</v>
          </cell>
          <cell r="U34">
            <v>656383.20000000007</v>
          </cell>
          <cell r="V34">
            <v>0</v>
          </cell>
          <cell r="AB34">
            <v>2003</v>
          </cell>
          <cell r="AC34">
            <v>616602</v>
          </cell>
          <cell r="AD34">
            <v>0</v>
          </cell>
          <cell r="AE34">
            <v>0</v>
          </cell>
          <cell r="AF34">
            <v>0</v>
          </cell>
          <cell r="AG34">
            <v>19890</v>
          </cell>
          <cell r="AH34">
            <v>19890</v>
          </cell>
          <cell r="AK34">
            <v>0</v>
          </cell>
          <cell r="AL34">
            <v>656382</v>
          </cell>
        </row>
        <row r="35">
          <cell r="C35">
            <v>2004</v>
          </cell>
          <cell r="D35" t="str">
            <v>최금주</v>
          </cell>
          <cell r="E35" t="str">
            <v>사원</v>
          </cell>
          <cell r="F35">
            <v>2392.5</v>
          </cell>
          <cell r="G35" t="str">
            <v>주</v>
          </cell>
          <cell r="H35" t="str">
            <v>일</v>
          </cell>
          <cell r="I35" t="str">
            <v>여</v>
          </cell>
          <cell r="J35">
            <v>31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631620</v>
          </cell>
          <cell r="U35">
            <v>631620</v>
          </cell>
          <cell r="V35">
            <v>0</v>
          </cell>
          <cell r="AB35">
            <v>2004</v>
          </cell>
          <cell r="AC35">
            <v>593340</v>
          </cell>
          <cell r="AD35">
            <v>0</v>
          </cell>
          <cell r="AE35">
            <v>0</v>
          </cell>
          <cell r="AF35">
            <v>0</v>
          </cell>
          <cell r="AG35">
            <v>19140</v>
          </cell>
          <cell r="AH35">
            <v>19140</v>
          </cell>
          <cell r="AK35">
            <v>0</v>
          </cell>
          <cell r="AL35">
            <v>631620</v>
          </cell>
        </row>
        <row r="36">
          <cell r="C36">
            <v>2005</v>
          </cell>
          <cell r="D36" t="str">
            <v>주계숙</v>
          </cell>
          <cell r="E36" t="str">
            <v>사원</v>
          </cell>
          <cell r="F36">
            <v>2440</v>
          </cell>
          <cell r="G36" t="str">
            <v>주</v>
          </cell>
          <cell r="H36" t="str">
            <v>일</v>
          </cell>
          <cell r="I36" t="str">
            <v>여</v>
          </cell>
          <cell r="J36">
            <v>31</v>
          </cell>
          <cell r="K36">
            <v>0</v>
          </cell>
          <cell r="L36">
            <v>8</v>
          </cell>
          <cell r="M36">
            <v>4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697840</v>
          </cell>
          <cell r="U36">
            <v>644160</v>
          </cell>
          <cell r="V36">
            <v>53680</v>
          </cell>
          <cell r="AB36">
            <v>2005</v>
          </cell>
          <cell r="AC36">
            <v>605120</v>
          </cell>
          <cell r="AD36">
            <v>0</v>
          </cell>
          <cell r="AE36">
            <v>14640</v>
          </cell>
          <cell r="AF36">
            <v>39040</v>
          </cell>
          <cell r="AG36">
            <v>19520</v>
          </cell>
          <cell r="AH36">
            <v>19520</v>
          </cell>
          <cell r="AK36">
            <v>0</v>
          </cell>
          <cell r="AL36">
            <v>697840</v>
          </cell>
        </row>
        <row r="37">
          <cell r="C37">
            <v>2006</v>
          </cell>
          <cell r="D37" t="str">
            <v>이순옥(b)</v>
          </cell>
          <cell r="E37" t="str">
            <v>사원</v>
          </cell>
          <cell r="F37">
            <v>2421.3000000000002</v>
          </cell>
          <cell r="G37" t="str">
            <v>주</v>
          </cell>
          <cell r="H37" t="str">
            <v>일</v>
          </cell>
          <cell r="I37" t="str">
            <v>여</v>
          </cell>
          <cell r="J37">
            <v>31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639223.20000000007</v>
          </cell>
          <cell r="U37">
            <v>639223.20000000007</v>
          </cell>
          <cell r="V37">
            <v>0</v>
          </cell>
          <cell r="AB37">
            <v>2006</v>
          </cell>
          <cell r="AC37">
            <v>600482</v>
          </cell>
          <cell r="AD37">
            <v>0</v>
          </cell>
          <cell r="AE37">
            <v>0</v>
          </cell>
          <cell r="AF37">
            <v>0</v>
          </cell>
          <cell r="AG37">
            <v>19370</v>
          </cell>
          <cell r="AH37">
            <v>19370</v>
          </cell>
          <cell r="AK37">
            <v>0</v>
          </cell>
          <cell r="AL37">
            <v>639222</v>
          </cell>
        </row>
        <row r="38">
          <cell r="C38">
            <v>2007</v>
          </cell>
          <cell r="D38" t="str">
            <v>이은영</v>
          </cell>
          <cell r="E38" t="str">
            <v>사원</v>
          </cell>
          <cell r="F38">
            <v>2360</v>
          </cell>
          <cell r="G38" t="str">
            <v>주</v>
          </cell>
          <cell r="H38" t="str">
            <v>일</v>
          </cell>
          <cell r="I38" t="str">
            <v>여</v>
          </cell>
          <cell r="J38">
            <v>31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623040</v>
          </cell>
          <cell r="U38">
            <v>623040</v>
          </cell>
          <cell r="V38">
            <v>0</v>
          </cell>
          <cell r="AB38">
            <v>2007</v>
          </cell>
          <cell r="AC38">
            <v>585280</v>
          </cell>
          <cell r="AD38">
            <v>0</v>
          </cell>
          <cell r="AE38">
            <v>0</v>
          </cell>
          <cell r="AF38">
            <v>0</v>
          </cell>
          <cell r="AG38">
            <v>18880</v>
          </cell>
          <cell r="AH38">
            <v>18880</v>
          </cell>
          <cell r="AK38">
            <v>0</v>
          </cell>
          <cell r="AL38">
            <v>623040</v>
          </cell>
        </row>
        <row r="39">
          <cell r="C39">
            <v>2008</v>
          </cell>
          <cell r="D39" t="str">
            <v>이순희</v>
          </cell>
          <cell r="E39" t="str">
            <v>사원</v>
          </cell>
          <cell r="F39">
            <v>2362.5</v>
          </cell>
          <cell r="G39" t="str">
            <v>주</v>
          </cell>
          <cell r="H39" t="str">
            <v>일</v>
          </cell>
          <cell r="I39" t="str">
            <v>여</v>
          </cell>
          <cell r="J39">
            <v>31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623700</v>
          </cell>
          <cell r="U39">
            <v>623700</v>
          </cell>
          <cell r="V39">
            <v>0</v>
          </cell>
          <cell r="AB39">
            <v>2008</v>
          </cell>
          <cell r="AC39">
            <v>585900</v>
          </cell>
          <cell r="AD39">
            <v>0</v>
          </cell>
          <cell r="AE39">
            <v>0</v>
          </cell>
          <cell r="AF39">
            <v>0</v>
          </cell>
          <cell r="AG39">
            <v>18900</v>
          </cell>
          <cell r="AH39">
            <v>18900</v>
          </cell>
          <cell r="AK39">
            <v>0</v>
          </cell>
          <cell r="AL39">
            <v>623700</v>
          </cell>
        </row>
        <row r="40">
          <cell r="C40">
            <v>2009</v>
          </cell>
          <cell r="D40" t="str">
            <v>김선희</v>
          </cell>
          <cell r="E40" t="str">
            <v>사원</v>
          </cell>
          <cell r="F40">
            <v>2312.5</v>
          </cell>
          <cell r="G40" t="str">
            <v>주</v>
          </cell>
          <cell r="H40" t="str">
            <v>일</v>
          </cell>
          <cell r="I40" t="str">
            <v>여</v>
          </cell>
          <cell r="J40">
            <v>31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610500</v>
          </cell>
          <cell r="U40">
            <v>610500</v>
          </cell>
          <cell r="V40">
            <v>0</v>
          </cell>
          <cell r="AB40">
            <v>2009</v>
          </cell>
          <cell r="AC40">
            <v>573500</v>
          </cell>
          <cell r="AD40">
            <v>0</v>
          </cell>
          <cell r="AE40">
            <v>0</v>
          </cell>
          <cell r="AF40">
            <v>0</v>
          </cell>
          <cell r="AG40">
            <v>18500</v>
          </cell>
          <cell r="AH40">
            <v>18500</v>
          </cell>
          <cell r="AK40">
            <v>0</v>
          </cell>
          <cell r="AL40">
            <v>610500</v>
          </cell>
        </row>
        <row r="41">
          <cell r="C41">
            <v>2010</v>
          </cell>
          <cell r="D41" t="str">
            <v>오미선</v>
          </cell>
          <cell r="E41" t="str">
            <v>사원</v>
          </cell>
          <cell r="F41">
            <v>2312.5</v>
          </cell>
          <cell r="G41" t="str">
            <v>주</v>
          </cell>
          <cell r="H41" t="str">
            <v>일</v>
          </cell>
          <cell r="I41" t="str">
            <v>여</v>
          </cell>
          <cell r="J41">
            <v>31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610500</v>
          </cell>
          <cell r="U41">
            <v>610500</v>
          </cell>
          <cell r="V41">
            <v>0</v>
          </cell>
          <cell r="AB41">
            <v>2010</v>
          </cell>
          <cell r="AC41">
            <v>573500</v>
          </cell>
          <cell r="AD41">
            <v>0</v>
          </cell>
          <cell r="AE41">
            <v>0</v>
          </cell>
          <cell r="AF41">
            <v>0</v>
          </cell>
          <cell r="AG41">
            <v>18500</v>
          </cell>
          <cell r="AH41">
            <v>18500</v>
          </cell>
          <cell r="AK41">
            <v>0</v>
          </cell>
          <cell r="AL41">
            <v>610500</v>
          </cell>
        </row>
        <row r="42">
          <cell r="C42">
            <v>2011</v>
          </cell>
          <cell r="D42" t="str">
            <v>허재익</v>
          </cell>
          <cell r="E42" t="str">
            <v>사원</v>
          </cell>
          <cell r="F42">
            <v>4000</v>
          </cell>
          <cell r="G42" t="str">
            <v>주</v>
          </cell>
          <cell r="H42" t="str">
            <v>일</v>
          </cell>
          <cell r="I42" t="str">
            <v>남</v>
          </cell>
          <cell r="J42">
            <v>31</v>
          </cell>
          <cell r="K42">
            <v>0</v>
          </cell>
          <cell r="L42">
            <v>32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1280000</v>
          </cell>
          <cell r="U42">
            <v>1280000</v>
          </cell>
          <cell r="V42">
            <v>0</v>
          </cell>
          <cell r="AB42">
            <v>2011</v>
          </cell>
          <cell r="AC42">
            <v>992000</v>
          </cell>
          <cell r="AD42">
            <v>0</v>
          </cell>
          <cell r="AE42">
            <v>0</v>
          </cell>
          <cell r="AF42">
            <v>160000</v>
          </cell>
          <cell r="AG42">
            <v>32000</v>
          </cell>
          <cell r="AH42">
            <v>0</v>
          </cell>
          <cell r="AK42">
            <v>0</v>
          </cell>
          <cell r="AL42">
            <v>1184000</v>
          </cell>
        </row>
        <row r="43">
          <cell r="C43">
            <v>3001</v>
          </cell>
          <cell r="D43" t="str">
            <v>김현자</v>
          </cell>
          <cell r="E43" t="str">
            <v>사원</v>
          </cell>
          <cell r="F43">
            <v>2547.5</v>
          </cell>
          <cell r="G43" t="str">
            <v>주</v>
          </cell>
          <cell r="H43" t="str">
            <v>일</v>
          </cell>
          <cell r="I43" t="str">
            <v>여</v>
          </cell>
          <cell r="J43">
            <v>31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672540</v>
          </cell>
          <cell r="U43">
            <v>672540</v>
          </cell>
          <cell r="V43">
            <v>0</v>
          </cell>
          <cell r="AB43">
            <v>3001</v>
          </cell>
          <cell r="AC43">
            <v>631780</v>
          </cell>
          <cell r="AD43">
            <v>0</v>
          </cell>
          <cell r="AE43">
            <v>0</v>
          </cell>
          <cell r="AF43">
            <v>0</v>
          </cell>
          <cell r="AG43">
            <v>20380</v>
          </cell>
          <cell r="AH43">
            <v>20380</v>
          </cell>
          <cell r="AK43">
            <v>0</v>
          </cell>
          <cell r="AL43">
            <v>672540</v>
          </cell>
        </row>
        <row r="44">
          <cell r="C44">
            <v>3002</v>
          </cell>
          <cell r="D44" t="str">
            <v>김재인</v>
          </cell>
          <cell r="E44" t="str">
            <v>사원</v>
          </cell>
          <cell r="F44">
            <v>2362.5</v>
          </cell>
          <cell r="G44" t="str">
            <v>주</v>
          </cell>
          <cell r="H44" t="str">
            <v>일</v>
          </cell>
          <cell r="I44" t="str">
            <v>여</v>
          </cell>
          <cell r="J44">
            <v>31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623700</v>
          </cell>
          <cell r="U44">
            <v>623700</v>
          </cell>
          <cell r="V44">
            <v>0</v>
          </cell>
          <cell r="AB44">
            <v>3002</v>
          </cell>
          <cell r="AC44">
            <v>585900</v>
          </cell>
          <cell r="AD44">
            <v>0</v>
          </cell>
          <cell r="AE44">
            <v>0</v>
          </cell>
          <cell r="AF44">
            <v>0</v>
          </cell>
          <cell r="AG44">
            <v>18900</v>
          </cell>
          <cell r="AH44">
            <v>18900</v>
          </cell>
          <cell r="AK44">
            <v>0</v>
          </cell>
          <cell r="AL44">
            <v>623700</v>
          </cell>
        </row>
        <row r="45">
          <cell r="C45">
            <v>3003</v>
          </cell>
          <cell r="D45" t="str">
            <v>임규남</v>
          </cell>
          <cell r="E45" t="str">
            <v>사원</v>
          </cell>
          <cell r="F45">
            <v>2415</v>
          </cell>
          <cell r="G45" t="str">
            <v>주</v>
          </cell>
          <cell r="H45" t="str">
            <v>일</v>
          </cell>
          <cell r="I45" t="str">
            <v>여</v>
          </cell>
          <cell r="J45">
            <v>31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637560</v>
          </cell>
          <cell r="U45">
            <v>637560</v>
          </cell>
          <cell r="V45">
            <v>0</v>
          </cell>
          <cell r="AB45">
            <v>3003</v>
          </cell>
          <cell r="AC45">
            <v>598920</v>
          </cell>
          <cell r="AD45">
            <v>0</v>
          </cell>
          <cell r="AE45">
            <v>0</v>
          </cell>
          <cell r="AF45">
            <v>0</v>
          </cell>
          <cell r="AG45">
            <v>19320</v>
          </cell>
          <cell r="AH45">
            <v>19320</v>
          </cell>
          <cell r="AK45">
            <v>0</v>
          </cell>
          <cell r="AL45">
            <v>637560</v>
          </cell>
        </row>
        <row r="46">
          <cell r="C46">
            <v>3004</v>
          </cell>
          <cell r="D46" t="str">
            <v>이갑선</v>
          </cell>
          <cell r="E46" t="str">
            <v>사원</v>
          </cell>
          <cell r="F46">
            <v>2410</v>
          </cell>
          <cell r="G46" t="str">
            <v>주</v>
          </cell>
          <cell r="H46" t="str">
            <v>일</v>
          </cell>
          <cell r="I46" t="str">
            <v>여</v>
          </cell>
          <cell r="J46">
            <v>31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636240</v>
          </cell>
          <cell r="U46">
            <v>636240</v>
          </cell>
          <cell r="V46">
            <v>0</v>
          </cell>
          <cell r="AB46">
            <v>3004</v>
          </cell>
          <cell r="AC46">
            <v>597680</v>
          </cell>
          <cell r="AD46">
            <v>0</v>
          </cell>
          <cell r="AE46">
            <v>0</v>
          </cell>
          <cell r="AF46">
            <v>0</v>
          </cell>
          <cell r="AG46">
            <v>19280</v>
          </cell>
          <cell r="AH46">
            <v>19280</v>
          </cell>
          <cell r="AK46">
            <v>0</v>
          </cell>
          <cell r="AL46">
            <v>636240</v>
          </cell>
        </row>
        <row r="47">
          <cell r="C47">
            <v>3005</v>
          </cell>
          <cell r="D47" t="str">
            <v>황영자</v>
          </cell>
          <cell r="E47" t="str">
            <v>사원</v>
          </cell>
          <cell r="F47">
            <v>2312.5</v>
          </cell>
          <cell r="G47" t="str">
            <v>주</v>
          </cell>
          <cell r="H47" t="str">
            <v>일</v>
          </cell>
          <cell r="I47" t="str">
            <v>여</v>
          </cell>
          <cell r="J47">
            <v>31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610500</v>
          </cell>
          <cell r="U47">
            <v>610500</v>
          </cell>
          <cell r="V47">
            <v>0</v>
          </cell>
          <cell r="AB47">
            <v>3005</v>
          </cell>
          <cell r="AC47">
            <v>573500</v>
          </cell>
          <cell r="AD47">
            <v>0</v>
          </cell>
          <cell r="AE47">
            <v>0</v>
          </cell>
          <cell r="AF47">
            <v>0</v>
          </cell>
          <cell r="AG47">
            <v>18500</v>
          </cell>
          <cell r="AH47">
            <v>18500</v>
          </cell>
          <cell r="AK47">
            <v>0</v>
          </cell>
          <cell r="AL47">
            <v>610500</v>
          </cell>
        </row>
        <row r="48">
          <cell r="C48">
            <v>3006</v>
          </cell>
          <cell r="D48" t="str">
            <v>조귀자</v>
          </cell>
          <cell r="E48" t="str">
            <v>사원</v>
          </cell>
          <cell r="F48">
            <v>2312.5</v>
          </cell>
          <cell r="G48" t="str">
            <v>주</v>
          </cell>
          <cell r="H48" t="str">
            <v>일</v>
          </cell>
          <cell r="I48" t="str">
            <v>여</v>
          </cell>
          <cell r="J48">
            <v>31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610500</v>
          </cell>
          <cell r="U48">
            <v>610500</v>
          </cell>
          <cell r="V48">
            <v>0</v>
          </cell>
          <cell r="AB48">
            <v>3006</v>
          </cell>
          <cell r="AC48">
            <v>573500</v>
          </cell>
          <cell r="AD48">
            <v>0</v>
          </cell>
          <cell r="AE48">
            <v>0</v>
          </cell>
          <cell r="AF48">
            <v>0</v>
          </cell>
          <cell r="AG48">
            <v>18500</v>
          </cell>
          <cell r="AH48">
            <v>18500</v>
          </cell>
          <cell r="AK48">
            <v>0</v>
          </cell>
          <cell r="AL48">
            <v>610500</v>
          </cell>
        </row>
        <row r="49">
          <cell r="C49">
            <v>3007</v>
          </cell>
          <cell r="D49" t="str">
            <v>김명예</v>
          </cell>
          <cell r="E49" t="str">
            <v>사원</v>
          </cell>
          <cell r="F49">
            <v>2446.3000000000002</v>
          </cell>
          <cell r="G49" t="str">
            <v>주</v>
          </cell>
          <cell r="H49" t="str">
            <v>일</v>
          </cell>
          <cell r="I49" t="str">
            <v>여</v>
          </cell>
          <cell r="J49">
            <v>31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645823.20000000007</v>
          </cell>
          <cell r="U49">
            <v>645823.20000000007</v>
          </cell>
          <cell r="V49">
            <v>0</v>
          </cell>
          <cell r="AB49">
            <v>3007</v>
          </cell>
          <cell r="AC49">
            <v>606682</v>
          </cell>
          <cell r="AD49">
            <v>0</v>
          </cell>
          <cell r="AE49">
            <v>0</v>
          </cell>
          <cell r="AF49">
            <v>0</v>
          </cell>
          <cell r="AG49">
            <v>19570</v>
          </cell>
          <cell r="AH49">
            <v>19570</v>
          </cell>
          <cell r="AK49">
            <v>0</v>
          </cell>
          <cell r="AL49">
            <v>645822</v>
          </cell>
        </row>
        <row r="50">
          <cell r="C50">
            <v>3008</v>
          </cell>
          <cell r="D50" t="str">
            <v>김명숙</v>
          </cell>
          <cell r="E50" t="str">
            <v>반장</v>
          </cell>
          <cell r="F50">
            <v>2750</v>
          </cell>
          <cell r="G50" t="str">
            <v>주</v>
          </cell>
          <cell r="H50" t="str">
            <v>일</v>
          </cell>
          <cell r="I50" t="str">
            <v>여</v>
          </cell>
          <cell r="J50">
            <v>31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726000</v>
          </cell>
          <cell r="U50">
            <v>726000</v>
          </cell>
          <cell r="V50">
            <v>0</v>
          </cell>
          <cell r="AB50">
            <v>3008</v>
          </cell>
          <cell r="AC50">
            <v>682000</v>
          </cell>
          <cell r="AD50">
            <v>0</v>
          </cell>
          <cell r="AE50">
            <v>0</v>
          </cell>
          <cell r="AF50">
            <v>0</v>
          </cell>
          <cell r="AG50">
            <v>22000</v>
          </cell>
          <cell r="AH50">
            <v>22000</v>
          </cell>
          <cell r="AK50">
            <v>0</v>
          </cell>
          <cell r="AL50">
            <v>726000</v>
          </cell>
        </row>
        <row r="51">
          <cell r="C51">
            <v>3009</v>
          </cell>
          <cell r="D51" t="str">
            <v>김화자</v>
          </cell>
          <cell r="E51" t="str">
            <v>사원</v>
          </cell>
          <cell r="F51">
            <v>2538.8000000000002</v>
          </cell>
          <cell r="G51" t="str">
            <v>주</v>
          </cell>
          <cell r="H51" t="str">
            <v>일</v>
          </cell>
          <cell r="I51" t="str">
            <v>여</v>
          </cell>
          <cell r="J51">
            <v>31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670243.20000000007</v>
          </cell>
          <cell r="U51">
            <v>670243.20000000007</v>
          </cell>
          <cell r="V51">
            <v>0</v>
          </cell>
          <cell r="AB51">
            <v>3009</v>
          </cell>
          <cell r="AC51">
            <v>629622</v>
          </cell>
          <cell r="AD51">
            <v>0</v>
          </cell>
          <cell r="AE51">
            <v>0</v>
          </cell>
          <cell r="AF51">
            <v>0</v>
          </cell>
          <cell r="AG51">
            <v>20310</v>
          </cell>
          <cell r="AH51">
            <v>20310</v>
          </cell>
          <cell r="AK51">
            <v>0</v>
          </cell>
          <cell r="AL51">
            <v>670242</v>
          </cell>
        </row>
        <row r="52">
          <cell r="C52">
            <v>3010</v>
          </cell>
          <cell r="D52" t="str">
            <v>임인옥</v>
          </cell>
          <cell r="E52" t="str">
            <v>사원</v>
          </cell>
          <cell r="F52">
            <v>2312.5</v>
          </cell>
          <cell r="G52" t="str">
            <v>주</v>
          </cell>
          <cell r="H52" t="str">
            <v>일</v>
          </cell>
          <cell r="I52" t="str">
            <v>여</v>
          </cell>
          <cell r="J52">
            <v>31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610500</v>
          </cell>
          <cell r="U52">
            <v>610500</v>
          </cell>
          <cell r="V52">
            <v>0</v>
          </cell>
          <cell r="AB52">
            <v>3010</v>
          </cell>
          <cell r="AC52">
            <v>573500</v>
          </cell>
          <cell r="AD52">
            <v>0</v>
          </cell>
          <cell r="AE52">
            <v>0</v>
          </cell>
          <cell r="AF52">
            <v>0</v>
          </cell>
          <cell r="AG52">
            <v>18500</v>
          </cell>
          <cell r="AH52">
            <v>18500</v>
          </cell>
          <cell r="AK52">
            <v>0</v>
          </cell>
          <cell r="AL52">
            <v>610500</v>
          </cell>
        </row>
        <row r="53">
          <cell r="C53">
            <v>3011</v>
          </cell>
          <cell r="D53" t="str">
            <v>윤정희</v>
          </cell>
          <cell r="E53" t="str">
            <v>사원</v>
          </cell>
          <cell r="F53">
            <v>2312.5</v>
          </cell>
          <cell r="G53" t="str">
            <v>주</v>
          </cell>
          <cell r="H53" t="str">
            <v>일</v>
          </cell>
          <cell r="I53" t="str">
            <v>여</v>
          </cell>
          <cell r="J53">
            <v>31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610500</v>
          </cell>
          <cell r="U53">
            <v>610500</v>
          </cell>
          <cell r="V53">
            <v>0</v>
          </cell>
          <cell r="AB53">
            <v>3011</v>
          </cell>
          <cell r="AC53">
            <v>573500</v>
          </cell>
          <cell r="AD53">
            <v>0</v>
          </cell>
          <cell r="AE53">
            <v>0</v>
          </cell>
          <cell r="AF53">
            <v>0</v>
          </cell>
          <cell r="AG53">
            <v>18500</v>
          </cell>
          <cell r="AH53">
            <v>18500</v>
          </cell>
          <cell r="AK53">
            <v>0</v>
          </cell>
          <cell r="AL53">
            <v>610500</v>
          </cell>
        </row>
        <row r="54">
          <cell r="C54">
            <v>3012</v>
          </cell>
          <cell r="D54" t="str">
            <v>옥영선</v>
          </cell>
          <cell r="E54" t="str">
            <v>사원</v>
          </cell>
          <cell r="F54">
            <v>2312.5</v>
          </cell>
          <cell r="G54" t="str">
            <v>주</v>
          </cell>
          <cell r="H54" t="str">
            <v>일</v>
          </cell>
          <cell r="I54" t="str">
            <v>여</v>
          </cell>
          <cell r="J54">
            <v>31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610500</v>
          </cell>
          <cell r="U54">
            <v>610500</v>
          </cell>
          <cell r="V54">
            <v>0</v>
          </cell>
          <cell r="AB54">
            <v>3012</v>
          </cell>
          <cell r="AC54">
            <v>573500</v>
          </cell>
          <cell r="AD54">
            <v>0</v>
          </cell>
          <cell r="AE54">
            <v>0</v>
          </cell>
          <cell r="AF54">
            <v>0</v>
          </cell>
          <cell r="AG54">
            <v>18500</v>
          </cell>
          <cell r="AH54">
            <v>18500</v>
          </cell>
          <cell r="AK54">
            <v>0</v>
          </cell>
          <cell r="AL54">
            <v>610500</v>
          </cell>
        </row>
        <row r="55">
          <cell r="C55">
            <v>3013</v>
          </cell>
          <cell r="D55" t="str">
            <v>김영순</v>
          </cell>
          <cell r="E55" t="str">
            <v>사원</v>
          </cell>
          <cell r="F55">
            <v>2312.5</v>
          </cell>
          <cell r="G55" t="str">
            <v>주</v>
          </cell>
          <cell r="H55" t="str">
            <v>일</v>
          </cell>
          <cell r="I55" t="str">
            <v>여</v>
          </cell>
          <cell r="J55">
            <v>31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610500</v>
          </cell>
          <cell r="U55">
            <v>610500</v>
          </cell>
          <cell r="V55">
            <v>0</v>
          </cell>
          <cell r="AB55">
            <v>3013</v>
          </cell>
          <cell r="AC55">
            <v>573500</v>
          </cell>
          <cell r="AD55">
            <v>0</v>
          </cell>
          <cell r="AE55">
            <v>0</v>
          </cell>
          <cell r="AF55">
            <v>0</v>
          </cell>
          <cell r="AG55">
            <v>18500</v>
          </cell>
          <cell r="AH55">
            <v>18500</v>
          </cell>
          <cell r="AK55">
            <v>0</v>
          </cell>
          <cell r="AL55">
            <v>610500</v>
          </cell>
        </row>
        <row r="56">
          <cell r="C56">
            <v>3014</v>
          </cell>
          <cell r="D56" t="str">
            <v>임무순</v>
          </cell>
          <cell r="E56" t="str">
            <v>사원</v>
          </cell>
          <cell r="F56">
            <v>2312.5</v>
          </cell>
          <cell r="G56" t="str">
            <v>주</v>
          </cell>
          <cell r="H56" t="str">
            <v>일</v>
          </cell>
          <cell r="I56" t="str">
            <v>여</v>
          </cell>
          <cell r="J56">
            <v>31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610500</v>
          </cell>
          <cell r="U56">
            <v>610500</v>
          </cell>
          <cell r="V56">
            <v>0</v>
          </cell>
          <cell r="AB56">
            <v>3014</v>
          </cell>
          <cell r="AC56">
            <v>573500</v>
          </cell>
          <cell r="AD56">
            <v>0</v>
          </cell>
          <cell r="AE56">
            <v>0</v>
          </cell>
          <cell r="AF56">
            <v>0</v>
          </cell>
          <cell r="AG56">
            <v>18500</v>
          </cell>
          <cell r="AH56">
            <v>18500</v>
          </cell>
          <cell r="AK56">
            <v>0</v>
          </cell>
          <cell r="AL56">
            <v>610500</v>
          </cell>
        </row>
        <row r="57">
          <cell r="C57">
            <v>4001</v>
          </cell>
          <cell r="D57" t="str">
            <v>이성분</v>
          </cell>
          <cell r="E57" t="str">
            <v>반장</v>
          </cell>
          <cell r="F57">
            <v>2750</v>
          </cell>
          <cell r="G57" t="str">
            <v>주</v>
          </cell>
          <cell r="H57" t="str">
            <v>일</v>
          </cell>
          <cell r="I57" t="str">
            <v>여</v>
          </cell>
          <cell r="J57">
            <v>31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726000</v>
          </cell>
          <cell r="U57">
            <v>726000</v>
          </cell>
          <cell r="V57">
            <v>0</v>
          </cell>
          <cell r="AB57">
            <v>4001</v>
          </cell>
          <cell r="AC57">
            <v>682000</v>
          </cell>
          <cell r="AD57">
            <v>0</v>
          </cell>
          <cell r="AE57">
            <v>0</v>
          </cell>
          <cell r="AF57">
            <v>0</v>
          </cell>
          <cell r="AG57">
            <v>22000</v>
          </cell>
          <cell r="AH57">
            <v>22000</v>
          </cell>
          <cell r="AK57">
            <v>0</v>
          </cell>
          <cell r="AL57">
            <v>726000</v>
          </cell>
        </row>
        <row r="58">
          <cell r="C58">
            <v>4002</v>
          </cell>
          <cell r="D58" t="str">
            <v>정성례</v>
          </cell>
          <cell r="E58" t="str">
            <v>사원</v>
          </cell>
          <cell r="F58">
            <v>2450</v>
          </cell>
          <cell r="G58" t="str">
            <v>주</v>
          </cell>
          <cell r="H58" t="str">
            <v>일</v>
          </cell>
          <cell r="I58" t="str">
            <v>여</v>
          </cell>
          <cell r="J58">
            <v>31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646800</v>
          </cell>
          <cell r="U58">
            <v>646800</v>
          </cell>
          <cell r="V58">
            <v>0</v>
          </cell>
          <cell r="AB58">
            <v>4002</v>
          </cell>
          <cell r="AC58">
            <v>607600</v>
          </cell>
          <cell r="AD58">
            <v>0</v>
          </cell>
          <cell r="AE58">
            <v>0</v>
          </cell>
          <cell r="AF58">
            <v>0</v>
          </cell>
          <cell r="AG58">
            <v>19600</v>
          </cell>
          <cell r="AH58">
            <v>19600</v>
          </cell>
          <cell r="AK58">
            <v>0</v>
          </cell>
          <cell r="AL58">
            <v>646800</v>
          </cell>
        </row>
        <row r="59">
          <cell r="C59">
            <v>4003</v>
          </cell>
          <cell r="D59" t="str">
            <v>이순옥</v>
          </cell>
          <cell r="E59" t="str">
            <v>사원</v>
          </cell>
          <cell r="F59">
            <v>2448.8000000000002</v>
          </cell>
          <cell r="G59" t="str">
            <v>주</v>
          </cell>
          <cell r="H59" t="str">
            <v>일</v>
          </cell>
          <cell r="I59" t="str">
            <v>여</v>
          </cell>
          <cell r="J59">
            <v>31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646483.20000000007</v>
          </cell>
          <cell r="U59">
            <v>646483.20000000007</v>
          </cell>
          <cell r="V59">
            <v>0</v>
          </cell>
          <cell r="AB59">
            <v>4003</v>
          </cell>
          <cell r="AC59">
            <v>607302</v>
          </cell>
          <cell r="AD59">
            <v>0</v>
          </cell>
          <cell r="AE59">
            <v>0</v>
          </cell>
          <cell r="AF59">
            <v>0</v>
          </cell>
          <cell r="AG59">
            <v>19590</v>
          </cell>
          <cell r="AH59">
            <v>19590</v>
          </cell>
          <cell r="AK59">
            <v>0</v>
          </cell>
          <cell r="AL59">
            <v>646482</v>
          </cell>
        </row>
        <row r="60">
          <cell r="C60">
            <v>4004</v>
          </cell>
          <cell r="D60" t="str">
            <v>김옥녀</v>
          </cell>
          <cell r="E60" t="str">
            <v>사원</v>
          </cell>
          <cell r="F60">
            <v>2387.5</v>
          </cell>
          <cell r="G60" t="str">
            <v>주</v>
          </cell>
          <cell r="H60" t="str">
            <v>일</v>
          </cell>
          <cell r="I60" t="str">
            <v>여</v>
          </cell>
          <cell r="J60">
            <v>31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630300</v>
          </cell>
          <cell r="U60">
            <v>630300</v>
          </cell>
          <cell r="V60">
            <v>0</v>
          </cell>
          <cell r="AB60">
            <v>4004</v>
          </cell>
          <cell r="AC60">
            <v>592100</v>
          </cell>
          <cell r="AD60">
            <v>0</v>
          </cell>
          <cell r="AE60">
            <v>0</v>
          </cell>
          <cell r="AF60">
            <v>0</v>
          </cell>
          <cell r="AG60">
            <v>19100</v>
          </cell>
          <cell r="AH60">
            <v>19100</v>
          </cell>
          <cell r="AK60">
            <v>0</v>
          </cell>
          <cell r="AL60">
            <v>630300</v>
          </cell>
        </row>
        <row r="61">
          <cell r="C61">
            <v>4005</v>
          </cell>
          <cell r="D61" t="str">
            <v>신악이</v>
          </cell>
          <cell r="E61" t="str">
            <v>사원</v>
          </cell>
          <cell r="F61">
            <v>2531.3000000000002</v>
          </cell>
          <cell r="G61" t="str">
            <v>주</v>
          </cell>
          <cell r="H61" t="str">
            <v>일</v>
          </cell>
          <cell r="I61" t="str">
            <v>여</v>
          </cell>
          <cell r="J61">
            <v>31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668263.20000000007</v>
          </cell>
          <cell r="U61">
            <v>668263.20000000007</v>
          </cell>
          <cell r="V61">
            <v>0</v>
          </cell>
          <cell r="AB61">
            <v>4005</v>
          </cell>
          <cell r="AC61">
            <v>627762</v>
          </cell>
          <cell r="AD61">
            <v>0</v>
          </cell>
          <cell r="AE61">
            <v>0</v>
          </cell>
          <cell r="AF61">
            <v>0</v>
          </cell>
          <cell r="AG61">
            <v>20250</v>
          </cell>
          <cell r="AH61">
            <v>20250</v>
          </cell>
          <cell r="AK61">
            <v>0</v>
          </cell>
          <cell r="AL61">
            <v>668262</v>
          </cell>
        </row>
        <row r="62">
          <cell r="C62">
            <v>4006</v>
          </cell>
          <cell r="D62" t="str">
            <v>이영순</v>
          </cell>
          <cell r="E62" t="str">
            <v>사원</v>
          </cell>
          <cell r="F62">
            <v>2425</v>
          </cell>
          <cell r="G62" t="str">
            <v>주</v>
          </cell>
          <cell r="H62" t="str">
            <v>일</v>
          </cell>
          <cell r="I62" t="str">
            <v>여</v>
          </cell>
          <cell r="J62">
            <v>31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640200</v>
          </cell>
          <cell r="U62">
            <v>640200</v>
          </cell>
          <cell r="V62">
            <v>0</v>
          </cell>
          <cell r="AB62">
            <v>4006</v>
          </cell>
          <cell r="AC62">
            <v>601400</v>
          </cell>
          <cell r="AD62">
            <v>0</v>
          </cell>
          <cell r="AE62">
            <v>0</v>
          </cell>
          <cell r="AF62">
            <v>0</v>
          </cell>
          <cell r="AG62">
            <v>19400</v>
          </cell>
          <cell r="AH62">
            <v>19400</v>
          </cell>
          <cell r="AK62">
            <v>0</v>
          </cell>
          <cell r="AL62">
            <v>640200</v>
          </cell>
        </row>
        <row r="63">
          <cell r="C63">
            <v>4007</v>
          </cell>
          <cell r="D63" t="str">
            <v>김현순</v>
          </cell>
          <cell r="E63" t="str">
            <v>사원</v>
          </cell>
          <cell r="F63">
            <v>2418.8000000000002</v>
          </cell>
          <cell r="G63" t="str">
            <v>주</v>
          </cell>
          <cell r="H63" t="str">
            <v>일</v>
          </cell>
          <cell r="I63" t="str">
            <v>여</v>
          </cell>
          <cell r="J63">
            <v>31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638563.20000000007</v>
          </cell>
          <cell r="U63">
            <v>638563.20000000007</v>
          </cell>
          <cell r="V63">
            <v>0</v>
          </cell>
          <cell r="AB63">
            <v>4007</v>
          </cell>
          <cell r="AC63">
            <v>599862</v>
          </cell>
          <cell r="AD63">
            <v>0</v>
          </cell>
          <cell r="AE63">
            <v>0</v>
          </cell>
          <cell r="AF63">
            <v>0</v>
          </cell>
          <cell r="AG63">
            <v>19350</v>
          </cell>
          <cell r="AH63">
            <v>19350</v>
          </cell>
          <cell r="AK63">
            <v>0</v>
          </cell>
          <cell r="AL63">
            <v>638562</v>
          </cell>
        </row>
        <row r="64">
          <cell r="C64">
            <v>4008</v>
          </cell>
          <cell r="D64" t="str">
            <v>문남해</v>
          </cell>
          <cell r="E64" t="str">
            <v>사원</v>
          </cell>
          <cell r="F64">
            <v>2381.3000000000002</v>
          </cell>
          <cell r="G64" t="str">
            <v>주</v>
          </cell>
          <cell r="H64" t="str">
            <v>일</v>
          </cell>
          <cell r="I64" t="str">
            <v>여</v>
          </cell>
          <cell r="J64">
            <v>31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628663.20000000007</v>
          </cell>
          <cell r="U64">
            <v>628663.20000000007</v>
          </cell>
          <cell r="V64">
            <v>0</v>
          </cell>
          <cell r="AB64">
            <v>4008</v>
          </cell>
          <cell r="AC64">
            <v>590562</v>
          </cell>
          <cell r="AD64">
            <v>0</v>
          </cell>
          <cell r="AE64">
            <v>0</v>
          </cell>
          <cell r="AF64">
            <v>0</v>
          </cell>
          <cell r="AG64">
            <v>19050</v>
          </cell>
          <cell r="AH64">
            <v>19050</v>
          </cell>
          <cell r="AK64">
            <v>0</v>
          </cell>
          <cell r="AL64">
            <v>628662</v>
          </cell>
        </row>
        <row r="65">
          <cell r="C65">
            <v>4009</v>
          </cell>
          <cell r="D65" t="str">
            <v>이주희</v>
          </cell>
          <cell r="E65" t="str">
            <v>사원</v>
          </cell>
          <cell r="F65">
            <v>2312.5</v>
          </cell>
          <cell r="G65" t="str">
            <v>주</v>
          </cell>
          <cell r="H65" t="str">
            <v>일</v>
          </cell>
          <cell r="I65" t="str">
            <v>여</v>
          </cell>
          <cell r="J65">
            <v>31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610500</v>
          </cell>
          <cell r="U65">
            <v>610500</v>
          </cell>
          <cell r="V65">
            <v>0</v>
          </cell>
          <cell r="AB65">
            <v>4009</v>
          </cell>
          <cell r="AC65">
            <v>573500</v>
          </cell>
          <cell r="AD65">
            <v>0</v>
          </cell>
          <cell r="AE65">
            <v>0</v>
          </cell>
          <cell r="AF65">
            <v>0</v>
          </cell>
          <cell r="AG65">
            <v>18500</v>
          </cell>
          <cell r="AH65">
            <v>18500</v>
          </cell>
          <cell r="AK65">
            <v>0</v>
          </cell>
          <cell r="AL65">
            <v>610500</v>
          </cell>
        </row>
        <row r="66">
          <cell r="C66">
            <v>4010</v>
          </cell>
          <cell r="D66" t="str">
            <v>강순길</v>
          </cell>
          <cell r="E66" t="str">
            <v>사원</v>
          </cell>
          <cell r="F66">
            <v>2312.5</v>
          </cell>
          <cell r="G66" t="str">
            <v>주</v>
          </cell>
          <cell r="H66" t="str">
            <v>일</v>
          </cell>
          <cell r="I66" t="str">
            <v>여</v>
          </cell>
          <cell r="J66">
            <v>31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610500</v>
          </cell>
          <cell r="U66">
            <v>610500</v>
          </cell>
          <cell r="V66">
            <v>0</v>
          </cell>
          <cell r="AB66">
            <v>4010</v>
          </cell>
          <cell r="AC66">
            <v>573500</v>
          </cell>
          <cell r="AD66">
            <v>0</v>
          </cell>
          <cell r="AE66">
            <v>0</v>
          </cell>
          <cell r="AF66">
            <v>0</v>
          </cell>
          <cell r="AG66">
            <v>18500</v>
          </cell>
          <cell r="AH66">
            <v>18500</v>
          </cell>
          <cell r="AK66">
            <v>0</v>
          </cell>
          <cell r="AL66">
            <v>610500</v>
          </cell>
        </row>
        <row r="67">
          <cell r="C67">
            <v>4011</v>
          </cell>
          <cell r="D67" t="str">
            <v>김분남</v>
          </cell>
          <cell r="E67" t="str">
            <v>사원</v>
          </cell>
          <cell r="F67">
            <v>2312.5</v>
          </cell>
          <cell r="G67" t="str">
            <v>주</v>
          </cell>
          <cell r="H67" t="str">
            <v>일</v>
          </cell>
          <cell r="I67" t="str">
            <v>여</v>
          </cell>
          <cell r="J67">
            <v>31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610500</v>
          </cell>
          <cell r="U67">
            <v>610500</v>
          </cell>
          <cell r="V67">
            <v>0</v>
          </cell>
          <cell r="AB67">
            <v>4011</v>
          </cell>
          <cell r="AC67">
            <v>573500</v>
          </cell>
          <cell r="AD67">
            <v>0</v>
          </cell>
          <cell r="AE67">
            <v>0</v>
          </cell>
          <cell r="AF67">
            <v>0</v>
          </cell>
          <cell r="AG67">
            <v>18500</v>
          </cell>
          <cell r="AH67">
            <v>18500</v>
          </cell>
          <cell r="AK67">
            <v>0</v>
          </cell>
          <cell r="AL67">
            <v>610500</v>
          </cell>
        </row>
        <row r="68">
          <cell r="C68">
            <v>4012</v>
          </cell>
          <cell r="D68" t="str">
            <v>김만수</v>
          </cell>
          <cell r="E68" t="str">
            <v>사원</v>
          </cell>
          <cell r="F68">
            <v>3750</v>
          </cell>
          <cell r="G68" t="str">
            <v>주</v>
          </cell>
          <cell r="H68" t="str">
            <v>일</v>
          </cell>
          <cell r="I68" t="str">
            <v>남</v>
          </cell>
          <cell r="J68">
            <v>31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960000</v>
          </cell>
          <cell r="U68">
            <v>960000</v>
          </cell>
          <cell r="V68">
            <v>0</v>
          </cell>
          <cell r="AB68">
            <v>4012</v>
          </cell>
          <cell r="AC68">
            <v>930000</v>
          </cell>
          <cell r="AD68">
            <v>0</v>
          </cell>
          <cell r="AE68">
            <v>0</v>
          </cell>
          <cell r="AF68">
            <v>0</v>
          </cell>
          <cell r="AG68">
            <v>30000</v>
          </cell>
          <cell r="AH68">
            <v>0</v>
          </cell>
          <cell r="AK68">
            <v>0</v>
          </cell>
          <cell r="AL68">
            <v>960000</v>
          </cell>
        </row>
        <row r="69">
          <cell r="C69">
            <v>4013</v>
          </cell>
          <cell r="D69" t="str">
            <v>백형순</v>
          </cell>
          <cell r="E69" t="str">
            <v>사원</v>
          </cell>
          <cell r="F69">
            <v>2473.8000000000002</v>
          </cell>
          <cell r="G69" t="str">
            <v>주</v>
          </cell>
          <cell r="H69" t="str">
            <v>일</v>
          </cell>
          <cell r="I69" t="str">
            <v>여</v>
          </cell>
          <cell r="J69">
            <v>31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653083.20000000007</v>
          </cell>
          <cell r="U69">
            <v>653083.20000000007</v>
          </cell>
          <cell r="V69">
            <v>0</v>
          </cell>
          <cell r="AB69">
            <v>4013</v>
          </cell>
          <cell r="AC69">
            <v>613502</v>
          </cell>
          <cell r="AD69">
            <v>0</v>
          </cell>
          <cell r="AE69">
            <v>0</v>
          </cell>
          <cell r="AF69">
            <v>0</v>
          </cell>
          <cell r="AG69">
            <v>19790</v>
          </cell>
          <cell r="AH69">
            <v>19790</v>
          </cell>
          <cell r="AK69">
            <v>0</v>
          </cell>
          <cell r="AL69">
            <v>653082</v>
          </cell>
        </row>
        <row r="70">
          <cell r="C70">
            <v>4014</v>
          </cell>
          <cell r="D70" t="str">
            <v>최신숙</v>
          </cell>
          <cell r="E70" t="str">
            <v>사원</v>
          </cell>
          <cell r="F70">
            <v>2425</v>
          </cell>
          <cell r="G70" t="str">
            <v>주</v>
          </cell>
          <cell r="H70" t="str">
            <v>일</v>
          </cell>
          <cell r="I70" t="str">
            <v>여</v>
          </cell>
          <cell r="J70">
            <v>31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640200</v>
          </cell>
          <cell r="U70">
            <v>640200</v>
          </cell>
          <cell r="V70">
            <v>0</v>
          </cell>
          <cell r="AB70">
            <v>4014</v>
          </cell>
          <cell r="AC70">
            <v>601400</v>
          </cell>
          <cell r="AD70">
            <v>0</v>
          </cell>
          <cell r="AE70">
            <v>0</v>
          </cell>
          <cell r="AF70">
            <v>0</v>
          </cell>
          <cell r="AG70">
            <v>19400</v>
          </cell>
          <cell r="AH70">
            <v>19400</v>
          </cell>
          <cell r="AK70">
            <v>0</v>
          </cell>
          <cell r="AL70">
            <v>640200</v>
          </cell>
        </row>
        <row r="71">
          <cell r="C71">
            <v>4015</v>
          </cell>
          <cell r="D71" t="str">
            <v>박영금</v>
          </cell>
          <cell r="E71" t="str">
            <v>사원</v>
          </cell>
          <cell r="F71">
            <v>2402.5</v>
          </cell>
          <cell r="G71" t="str">
            <v>주</v>
          </cell>
          <cell r="H71" t="str">
            <v>일</v>
          </cell>
          <cell r="I71" t="str">
            <v>여</v>
          </cell>
          <cell r="J71">
            <v>31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634260</v>
          </cell>
          <cell r="U71">
            <v>634260</v>
          </cell>
          <cell r="V71">
            <v>0</v>
          </cell>
          <cell r="AB71">
            <v>4015</v>
          </cell>
          <cell r="AC71">
            <v>595820</v>
          </cell>
          <cell r="AD71">
            <v>0</v>
          </cell>
          <cell r="AE71">
            <v>0</v>
          </cell>
          <cell r="AF71">
            <v>0</v>
          </cell>
          <cell r="AG71">
            <v>19220</v>
          </cell>
          <cell r="AH71">
            <v>19220</v>
          </cell>
          <cell r="AK71">
            <v>0</v>
          </cell>
          <cell r="AL71">
            <v>634260</v>
          </cell>
        </row>
        <row r="72">
          <cell r="C72">
            <v>4016</v>
          </cell>
          <cell r="D72" t="str">
            <v>윤남심</v>
          </cell>
          <cell r="E72" t="str">
            <v>사원</v>
          </cell>
          <cell r="F72">
            <v>2312.5</v>
          </cell>
          <cell r="G72" t="str">
            <v>주</v>
          </cell>
          <cell r="H72" t="str">
            <v>일</v>
          </cell>
          <cell r="I72" t="str">
            <v>여</v>
          </cell>
          <cell r="J72">
            <v>31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610500</v>
          </cell>
          <cell r="U72">
            <v>610500</v>
          </cell>
          <cell r="V72">
            <v>0</v>
          </cell>
          <cell r="AB72">
            <v>4016</v>
          </cell>
          <cell r="AC72">
            <v>573500</v>
          </cell>
          <cell r="AD72">
            <v>0</v>
          </cell>
          <cell r="AE72">
            <v>0</v>
          </cell>
          <cell r="AF72">
            <v>0</v>
          </cell>
          <cell r="AG72">
            <v>18500</v>
          </cell>
          <cell r="AH72">
            <v>18500</v>
          </cell>
          <cell r="AK72">
            <v>0</v>
          </cell>
          <cell r="AL72">
            <v>610500</v>
          </cell>
        </row>
        <row r="73">
          <cell r="C73">
            <v>4017</v>
          </cell>
          <cell r="D73" t="str">
            <v>안미경</v>
          </cell>
          <cell r="E73" t="str">
            <v>사원</v>
          </cell>
          <cell r="F73">
            <v>2312.5</v>
          </cell>
          <cell r="G73" t="str">
            <v>주</v>
          </cell>
          <cell r="H73" t="str">
            <v>일</v>
          </cell>
          <cell r="I73" t="str">
            <v>여</v>
          </cell>
          <cell r="J73">
            <v>31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610500</v>
          </cell>
          <cell r="U73">
            <v>610500</v>
          </cell>
          <cell r="V73">
            <v>0</v>
          </cell>
          <cell r="AB73">
            <v>4017</v>
          </cell>
          <cell r="AC73">
            <v>573500</v>
          </cell>
          <cell r="AD73">
            <v>0</v>
          </cell>
          <cell r="AE73">
            <v>0</v>
          </cell>
          <cell r="AF73">
            <v>0</v>
          </cell>
          <cell r="AG73">
            <v>18500</v>
          </cell>
          <cell r="AH73">
            <v>18500</v>
          </cell>
          <cell r="AK73">
            <v>0</v>
          </cell>
          <cell r="AL73">
            <v>610500</v>
          </cell>
        </row>
        <row r="74">
          <cell r="C74">
            <v>4018</v>
          </cell>
          <cell r="D74" t="str">
            <v>양재식</v>
          </cell>
          <cell r="E74" t="str">
            <v>사원</v>
          </cell>
          <cell r="F74">
            <v>3000</v>
          </cell>
          <cell r="G74" t="str">
            <v>주</v>
          </cell>
          <cell r="H74" t="str">
            <v>일</v>
          </cell>
          <cell r="I74" t="str">
            <v>남</v>
          </cell>
          <cell r="J74">
            <v>31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768000</v>
          </cell>
          <cell r="U74">
            <v>768000</v>
          </cell>
          <cell r="V74">
            <v>0</v>
          </cell>
          <cell r="AB74">
            <v>4018</v>
          </cell>
          <cell r="AC74">
            <v>744000</v>
          </cell>
          <cell r="AD74">
            <v>0</v>
          </cell>
          <cell r="AE74">
            <v>0</v>
          </cell>
          <cell r="AF74">
            <v>0</v>
          </cell>
          <cell r="AG74">
            <v>24000</v>
          </cell>
          <cell r="AH74">
            <v>0</v>
          </cell>
          <cell r="AK74">
            <v>0</v>
          </cell>
          <cell r="AL74">
            <v>768000</v>
          </cell>
        </row>
        <row r="75">
          <cell r="C75">
            <v>5001</v>
          </cell>
          <cell r="D75" t="str">
            <v>이효순</v>
          </cell>
          <cell r="E75" t="str">
            <v>반장</v>
          </cell>
          <cell r="F75">
            <v>2750</v>
          </cell>
          <cell r="G75" t="str">
            <v>주</v>
          </cell>
          <cell r="H75" t="str">
            <v>일</v>
          </cell>
          <cell r="I75" t="str">
            <v>여</v>
          </cell>
          <cell r="J75">
            <v>31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726000</v>
          </cell>
          <cell r="U75">
            <v>726000</v>
          </cell>
          <cell r="V75">
            <v>0</v>
          </cell>
          <cell r="AB75">
            <v>5001</v>
          </cell>
          <cell r="AC75">
            <v>682000</v>
          </cell>
          <cell r="AD75">
            <v>0</v>
          </cell>
          <cell r="AE75">
            <v>0</v>
          </cell>
          <cell r="AF75">
            <v>0</v>
          </cell>
          <cell r="AG75">
            <v>22000</v>
          </cell>
          <cell r="AH75">
            <v>22000</v>
          </cell>
          <cell r="AK75">
            <v>0</v>
          </cell>
          <cell r="AL75">
            <v>726000</v>
          </cell>
        </row>
        <row r="76">
          <cell r="C76">
            <v>5002</v>
          </cell>
          <cell r="D76" t="str">
            <v>김진희</v>
          </cell>
          <cell r="E76" t="str">
            <v>사원</v>
          </cell>
          <cell r="F76">
            <v>2462.5</v>
          </cell>
          <cell r="G76" t="str">
            <v>주</v>
          </cell>
          <cell r="H76" t="str">
            <v>일</v>
          </cell>
          <cell r="I76" t="str">
            <v>여</v>
          </cell>
          <cell r="J76">
            <v>31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650100</v>
          </cell>
          <cell r="U76">
            <v>650100</v>
          </cell>
          <cell r="V76">
            <v>0</v>
          </cell>
          <cell r="AB76">
            <v>5002</v>
          </cell>
          <cell r="AC76">
            <v>610700</v>
          </cell>
          <cell r="AD76">
            <v>0</v>
          </cell>
          <cell r="AE76">
            <v>0</v>
          </cell>
          <cell r="AF76">
            <v>0</v>
          </cell>
          <cell r="AG76">
            <v>19700</v>
          </cell>
          <cell r="AH76">
            <v>19700</v>
          </cell>
          <cell r="AK76">
            <v>0</v>
          </cell>
          <cell r="AL76">
            <v>650100</v>
          </cell>
        </row>
        <row r="77">
          <cell r="C77">
            <v>5003</v>
          </cell>
          <cell r="D77" t="str">
            <v>김동미</v>
          </cell>
          <cell r="E77" t="str">
            <v>사원</v>
          </cell>
          <cell r="F77">
            <v>2381.3000000000002</v>
          </cell>
          <cell r="G77" t="str">
            <v>주</v>
          </cell>
          <cell r="H77" t="str">
            <v>일</v>
          </cell>
          <cell r="I77" t="str">
            <v>여</v>
          </cell>
          <cell r="J77">
            <v>31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628663.20000000007</v>
          </cell>
          <cell r="U77">
            <v>628663.20000000007</v>
          </cell>
          <cell r="V77">
            <v>0</v>
          </cell>
          <cell r="AB77">
            <v>5003</v>
          </cell>
          <cell r="AC77">
            <v>590562</v>
          </cell>
          <cell r="AD77">
            <v>0</v>
          </cell>
          <cell r="AE77">
            <v>0</v>
          </cell>
          <cell r="AF77">
            <v>0</v>
          </cell>
          <cell r="AG77">
            <v>19050</v>
          </cell>
          <cell r="AH77">
            <v>19050</v>
          </cell>
          <cell r="AK77">
            <v>0</v>
          </cell>
          <cell r="AL77">
            <v>628662</v>
          </cell>
        </row>
        <row r="78">
          <cell r="C78">
            <v>5004</v>
          </cell>
          <cell r="D78" t="str">
            <v>오희숙</v>
          </cell>
          <cell r="E78" t="str">
            <v>사원</v>
          </cell>
          <cell r="F78">
            <v>2370</v>
          </cell>
          <cell r="G78" t="str">
            <v>주</v>
          </cell>
          <cell r="H78" t="str">
            <v>일</v>
          </cell>
          <cell r="I78" t="str">
            <v>여</v>
          </cell>
          <cell r="J78">
            <v>31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625680</v>
          </cell>
          <cell r="U78">
            <v>625680</v>
          </cell>
          <cell r="V78">
            <v>0</v>
          </cell>
          <cell r="AB78">
            <v>5004</v>
          </cell>
          <cell r="AC78">
            <v>587760</v>
          </cell>
          <cell r="AD78">
            <v>0</v>
          </cell>
          <cell r="AE78">
            <v>0</v>
          </cell>
          <cell r="AF78">
            <v>0</v>
          </cell>
          <cell r="AG78">
            <v>18960</v>
          </cell>
          <cell r="AH78">
            <v>18960</v>
          </cell>
          <cell r="AK78">
            <v>0</v>
          </cell>
          <cell r="AL78">
            <v>625680</v>
          </cell>
        </row>
        <row r="79">
          <cell r="C79">
            <v>5005</v>
          </cell>
          <cell r="D79" t="str">
            <v>김영희</v>
          </cell>
          <cell r="E79" t="str">
            <v>사원</v>
          </cell>
          <cell r="F79">
            <v>2331.3000000000002</v>
          </cell>
          <cell r="G79" t="str">
            <v>주</v>
          </cell>
          <cell r="H79" t="str">
            <v>일</v>
          </cell>
          <cell r="I79" t="str">
            <v>여</v>
          </cell>
          <cell r="J79">
            <v>31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615463.20000000007</v>
          </cell>
          <cell r="U79">
            <v>615463.20000000007</v>
          </cell>
          <cell r="V79">
            <v>0</v>
          </cell>
          <cell r="AB79">
            <v>5005</v>
          </cell>
          <cell r="AC79">
            <v>578162</v>
          </cell>
          <cell r="AD79">
            <v>0</v>
          </cell>
          <cell r="AE79">
            <v>0</v>
          </cell>
          <cell r="AF79">
            <v>0</v>
          </cell>
          <cell r="AG79">
            <v>18650</v>
          </cell>
          <cell r="AH79">
            <v>18650</v>
          </cell>
          <cell r="AK79">
            <v>0</v>
          </cell>
          <cell r="AL79">
            <v>615462</v>
          </cell>
        </row>
        <row r="80">
          <cell r="C80">
            <v>5006</v>
          </cell>
          <cell r="D80" t="str">
            <v>이정옥</v>
          </cell>
          <cell r="E80" t="str">
            <v>사원</v>
          </cell>
          <cell r="F80">
            <v>2312.5</v>
          </cell>
          <cell r="G80" t="str">
            <v>주</v>
          </cell>
          <cell r="H80" t="str">
            <v>일</v>
          </cell>
          <cell r="I80" t="str">
            <v>여</v>
          </cell>
          <cell r="J80">
            <v>31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610500</v>
          </cell>
          <cell r="U80">
            <v>610500</v>
          </cell>
          <cell r="V80">
            <v>0</v>
          </cell>
          <cell r="AB80">
            <v>5006</v>
          </cell>
          <cell r="AC80">
            <v>573500</v>
          </cell>
          <cell r="AD80">
            <v>0</v>
          </cell>
          <cell r="AE80">
            <v>0</v>
          </cell>
          <cell r="AF80">
            <v>0</v>
          </cell>
          <cell r="AG80">
            <v>18500</v>
          </cell>
          <cell r="AH80">
            <v>18500</v>
          </cell>
          <cell r="AK80">
            <v>0</v>
          </cell>
          <cell r="AL80">
            <v>610500</v>
          </cell>
        </row>
        <row r="81">
          <cell r="C81">
            <v>5007</v>
          </cell>
          <cell r="D81" t="str">
            <v>김성자</v>
          </cell>
          <cell r="E81" t="str">
            <v>사원</v>
          </cell>
          <cell r="F81">
            <v>2360</v>
          </cell>
          <cell r="G81" t="str">
            <v>주</v>
          </cell>
          <cell r="H81" t="str">
            <v>일</v>
          </cell>
          <cell r="I81" t="str">
            <v>여</v>
          </cell>
          <cell r="J81">
            <v>31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623040</v>
          </cell>
          <cell r="U81">
            <v>623040</v>
          </cell>
          <cell r="V81">
            <v>0</v>
          </cell>
          <cell r="AB81">
            <v>5007</v>
          </cell>
          <cell r="AC81">
            <v>585280</v>
          </cell>
          <cell r="AD81">
            <v>0</v>
          </cell>
          <cell r="AE81">
            <v>0</v>
          </cell>
          <cell r="AF81">
            <v>0</v>
          </cell>
          <cell r="AG81">
            <v>18880</v>
          </cell>
          <cell r="AH81">
            <v>18880</v>
          </cell>
          <cell r="AK81">
            <v>0</v>
          </cell>
          <cell r="AL81">
            <v>623040</v>
          </cell>
        </row>
        <row r="82">
          <cell r="C82">
            <v>6001</v>
          </cell>
          <cell r="D82" t="str">
            <v>임은숙</v>
          </cell>
          <cell r="E82" t="str">
            <v>사원</v>
          </cell>
          <cell r="F82">
            <v>2403.8000000000002</v>
          </cell>
          <cell r="G82" t="str">
            <v>주</v>
          </cell>
          <cell r="H82" t="str">
            <v>일</v>
          </cell>
          <cell r="I82" t="str">
            <v>여</v>
          </cell>
          <cell r="J82">
            <v>31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634603.20000000007</v>
          </cell>
          <cell r="U82">
            <v>634603.20000000007</v>
          </cell>
          <cell r="V82">
            <v>0</v>
          </cell>
          <cell r="AB82">
            <v>6001</v>
          </cell>
          <cell r="AC82">
            <v>596142</v>
          </cell>
          <cell r="AD82">
            <v>0</v>
          </cell>
          <cell r="AE82">
            <v>0</v>
          </cell>
          <cell r="AF82">
            <v>0</v>
          </cell>
          <cell r="AG82">
            <v>19230</v>
          </cell>
          <cell r="AH82">
            <v>19230</v>
          </cell>
          <cell r="AK82">
            <v>0</v>
          </cell>
          <cell r="AL82">
            <v>634602</v>
          </cell>
        </row>
        <row r="83">
          <cell r="C83">
            <v>6002</v>
          </cell>
          <cell r="D83" t="str">
            <v>이재현</v>
          </cell>
          <cell r="E83" t="str">
            <v>사원</v>
          </cell>
          <cell r="F83">
            <v>2337.5</v>
          </cell>
          <cell r="G83" t="str">
            <v>주</v>
          </cell>
          <cell r="H83" t="str">
            <v>일</v>
          </cell>
          <cell r="I83" t="str">
            <v>여</v>
          </cell>
          <cell r="J83">
            <v>31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617100</v>
          </cell>
          <cell r="U83">
            <v>617100</v>
          </cell>
          <cell r="V83">
            <v>0</v>
          </cell>
          <cell r="AB83">
            <v>6002</v>
          </cell>
          <cell r="AC83">
            <v>579700</v>
          </cell>
          <cell r="AD83">
            <v>0</v>
          </cell>
          <cell r="AE83">
            <v>0</v>
          </cell>
          <cell r="AF83">
            <v>0</v>
          </cell>
          <cell r="AG83">
            <v>18700</v>
          </cell>
          <cell r="AH83">
            <v>18700</v>
          </cell>
          <cell r="AK83">
            <v>0</v>
          </cell>
          <cell r="AL83">
            <v>617100</v>
          </cell>
        </row>
        <row r="84">
          <cell r="C84">
            <v>6003</v>
          </cell>
          <cell r="D84" t="str">
            <v>안연숙</v>
          </cell>
          <cell r="E84" t="str">
            <v>사원</v>
          </cell>
          <cell r="F84">
            <v>2566.3000000000002</v>
          </cell>
          <cell r="G84" t="str">
            <v>주</v>
          </cell>
          <cell r="H84" t="str">
            <v>일</v>
          </cell>
          <cell r="I84" t="str">
            <v>여</v>
          </cell>
          <cell r="J84">
            <v>31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677503.20000000007</v>
          </cell>
          <cell r="U84">
            <v>677503.20000000007</v>
          </cell>
          <cell r="V84">
            <v>0</v>
          </cell>
          <cell r="AB84">
            <v>6003</v>
          </cell>
          <cell r="AC84">
            <v>636442</v>
          </cell>
          <cell r="AD84">
            <v>0</v>
          </cell>
          <cell r="AE84">
            <v>0</v>
          </cell>
          <cell r="AF84">
            <v>0</v>
          </cell>
          <cell r="AG84">
            <v>20530</v>
          </cell>
          <cell r="AH84">
            <v>20530</v>
          </cell>
          <cell r="AK84">
            <v>0</v>
          </cell>
          <cell r="AL84">
            <v>677502</v>
          </cell>
        </row>
        <row r="85">
          <cell r="C85">
            <v>6004</v>
          </cell>
          <cell r="D85" t="str">
            <v>김정숙</v>
          </cell>
          <cell r="E85" t="str">
            <v>사원</v>
          </cell>
          <cell r="F85">
            <v>2312.5</v>
          </cell>
          <cell r="G85" t="str">
            <v>주</v>
          </cell>
          <cell r="H85" t="str">
            <v>일</v>
          </cell>
          <cell r="I85" t="str">
            <v>여</v>
          </cell>
          <cell r="J85">
            <v>31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610500</v>
          </cell>
          <cell r="U85">
            <v>610500</v>
          </cell>
          <cell r="V85">
            <v>0</v>
          </cell>
          <cell r="AB85">
            <v>6004</v>
          </cell>
          <cell r="AC85">
            <v>573500</v>
          </cell>
          <cell r="AD85">
            <v>0</v>
          </cell>
          <cell r="AE85">
            <v>0</v>
          </cell>
          <cell r="AF85">
            <v>0</v>
          </cell>
          <cell r="AG85">
            <v>18500</v>
          </cell>
          <cell r="AH85">
            <v>18500</v>
          </cell>
          <cell r="AK85">
            <v>0</v>
          </cell>
          <cell r="AL85">
            <v>610500</v>
          </cell>
        </row>
        <row r="86">
          <cell r="C86">
            <v>6005</v>
          </cell>
          <cell r="D86" t="str">
            <v>송명옥</v>
          </cell>
          <cell r="E86" t="str">
            <v>사원</v>
          </cell>
          <cell r="F86">
            <v>2312.5</v>
          </cell>
          <cell r="G86" t="str">
            <v>주</v>
          </cell>
          <cell r="H86" t="str">
            <v>일</v>
          </cell>
          <cell r="I86" t="str">
            <v>여</v>
          </cell>
          <cell r="J86">
            <v>31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610500</v>
          </cell>
          <cell r="U86">
            <v>610500</v>
          </cell>
          <cell r="V86">
            <v>0</v>
          </cell>
          <cell r="AB86">
            <v>6005</v>
          </cell>
          <cell r="AC86">
            <v>573500</v>
          </cell>
          <cell r="AD86">
            <v>0</v>
          </cell>
          <cell r="AE86">
            <v>0</v>
          </cell>
          <cell r="AF86">
            <v>0</v>
          </cell>
          <cell r="AG86">
            <v>18500</v>
          </cell>
          <cell r="AH86">
            <v>18500</v>
          </cell>
          <cell r="AK86">
            <v>0</v>
          </cell>
          <cell r="AL86">
            <v>610500</v>
          </cell>
        </row>
        <row r="87">
          <cell r="C87">
            <v>6006</v>
          </cell>
          <cell r="D87" t="str">
            <v>남미숙</v>
          </cell>
          <cell r="E87" t="str">
            <v>사원</v>
          </cell>
          <cell r="F87">
            <v>2318.8000000000002</v>
          </cell>
          <cell r="G87" t="str">
            <v>주</v>
          </cell>
          <cell r="H87" t="str">
            <v>일</v>
          </cell>
          <cell r="I87" t="str">
            <v>여</v>
          </cell>
          <cell r="J87">
            <v>31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612163.20000000007</v>
          </cell>
          <cell r="U87">
            <v>612163.20000000007</v>
          </cell>
          <cell r="V87">
            <v>0</v>
          </cell>
          <cell r="AB87">
            <v>6006</v>
          </cell>
          <cell r="AC87">
            <v>575062</v>
          </cell>
          <cell r="AD87">
            <v>0</v>
          </cell>
          <cell r="AE87">
            <v>0</v>
          </cell>
          <cell r="AF87">
            <v>0</v>
          </cell>
          <cell r="AG87">
            <v>18550</v>
          </cell>
          <cell r="AH87">
            <v>18550</v>
          </cell>
          <cell r="AK87">
            <v>0</v>
          </cell>
          <cell r="AL87">
            <v>612162</v>
          </cell>
        </row>
        <row r="88">
          <cell r="C88">
            <v>6007</v>
          </cell>
          <cell r="D88" t="str">
            <v>김향순</v>
          </cell>
          <cell r="E88" t="str">
            <v>사원</v>
          </cell>
          <cell r="F88">
            <v>2312.5</v>
          </cell>
          <cell r="G88" t="str">
            <v>주</v>
          </cell>
          <cell r="H88" t="str">
            <v>일</v>
          </cell>
          <cell r="I88" t="str">
            <v>여</v>
          </cell>
          <cell r="J88">
            <v>31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610500</v>
          </cell>
          <cell r="U88">
            <v>610500</v>
          </cell>
          <cell r="V88">
            <v>0</v>
          </cell>
          <cell r="AB88">
            <v>6007</v>
          </cell>
          <cell r="AC88">
            <v>573500</v>
          </cell>
          <cell r="AD88">
            <v>0</v>
          </cell>
          <cell r="AE88">
            <v>0</v>
          </cell>
          <cell r="AF88">
            <v>0</v>
          </cell>
          <cell r="AG88">
            <v>18500</v>
          </cell>
          <cell r="AH88">
            <v>18500</v>
          </cell>
          <cell r="AK88">
            <v>0</v>
          </cell>
          <cell r="AL88">
            <v>610500</v>
          </cell>
        </row>
        <row r="89">
          <cell r="C89">
            <v>6008</v>
          </cell>
          <cell r="D89" t="str">
            <v>채윤자</v>
          </cell>
          <cell r="E89" t="str">
            <v>사원</v>
          </cell>
          <cell r="F89">
            <v>2312.5</v>
          </cell>
          <cell r="G89" t="str">
            <v>주</v>
          </cell>
          <cell r="H89" t="str">
            <v>일</v>
          </cell>
          <cell r="I89" t="str">
            <v>여</v>
          </cell>
          <cell r="J89">
            <v>31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610500</v>
          </cell>
          <cell r="U89">
            <v>610500</v>
          </cell>
          <cell r="V89">
            <v>0</v>
          </cell>
          <cell r="AB89">
            <v>6008</v>
          </cell>
          <cell r="AC89">
            <v>573500</v>
          </cell>
          <cell r="AD89">
            <v>0</v>
          </cell>
          <cell r="AE89">
            <v>0</v>
          </cell>
          <cell r="AF89">
            <v>0</v>
          </cell>
          <cell r="AG89">
            <v>18500</v>
          </cell>
          <cell r="AH89">
            <v>18500</v>
          </cell>
          <cell r="AK89">
            <v>0</v>
          </cell>
          <cell r="AL89">
            <v>610500</v>
          </cell>
        </row>
        <row r="90">
          <cell r="C90">
            <v>7001</v>
          </cell>
          <cell r="D90" t="str">
            <v>김영환</v>
          </cell>
          <cell r="E90" t="str">
            <v>사원</v>
          </cell>
          <cell r="F90">
            <v>3000</v>
          </cell>
          <cell r="G90" t="str">
            <v>주</v>
          </cell>
          <cell r="H90" t="str">
            <v>일</v>
          </cell>
          <cell r="I90" t="str">
            <v>남</v>
          </cell>
          <cell r="J90">
            <v>31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768000</v>
          </cell>
          <cell r="U90">
            <v>768000</v>
          </cell>
          <cell r="V90">
            <v>0</v>
          </cell>
          <cell r="AB90">
            <v>7001</v>
          </cell>
          <cell r="AC90">
            <v>744000</v>
          </cell>
          <cell r="AD90">
            <v>0</v>
          </cell>
          <cell r="AE90">
            <v>0</v>
          </cell>
          <cell r="AF90">
            <v>0</v>
          </cell>
          <cell r="AG90">
            <v>24000</v>
          </cell>
          <cell r="AH90">
            <v>0</v>
          </cell>
          <cell r="AK90">
            <v>0</v>
          </cell>
          <cell r="AL90">
            <v>768000</v>
          </cell>
        </row>
        <row r="91">
          <cell r="C91">
            <v>7002</v>
          </cell>
          <cell r="D91" t="str">
            <v>이해용</v>
          </cell>
          <cell r="E91" t="str">
            <v>사원</v>
          </cell>
          <cell r="F91">
            <v>3000</v>
          </cell>
          <cell r="G91" t="str">
            <v>주</v>
          </cell>
          <cell r="H91" t="str">
            <v>일</v>
          </cell>
          <cell r="I91" t="str">
            <v>남</v>
          </cell>
          <cell r="J91">
            <v>31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768000</v>
          </cell>
          <cell r="U91">
            <v>768000</v>
          </cell>
          <cell r="V91">
            <v>0</v>
          </cell>
          <cell r="AB91">
            <v>7002</v>
          </cell>
          <cell r="AC91">
            <v>744000</v>
          </cell>
          <cell r="AD91">
            <v>0</v>
          </cell>
          <cell r="AE91">
            <v>0</v>
          </cell>
          <cell r="AF91">
            <v>0</v>
          </cell>
          <cell r="AG91">
            <v>24000</v>
          </cell>
          <cell r="AH91">
            <v>0</v>
          </cell>
          <cell r="AK91">
            <v>0</v>
          </cell>
          <cell r="AL91">
            <v>768000</v>
          </cell>
        </row>
        <row r="92">
          <cell r="C92">
            <v>8001</v>
          </cell>
          <cell r="D92" t="str">
            <v>김한규</v>
          </cell>
          <cell r="E92" t="str">
            <v>사원</v>
          </cell>
          <cell r="F92">
            <v>3000</v>
          </cell>
          <cell r="G92" t="str">
            <v>주</v>
          </cell>
          <cell r="H92" t="str">
            <v>일</v>
          </cell>
          <cell r="I92" t="str">
            <v>남</v>
          </cell>
          <cell r="J92">
            <v>31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768000</v>
          </cell>
          <cell r="U92">
            <v>768000</v>
          </cell>
          <cell r="V92">
            <v>0</v>
          </cell>
          <cell r="AB92">
            <v>8001</v>
          </cell>
          <cell r="AC92">
            <v>744000</v>
          </cell>
          <cell r="AD92">
            <v>0</v>
          </cell>
          <cell r="AE92">
            <v>0</v>
          </cell>
          <cell r="AF92">
            <v>0</v>
          </cell>
          <cell r="AG92">
            <v>24000</v>
          </cell>
          <cell r="AH92">
            <v>0</v>
          </cell>
          <cell r="AK92">
            <v>0</v>
          </cell>
          <cell r="AL92">
            <v>768000</v>
          </cell>
        </row>
        <row r="93">
          <cell r="C93">
            <v>8002</v>
          </cell>
          <cell r="D93" t="str">
            <v>이윤기</v>
          </cell>
          <cell r="E93" t="str">
            <v>사원</v>
          </cell>
          <cell r="F93">
            <v>3000</v>
          </cell>
          <cell r="G93" t="str">
            <v>주</v>
          </cell>
          <cell r="H93" t="str">
            <v>일</v>
          </cell>
          <cell r="I93" t="str">
            <v>남</v>
          </cell>
          <cell r="J93">
            <v>31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768000</v>
          </cell>
          <cell r="U93">
            <v>768000</v>
          </cell>
          <cell r="V93">
            <v>0</v>
          </cell>
          <cell r="AB93">
            <v>8002</v>
          </cell>
          <cell r="AC93">
            <v>744000</v>
          </cell>
          <cell r="AD93">
            <v>0</v>
          </cell>
          <cell r="AE93">
            <v>0</v>
          </cell>
          <cell r="AF93">
            <v>0</v>
          </cell>
          <cell r="AG93">
            <v>24000</v>
          </cell>
          <cell r="AH93">
            <v>0</v>
          </cell>
          <cell r="AK93">
            <v>0</v>
          </cell>
          <cell r="AL93">
            <v>768000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K94">
            <v>0</v>
          </cell>
          <cell r="AL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K95">
            <v>0</v>
          </cell>
          <cell r="AL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K96">
            <v>0</v>
          </cell>
          <cell r="AL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K97">
            <v>0</v>
          </cell>
          <cell r="AL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K98">
            <v>0</v>
          </cell>
          <cell r="AL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K99">
            <v>0</v>
          </cell>
          <cell r="AL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K100">
            <v>0</v>
          </cell>
          <cell r="AL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</row>
      </sheetData>
      <sheetData sheetId="6"/>
      <sheetData sheetId="7" refreshError="1"/>
      <sheetData sheetId="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정규직명부"/>
      <sheetName val="포괄고정임금시간"/>
      <sheetName val="2021-06 급여대장"/>
      <sheetName val="2021-06  급여명세표"/>
      <sheetName val="202106_국민연금"/>
      <sheetName val="202106_건강보험"/>
      <sheetName val="2021 간이세액표"/>
      <sheetName val="퇴사자 건강정산"/>
    </sheetNames>
    <sheetDataSet>
      <sheetData sheetId="0"/>
      <sheetData sheetId="1"/>
      <sheetData sheetId="2"/>
      <sheetData sheetId="3"/>
      <sheetData sheetId="4">
        <row r="3">
          <cell r="O3">
            <v>1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9근로급여별세표"/>
      <sheetName val="2000년"/>
      <sheetName val="2001년(현행)"/>
      <sheetName val="2001년(1안, 2안)"/>
      <sheetName val="2001년(3안)"/>
      <sheetName val="2001년(4안)"/>
      <sheetName val="계충별(1안)"/>
      <sheetName val="계충별(2안)"/>
      <sheetName val="계충별(3안)"/>
      <sheetName val="계충별(4안)"/>
      <sheetName val="계충별(사업)"/>
      <sheetName val="사업소득자세수추계"/>
      <sheetName val="경감율 차트"/>
      <sheetName val="세부담율 차트"/>
      <sheetName val="겸감율 종합"/>
      <sheetName val="계충별(논외1안)"/>
      <sheetName val="계충별(논외2안)"/>
      <sheetName val="계충별(논외3안)"/>
      <sheetName val="계충별(논외4안)"/>
      <sheetName val="계충별(논외5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8">
          <cell r="A58">
            <v>10000000</v>
          </cell>
          <cell r="B58">
            <v>0.1</v>
          </cell>
        </row>
        <row r="59">
          <cell r="A59">
            <v>40000000</v>
          </cell>
          <cell r="B59">
            <v>0.2</v>
          </cell>
        </row>
        <row r="60">
          <cell r="A60">
            <v>80000000</v>
          </cell>
          <cell r="B60">
            <v>0.3</v>
          </cell>
        </row>
        <row r="61">
          <cell r="A61">
            <v>0</v>
          </cell>
          <cell r="B61">
            <v>0.4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COST"/>
      <sheetName val="일위산출"/>
      <sheetName val="일위대가"/>
      <sheetName val="총(신설)"/>
      <sheetName val="노임단가"/>
      <sheetName val="자재단가"/>
      <sheetName val="웅진교-S2"/>
      <sheetName val="변압기 및 발전기 용량"/>
      <sheetName val="노단"/>
      <sheetName val="36단가"/>
      <sheetName val="36수량"/>
      <sheetName val="4.설계예산내역서"/>
      <sheetName val="5.공종별예산내역서"/>
      <sheetName val="6.관급자재조서"/>
      <sheetName val="실행"/>
      <sheetName val="제출내역 (2)"/>
      <sheetName val="토사(PE)"/>
      <sheetName val="도급정산"/>
      <sheetName val="동원인원산출"/>
      <sheetName val="48일위(기존)"/>
      <sheetName val="1.설계설명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원사현황"/>
      <sheetName val="자문료정보"/>
      <sheetName val="회원사정보"/>
      <sheetName val="정규직근로자명부"/>
      <sheetName val="퇴사자명부"/>
      <sheetName val="근로시간설정"/>
      <sheetName val="임금구성항목"/>
      <sheetName val="급여명세서"/>
      <sheetName val="급여이체내역서"/>
      <sheetName val="근로계약서"/>
      <sheetName val="연장근로신청서"/>
      <sheetName val="연차휴가테이블"/>
      <sheetName val="미사용연차통보서"/>
      <sheetName val="연차시기지정통보서"/>
      <sheetName val="재직증명서"/>
      <sheetName val="인사기록카드"/>
      <sheetName val="퇴직금중간정산신청서"/>
      <sheetName val="퇴직금산정내역서"/>
      <sheetName val="일용직근로자명부"/>
      <sheetName val="단시간근로자명부"/>
      <sheetName val="만년달력"/>
      <sheetName val="조정계수표"/>
      <sheetName val="간이세액표(2012)"/>
      <sheetName val="결재란"/>
      <sheetName val="Sheet1"/>
    </sheetNames>
    <sheetDataSet>
      <sheetData sheetId="0"/>
      <sheetData sheetId="1"/>
      <sheetData sheetId="2">
        <row r="5">
          <cell r="C5" t="str">
            <v>으뜸 인재 양성의 요람</v>
          </cell>
        </row>
      </sheetData>
      <sheetData sheetId="3">
        <row r="6">
          <cell r="A6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A5">
            <v>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G2">
            <v>2012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사원목록"/>
      <sheetName val="처리대장"/>
      <sheetName val="교환환불대장"/>
      <sheetName val="CSP성과"/>
      <sheetName val="수수료"/>
      <sheetName val="당직"/>
      <sheetName val="수수료지급조서"/>
      <sheetName val="추가공제"/>
      <sheetName val="급여작업"/>
      <sheetName val="지급내역"/>
      <sheetName val="매출현황"/>
      <sheetName val="은행이체"/>
      <sheetName val="타행현금"/>
      <sheetName val="Temp"/>
      <sheetName val="P_Input"/>
      <sheetName val="P_Pass"/>
      <sheetName val="I_Input"/>
      <sheetName val="I_Pass"/>
      <sheetName val="급여명세서"/>
      <sheetName val="Pay_Mail"/>
      <sheetName val="Pay_Db"/>
      <sheetName val="Charge_Db"/>
      <sheetName val="Pa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접지1종"/>
      <sheetName val="접지3종"/>
      <sheetName val="개폐기신설"/>
      <sheetName val="맨홀신설"/>
      <sheetName val="백열신설"/>
      <sheetName val="백열신설 (2)"/>
      <sheetName val="분전함신설"/>
      <sheetName val="설계"/>
      <sheetName val="Baby일위대가"/>
      <sheetName val="4.설계예산내역서"/>
      <sheetName val="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원사현황"/>
      <sheetName val="자문료정보"/>
      <sheetName val="회원사정보"/>
      <sheetName val="정규직근로자명부"/>
      <sheetName val="퇴사자명부"/>
      <sheetName val="근로시간설정"/>
      <sheetName val="임금구성항목"/>
      <sheetName val="급여명세서"/>
      <sheetName val="급여이체내역서"/>
      <sheetName val="근로계약서"/>
      <sheetName val="연장근로신청서"/>
      <sheetName val="연차휴가테이블"/>
      <sheetName val="미사용연차통보서"/>
      <sheetName val="연차시기지정통보서"/>
      <sheetName val="재직증명서"/>
      <sheetName val="인사기록카드"/>
      <sheetName val="퇴직금중간정산신청서"/>
      <sheetName val="퇴직금산정내역서"/>
      <sheetName val="일용직근로자명부"/>
      <sheetName val="단시간근로자명부"/>
      <sheetName val="만년달력"/>
      <sheetName val="조정계수표"/>
      <sheetName val="간이세액표(2012)"/>
      <sheetName val="결재란"/>
      <sheetName val="Sheet1"/>
    </sheetNames>
    <sheetDataSet>
      <sheetData sheetId="0"/>
      <sheetData sheetId="1"/>
      <sheetData sheetId="2">
        <row r="5">
          <cell r="C5" t="str">
            <v>으뜸 인재 양성의 요람</v>
          </cell>
        </row>
      </sheetData>
      <sheetData sheetId="3">
        <row r="6">
          <cell r="A6">
            <v>1</v>
          </cell>
          <cell r="B6" t="str">
            <v>이인창</v>
          </cell>
          <cell r="D6" t="str">
            <v>710117-1178219</v>
          </cell>
          <cell r="K6">
            <v>40603</v>
          </cell>
          <cell r="S6" t="str">
            <v>중등부</v>
          </cell>
          <cell r="T6" t="str">
            <v>강의</v>
          </cell>
          <cell r="AG6" t="str">
            <v>경기도 안양시 동안구 비산동 뉴타운 삼호</v>
          </cell>
        </row>
        <row r="7">
          <cell r="B7" t="str">
            <v>채재호</v>
          </cell>
          <cell r="D7" t="str">
            <v>791015-1177512</v>
          </cell>
          <cell r="K7">
            <v>40579</v>
          </cell>
          <cell r="S7" t="str">
            <v>중등부</v>
          </cell>
          <cell r="T7" t="str">
            <v>강의</v>
          </cell>
          <cell r="AG7" t="str">
            <v>경기도 수원시 장안구 조원동 912 임광그대가(아) 105-801</v>
          </cell>
        </row>
        <row r="8">
          <cell r="B8" t="str">
            <v>김진아</v>
          </cell>
          <cell r="D8" t="str">
            <v>840817-2163813</v>
          </cell>
          <cell r="K8">
            <v>40787</v>
          </cell>
          <cell r="S8" t="str">
            <v>초등부</v>
          </cell>
          <cell r="T8" t="str">
            <v>강의</v>
          </cell>
          <cell r="AG8" t="str">
            <v>경기도 수원시 장안구 정자동 벽산(아) 425-1502</v>
          </cell>
        </row>
        <row r="9">
          <cell r="B9" t="str">
            <v>박미현</v>
          </cell>
          <cell r="D9" t="str">
            <v>861018-2163131</v>
          </cell>
          <cell r="K9">
            <v>40820</v>
          </cell>
          <cell r="S9" t="str">
            <v>초등부</v>
          </cell>
          <cell r="T9" t="str">
            <v>강의</v>
          </cell>
          <cell r="AG9" t="str">
            <v>경기도 수원시 팔달구 꽃뫼버들마을 금강(아) 152-1501</v>
          </cell>
        </row>
        <row r="10">
          <cell r="B10" t="str">
            <v>임수연</v>
          </cell>
          <cell r="D10" t="str">
            <v>720818-2057327</v>
          </cell>
          <cell r="K10">
            <v>40989</v>
          </cell>
          <cell r="S10" t="str">
            <v>초등부</v>
          </cell>
          <cell r="T10" t="str">
            <v>강의</v>
          </cell>
        </row>
        <row r="11">
          <cell r="B11" t="str">
            <v>문태현</v>
          </cell>
          <cell r="D11" t="str">
            <v>810408-1575725</v>
          </cell>
          <cell r="K11">
            <v>40672</v>
          </cell>
          <cell r="S11" t="str">
            <v>사무부</v>
          </cell>
          <cell r="T11" t="str">
            <v>관리</v>
          </cell>
          <cell r="AG11" t="str">
            <v>인천광역시 연수구 선학동 아주(아) 101-1207</v>
          </cell>
        </row>
        <row r="12">
          <cell r="B12" t="str">
            <v>박정혜</v>
          </cell>
          <cell r="D12" t="str">
            <v>780806-2162434</v>
          </cell>
          <cell r="K12">
            <v>40823</v>
          </cell>
          <cell r="S12" t="str">
            <v>중등부</v>
          </cell>
          <cell r="T12" t="str">
            <v>강의</v>
          </cell>
        </row>
        <row r="13">
          <cell r="B13" t="str">
            <v>김설</v>
          </cell>
          <cell r="D13" t="str">
            <v>850729-2228417</v>
          </cell>
          <cell r="K13">
            <v>40014</v>
          </cell>
          <cell r="S13" t="str">
            <v>중등부</v>
          </cell>
          <cell r="T13" t="str">
            <v>강의</v>
          </cell>
        </row>
        <row r="14">
          <cell r="B14" t="str">
            <v>장혜진</v>
          </cell>
          <cell r="D14" t="str">
            <v>830325-2396613</v>
          </cell>
          <cell r="K14">
            <v>40851</v>
          </cell>
          <cell r="S14" t="str">
            <v>중등부</v>
          </cell>
          <cell r="T14" t="str">
            <v>강의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A5">
            <v>1</v>
          </cell>
          <cell r="N5" t="str">
            <v>연차미발생</v>
          </cell>
          <cell r="Q5" t="str">
            <v>-</v>
          </cell>
          <cell r="S5" t="str">
            <v>-</v>
          </cell>
        </row>
        <row r="6">
          <cell r="N6" t="str">
            <v>연차미발생</v>
          </cell>
          <cell r="Q6" t="str">
            <v>-</v>
          </cell>
          <cell r="S6" t="str">
            <v>-</v>
          </cell>
        </row>
        <row r="7">
          <cell r="N7" t="str">
            <v>연차미발생</v>
          </cell>
          <cell r="Q7" t="str">
            <v>-</v>
          </cell>
          <cell r="S7" t="str">
            <v>-</v>
          </cell>
        </row>
        <row r="8">
          <cell r="N8" t="str">
            <v>연차미발생</v>
          </cell>
          <cell r="Q8" t="str">
            <v>-</v>
          </cell>
          <cell r="S8" t="str">
            <v>-</v>
          </cell>
        </row>
        <row r="9">
          <cell r="N9" t="str">
            <v>연차미발생</v>
          </cell>
          <cell r="Q9" t="str">
            <v>-</v>
          </cell>
          <cell r="S9" t="str">
            <v>-</v>
          </cell>
        </row>
        <row r="10">
          <cell r="N10" t="str">
            <v>연차미발생</v>
          </cell>
          <cell r="Q10" t="str">
            <v>-</v>
          </cell>
          <cell r="S10" t="str">
            <v>-</v>
          </cell>
        </row>
        <row r="11">
          <cell r="N11" t="str">
            <v>연차미발생</v>
          </cell>
          <cell r="Q11" t="str">
            <v>-</v>
          </cell>
          <cell r="S11" t="str">
            <v>-</v>
          </cell>
        </row>
        <row r="12">
          <cell r="N12">
            <v>15</v>
          </cell>
          <cell r="Q12">
            <v>15</v>
          </cell>
          <cell r="S12">
            <v>41274</v>
          </cell>
        </row>
        <row r="13">
          <cell r="N13" t="str">
            <v>연차미발생</v>
          </cell>
          <cell r="Q13" t="str">
            <v>-</v>
          </cell>
          <cell r="S13" t="str">
            <v>-</v>
          </cell>
        </row>
        <row r="14">
          <cell r="N14">
            <v>25</v>
          </cell>
          <cell r="Q14">
            <v>25</v>
          </cell>
          <cell r="S14">
            <v>41274</v>
          </cell>
        </row>
        <row r="15">
          <cell r="N15">
            <v>25</v>
          </cell>
          <cell r="Q15">
            <v>25</v>
          </cell>
          <cell r="S15">
            <v>41274</v>
          </cell>
        </row>
        <row r="16">
          <cell r="N16">
            <v>25</v>
          </cell>
          <cell r="Q16">
            <v>25</v>
          </cell>
          <cell r="S16">
            <v>41274</v>
          </cell>
        </row>
        <row r="17">
          <cell r="N17">
            <v>25</v>
          </cell>
          <cell r="Q17">
            <v>25</v>
          </cell>
          <cell r="S17">
            <v>41274</v>
          </cell>
        </row>
        <row r="18">
          <cell r="N18">
            <v>25</v>
          </cell>
          <cell r="Q18">
            <v>25</v>
          </cell>
          <cell r="S18">
            <v>41274</v>
          </cell>
        </row>
        <row r="19">
          <cell r="N19">
            <v>25</v>
          </cell>
          <cell r="Q19">
            <v>25</v>
          </cell>
          <cell r="S19">
            <v>41274</v>
          </cell>
        </row>
        <row r="20">
          <cell r="N20">
            <v>25</v>
          </cell>
          <cell r="Q20">
            <v>25</v>
          </cell>
          <cell r="S20">
            <v>41274</v>
          </cell>
        </row>
        <row r="21">
          <cell r="N21">
            <v>25</v>
          </cell>
          <cell r="Q21">
            <v>25</v>
          </cell>
          <cell r="S21">
            <v>41274</v>
          </cell>
        </row>
        <row r="22">
          <cell r="N22">
            <v>25</v>
          </cell>
          <cell r="Q22">
            <v>25</v>
          </cell>
          <cell r="S22">
            <v>41274</v>
          </cell>
        </row>
        <row r="23">
          <cell r="N23">
            <v>25</v>
          </cell>
          <cell r="Q23">
            <v>25</v>
          </cell>
          <cell r="S23">
            <v>41274</v>
          </cell>
        </row>
        <row r="24">
          <cell r="N24">
            <v>25</v>
          </cell>
          <cell r="Q24">
            <v>25</v>
          </cell>
          <cell r="S24">
            <v>41274</v>
          </cell>
        </row>
        <row r="25">
          <cell r="N25">
            <v>25</v>
          </cell>
          <cell r="Q25">
            <v>25</v>
          </cell>
          <cell r="S25">
            <v>41274</v>
          </cell>
        </row>
        <row r="26">
          <cell r="N26">
            <v>25</v>
          </cell>
          <cell r="Q26">
            <v>25</v>
          </cell>
          <cell r="S26">
            <v>41274</v>
          </cell>
        </row>
        <row r="27">
          <cell r="N27">
            <v>25</v>
          </cell>
          <cell r="Q27">
            <v>25</v>
          </cell>
          <cell r="S27">
            <v>41274</v>
          </cell>
        </row>
        <row r="28">
          <cell r="N28">
            <v>25</v>
          </cell>
          <cell r="Q28">
            <v>25</v>
          </cell>
          <cell r="S28">
            <v>41274</v>
          </cell>
        </row>
        <row r="29">
          <cell r="N29">
            <v>25</v>
          </cell>
          <cell r="Q29">
            <v>25</v>
          </cell>
          <cell r="S29">
            <v>41274</v>
          </cell>
        </row>
        <row r="30">
          <cell r="N30">
            <v>25</v>
          </cell>
          <cell r="Q30">
            <v>25</v>
          </cell>
          <cell r="S30">
            <v>41274</v>
          </cell>
        </row>
        <row r="31">
          <cell r="N31">
            <v>25</v>
          </cell>
          <cell r="Q31">
            <v>25</v>
          </cell>
          <cell r="S31">
            <v>41274</v>
          </cell>
        </row>
        <row r="32">
          <cell r="N32">
            <v>25</v>
          </cell>
          <cell r="Q32">
            <v>25</v>
          </cell>
          <cell r="S32">
            <v>41274</v>
          </cell>
        </row>
        <row r="33">
          <cell r="N33">
            <v>25</v>
          </cell>
          <cell r="Q33">
            <v>25</v>
          </cell>
          <cell r="S33">
            <v>41274</v>
          </cell>
        </row>
        <row r="34">
          <cell r="N34">
            <v>25</v>
          </cell>
          <cell r="Q34">
            <v>25</v>
          </cell>
          <cell r="S34">
            <v>41274</v>
          </cell>
        </row>
        <row r="35">
          <cell r="N35">
            <v>25</v>
          </cell>
          <cell r="Q35">
            <v>25</v>
          </cell>
          <cell r="S35">
            <v>41274</v>
          </cell>
        </row>
        <row r="36">
          <cell r="N36">
            <v>25</v>
          </cell>
          <cell r="Q36">
            <v>25</v>
          </cell>
          <cell r="S36">
            <v>41274</v>
          </cell>
        </row>
        <row r="37">
          <cell r="N37">
            <v>25</v>
          </cell>
          <cell r="Q37">
            <v>25</v>
          </cell>
          <cell r="S37">
            <v>41274</v>
          </cell>
        </row>
        <row r="38">
          <cell r="N38">
            <v>25</v>
          </cell>
          <cell r="Q38">
            <v>25</v>
          </cell>
          <cell r="S38">
            <v>41274</v>
          </cell>
        </row>
        <row r="39">
          <cell r="N39">
            <v>25</v>
          </cell>
          <cell r="Q39">
            <v>25</v>
          </cell>
          <cell r="S39">
            <v>41274</v>
          </cell>
        </row>
        <row r="40">
          <cell r="N40">
            <v>25</v>
          </cell>
          <cell r="Q40">
            <v>25</v>
          </cell>
          <cell r="S40">
            <v>41274</v>
          </cell>
        </row>
        <row r="41">
          <cell r="N41">
            <v>25</v>
          </cell>
          <cell r="Q41">
            <v>25</v>
          </cell>
          <cell r="S41">
            <v>41274</v>
          </cell>
        </row>
        <row r="42">
          <cell r="N42">
            <v>25</v>
          </cell>
          <cell r="Q42">
            <v>25</v>
          </cell>
          <cell r="S42">
            <v>41274</v>
          </cell>
        </row>
        <row r="43">
          <cell r="N43">
            <v>25</v>
          </cell>
          <cell r="Q43">
            <v>25</v>
          </cell>
          <cell r="S43">
            <v>41274</v>
          </cell>
        </row>
        <row r="44">
          <cell r="N44">
            <v>25</v>
          </cell>
          <cell r="Q44">
            <v>25</v>
          </cell>
          <cell r="S44">
            <v>41274</v>
          </cell>
        </row>
        <row r="45">
          <cell r="N45">
            <v>25</v>
          </cell>
          <cell r="Q45">
            <v>25</v>
          </cell>
          <cell r="S45">
            <v>41274</v>
          </cell>
        </row>
        <row r="46">
          <cell r="N46">
            <v>25</v>
          </cell>
          <cell r="Q46">
            <v>25</v>
          </cell>
          <cell r="S46">
            <v>41274</v>
          </cell>
        </row>
        <row r="47">
          <cell r="N47">
            <v>25</v>
          </cell>
          <cell r="Q47">
            <v>25</v>
          </cell>
          <cell r="S47">
            <v>41274</v>
          </cell>
        </row>
        <row r="48">
          <cell r="N48">
            <v>25</v>
          </cell>
          <cell r="Q48">
            <v>25</v>
          </cell>
          <cell r="S48">
            <v>41274</v>
          </cell>
        </row>
        <row r="49">
          <cell r="N49">
            <v>25</v>
          </cell>
          <cell r="Q49">
            <v>25</v>
          </cell>
          <cell r="S49">
            <v>41274</v>
          </cell>
        </row>
        <row r="50">
          <cell r="N50">
            <v>25</v>
          </cell>
          <cell r="Q50">
            <v>25</v>
          </cell>
          <cell r="S50">
            <v>41274</v>
          </cell>
        </row>
        <row r="51">
          <cell r="N51">
            <v>25</v>
          </cell>
          <cell r="Q51">
            <v>25</v>
          </cell>
          <cell r="S51">
            <v>41274</v>
          </cell>
        </row>
        <row r="52">
          <cell r="N52">
            <v>25</v>
          </cell>
          <cell r="Q52">
            <v>25</v>
          </cell>
          <cell r="S52">
            <v>41274</v>
          </cell>
        </row>
        <row r="53">
          <cell r="N53">
            <v>25</v>
          </cell>
          <cell r="Q53">
            <v>25</v>
          </cell>
          <cell r="S53">
            <v>41274</v>
          </cell>
        </row>
        <row r="54">
          <cell r="N54">
            <v>25</v>
          </cell>
          <cell r="Q54">
            <v>25</v>
          </cell>
          <cell r="S54">
            <v>41274</v>
          </cell>
        </row>
        <row r="55">
          <cell r="N55">
            <v>25</v>
          </cell>
          <cell r="Q55">
            <v>25</v>
          </cell>
          <cell r="S55">
            <v>41274</v>
          </cell>
        </row>
        <row r="56">
          <cell r="N56">
            <v>25</v>
          </cell>
          <cell r="Q56">
            <v>25</v>
          </cell>
          <cell r="S56">
            <v>41274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크라운1월"/>
      <sheetName val="동양1월"/>
      <sheetName val="롯데1월"/>
      <sheetName val="해태1월"/>
      <sheetName val="1次제출"/>
    </sheetNames>
    <sheetDataSet>
      <sheetData sheetId="0" refreshError="1">
        <row r="1">
          <cell r="A1" t="str">
            <v>코드</v>
          </cell>
          <cell r="B1" t="str">
            <v>순위</v>
          </cell>
          <cell r="C1" t="str">
            <v>매출액</v>
          </cell>
        </row>
        <row r="2">
          <cell r="A2">
            <v>182301</v>
          </cell>
          <cell r="B2">
            <v>1</v>
          </cell>
          <cell r="C2">
            <v>12637341</v>
          </cell>
        </row>
        <row r="3">
          <cell r="A3">
            <v>128401</v>
          </cell>
          <cell r="B3">
            <v>2</v>
          </cell>
          <cell r="C3">
            <v>9966047</v>
          </cell>
        </row>
        <row r="4">
          <cell r="A4">
            <v>131900</v>
          </cell>
          <cell r="B4">
            <v>3</v>
          </cell>
          <cell r="C4">
            <v>7019378</v>
          </cell>
        </row>
        <row r="5">
          <cell r="A5">
            <v>182400</v>
          </cell>
          <cell r="B5">
            <v>4</v>
          </cell>
          <cell r="C5">
            <v>6008326</v>
          </cell>
        </row>
        <row r="6">
          <cell r="A6">
            <v>161304</v>
          </cell>
          <cell r="B6">
            <v>5</v>
          </cell>
          <cell r="C6">
            <v>4892700</v>
          </cell>
        </row>
        <row r="7">
          <cell r="A7">
            <v>128402</v>
          </cell>
          <cell r="B7">
            <v>6</v>
          </cell>
          <cell r="C7">
            <v>4868788</v>
          </cell>
        </row>
        <row r="8">
          <cell r="A8">
            <v>161401</v>
          </cell>
          <cell r="B8">
            <v>7</v>
          </cell>
          <cell r="C8">
            <v>4640015</v>
          </cell>
        </row>
        <row r="9">
          <cell r="A9">
            <v>142300</v>
          </cell>
          <cell r="B9">
            <v>8</v>
          </cell>
          <cell r="C9">
            <v>4604178</v>
          </cell>
        </row>
        <row r="10">
          <cell r="A10">
            <v>128403</v>
          </cell>
          <cell r="B10">
            <v>9</v>
          </cell>
          <cell r="C10">
            <v>4525342</v>
          </cell>
        </row>
        <row r="11">
          <cell r="A11">
            <v>112600</v>
          </cell>
          <cell r="B11">
            <v>10</v>
          </cell>
          <cell r="C11">
            <v>4326069</v>
          </cell>
        </row>
        <row r="12">
          <cell r="A12">
            <v>172000</v>
          </cell>
          <cell r="B12">
            <v>11</v>
          </cell>
          <cell r="C12">
            <v>3824472</v>
          </cell>
        </row>
        <row r="13">
          <cell r="A13">
            <v>161107</v>
          </cell>
          <cell r="B13">
            <v>12</v>
          </cell>
          <cell r="C13">
            <v>3323161</v>
          </cell>
        </row>
        <row r="14">
          <cell r="A14">
            <v>142200</v>
          </cell>
          <cell r="B14">
            <v>13</v>
          </cell>
          <cell r="C14">
            <v>3098857</v>
          </cell>
        </row>
        <row r="15">
          <cell r="A15">
            <v>121800</v>
          </cell>
          <cell r="B15">
            <v>14</v>
          </cell>
          <cell r="C15">
            <v>3096519</v>
          </cell>
        </row>
        <row r="16">
          <cell r="A16">
            <v>131500</v>
          </cell>
          <cell r="B16">
            <v>15</v>
          </cell>
          <cell r="C16">
            <v>2903468</v>
          </cell>
        </row>
        <row r="17">
          <cell r="A17">
            <v>142500</v>
          </cell>
          <cell r="B17">
            <v>16</v>
          </cell>
          <cell r="C17">
            <v>2807817</v>
          </cell>
        </row>
        <row r="18">
          <cell r="A18">
            <v>131102</v>
          </cell>
          <cell r="B18">
            <v>17</v>
          </cell>
          <cell r="C18">
            <v>2789251</v>
          </cell>
        </row>
        <row r="19">
          <cell r="A19">
            <v>171800</v>
          </cell>
          <cell r="B19">
            <v>18</v>
          </cell>
          <cell r="C19">
            <v>2630362</v>
          </cell>
        </row>
        <row r="20">
          <cell r="A20">
            <v>168302</v>
          </cell>
          <cell r="B20">
            <v>19</v>
          </cell>
          <cell r="C20">
            <v>2597100</v>
          </cell>
        </row>
        <row r="21">
          <cell r="A21">
            <v>142501</v>
          </cell>
          <cell r="B21">
            <v>20</v>
          </cell>
          <cell r="C21">
            <v>2502730</v>
          </cell>
        </row>
        <row r="22">
          <cell r="A22">
            <v>181700</v>
          </cell>
          <cell r="B22">
            <v>21</v>
          </cell>
          <cell r="C22">
            <v>2386237</v>
          </cell>
        </row>
        <row r="23">
          <cell r="A23">
            <v>141700</v>
          </cell>
          <cell r="B23">
            <v>22</v>
          </cell>
          <cell r="C23">
            <v>2242477</v>
          </cell>
        </row>
        <row r="24">
          <cell r="A24">
            <v>138200</v>
          </cell>
          <cell r="B24">
            <v>23</v>
          </cell>
          <cell r="C24">
            <v>2204135</v>
          </cell>
        </row>
        <row r="25">
          <cell r="A25">
            <v>171303</v>
          </cell>
          <cell r="B25">
            <v>24</v>
          </cell>
          <cell r="C25">
            <v>2167703</v>
          </cell>
        </row>
        <row r="26">
          <cell r="A26">
            <v>182202</v>
          </cell>
          <cell r="B26">
            <v>25</v>
          </cell>
          <cell r="C26">
            <v>2154549</v>
          </cell>
        </row>
        <row r="27">
          <cell r="A27">
            <v>182501</v>
          </cell>
          <cell r="B27">
            <v>26</v>
          </cell>
          <cell r="C27">
            <v>2154042</v>
          </cell>
        </row>
        <row r="28">
          <cell r="A28">
            <v>161201</v>
          </cell>
          <cell r="B28">
            <v>27</v>
          </cell>
          <cell r="C28">
            <v>2112247</v>
          </cell>
        </row>
        <row r="29">
          <cell r="A29">
            <v>181905</v>
          </cell>
          <cell r="B29">
            <v>28</v>
          </cell>
          <cell r="C29">
            <v>1994825</v>
          </cell>
        </row>
        <row r="30">
          <cell r="A30">
            <v>148700</v>
          </cell>
          <cell r="B30">
            <v>29</v>
          </cell>
          <cell r="C30">
            <v>1917111</v>
          </cell>
        </row>
        <row r="31">
          <cell r="A31">
            <v>162302</v>
          </cell>
          <cell r="B31">
            <v>30</v>
          </cell>
          <cell r="C31">
            <v>1909264</v>
          </cell>
        </row>
        <row r="32">
          <cell r="A32">
            <v>161102</v>
          </cell>
          <cell r="B32">
            <v>31</v>
          </cell>
          <cell r="C32">
            <v>1898836</v>
          </cell>
        </row>
        <row r="33">
          <cell r="A33">
            <v>100071</v>
          </cell>
          <cell r="B33">
            <v>32</v>
          </cell>
          <cell r="C33">
            <v>1848071</v>
          </cell>
        </row>
        <row r="34">
          <cell r="A34">
            <v>173300</v>
          </cell>
          <cell r="B34">
            <v>33</v>
          </cell>
          <cell r="C34">
            <v>1844886</v>
          </cell>
        </row>
        <row r="35">
          <cell r="A35">
            <v>168100</v>
          </cell>
          <cell r="B35">
            <v>34</v>
          </cell>
          <cell r="C35">
            <v>1839121</v>
          </cell>
        </row>
        <row r="36">
          <cell r="A36">
            <v>151102</v>
          </cell>
          <cell r="B36">
            <v>35</v>
          </cell>
          <cell r="C36">
            <v>1748736</v>
          </cell>
        </row>
        <row r="37">
          <cell r="A37">
            <v>128400</v>
          </cell>
          <cell r="B37">
            <v>36</v>
          </cell>
          <cell r="C37">
            <v>1717255</v>
          </cell>
        </row>
        <row r="38">
          <cell r="A38">
            <v>128300</v>
          </cell>
          <cell r="B38">
            <v>37</v>
          </cell>
          <cell r="C38">
            <v>1674927</v>
          </cell>
        </row>
        <row r="39">
          <cell r="A39">
            <v>163200</v>
          </cell>
          <cell r="B39">
            <v>38</v>
          </cell>
          <cell r="C39">
            <v>1672093</v>
          </cell>
        </row>
        <row r="40">
          <cell r="A40">
            <v>182302</v>
          </cell>
          <cell r="B40">
            <v>39</v>
          </cell>
          <cell r="C40">
            <v>1587323</v>
          </cell>
        </row>
        <row r="41">
          <cell r="A41">
            <v>182200</v>
          </cell>
          <cell r="B41">
            <v>40</v>
          </cell>
          <cell r="C41">
            <v>1573574</v>
          </cell>
        </row>
        <row r="42">
          <cell r="A42">
            <v>163202</v>
          </cell>
          <cell r="B42">
            <v>41</v>
          </cell>
          <cell r="C42">
            <v>1572769</v>
          </cell>
        </row>
        <row r="43">
          <cell r="A43">
            <v>178401</v>
          </cell>
          <cell r="B43">
            <v>42</v>
          </cell>
          <cell r="C43">
            <v>1540687</v>
          </cell>
        </row>
        <row r="44">
          <cell r="A44">
            <v>152100</v>
          </cell>
          <cell r="B44">
            <v>43</v>
          </cell>
          <cell r="C44">
            <v>1512436</v>
          </cell>
        </row>
        <row r="45">
          <cell r="A45">
            <v>181903</v>
          </cell>
          <cell r="B45">
            <v>44</v>
          </cell>
          <cell r="C45">
            <v>1463851</v>
          </cell>
        </row>
        <row r="46">
          <cell r="A46">
            <v>131201</v>
          </cell>
          <cell r="B46">
            <v>45</v>
          </cell>
          <cell r="C46">
            <v>1442100</v>
          </cell>
        </row>
        <row r="47">
          <cell r="A47">
            <v>161402</v>
          </cell>
          <cell r="B47">
            <v>46</v>
          </cell>
          <cell r="C47">
            <v>1399695</v>
          </cell>
        </row>
        <row r="48">
          <cell r="A48">
            <v>161903</v>
          </cell>
          <cell r="B48">
            <v>47</v>
          </cell>
          <cell r="C48">
            <v>1395896</v>
          </cell>
        </row>
        <row r="49">
          <cell r="A49">
            <v>108201</v>
          </cell>
          <cell r="B49">
            <v>48</v>
          </cell>
          <cell r="C49">
            <v>1380489</v>
          </cell>
        </row>
        <row r="50">
          <cell r="A50">
            <v>148202</v>
          </cell>
          <cell r="B50">
            <v>49</v>
          </cell>
          <cell r="C50">
            <v>1365875</v>
          </cell>
        </row>
        <row r="51">
          <cell r="A51">
            <v>122300</v>
          </cell>
          <cell r="B51">
            <v>50</v>
          </cell>
          <cell r="C51">
            <v>1346735</v>
          </cell>
        </row>
        <row r="52">
          <cell r="A52">
            <v>171502</v>
          </cell>
          <cell r="B52">
            <v>51</v>
          </cell>
          <cell r="C52">
            <v>1339233</v>
          </cell>
        </row>
        <row r="53">
          <cell r="A53">
            <v>171804</v>
          </cell>
          <cell r="B53">
            <v>52</v>
          </cell>
          <cell r="C53">
            <v>1329646</v>
          </cell>
        </row>
        <row r="54">
          <cell r="A54">
            <v>161901</v>
          </cell>
          <cell r="B54">
            <v>53</v>
          </cell>
          <cell r="C54">
            <v>1302983</v>
          </cell>
        </row>
        <row r="55">
          <cell r="A55">
            <v>172200</v>
          </cell>
          <cell r="B55">
            <v>54</v>
          </cell>
          <cell r="C55">
            <v>1285214</v>
          </cell>
        </row>
        <row r="56">
          <cell r="A56">
            <v>182000</v>
          </cell>
          <cell r="B56">
            <v>55</v>
          </cell>
          <cell r="C56">
            <v>1272472</v>
          </cell>
        </row>
        <row r="57">
          <cell r="A57">
            <v>161108</v>
          </cell>
          <cell r="B57">
            <v>56</v>
          </cell>
          <cell r="C57">
            <v>1208537</v>
          </cell>
        </row>
        <row r="58">
          <cell r="A58">
            <v>141100</v>
          </cell>
          <cell r="B58">
            <v>57</v>
          </cell>
          <cell r="C58">
            <v>1187889</v>
          </cell>
        </row>
        <row r="59">
          <cell r="A59">
            <v>100084</v>
          </cell>
          <cell r="B59">
            <v>58</v>
          </cell>
          <cell r="C59">
            <v>1184539</v>
          </cell>
        </row>
        <row r="60">
          <cell r="A60">
            <v>121600</v>
          </cell>
          <cell r="B60">
            <v>59</v>
          </cell>
          <cell r="C60">
            <v>1152205</v>
          </cell>
        </row>
        <row r="61">
          <cell r="A61">
            <v>181101</v>
          </cell>
          <cell r="B61">
            <v>60</v>
          </cell>
          <cell r="C61">
            <v>1146230</v>
          </cell>
        </row>
        <row r="62">
          <cell r="A62">
            <v>182900</v>
          </cell>
          <cell r="B62">
            <v>61</v>
          </cell>
          <cell r="C62">
            <v>1123598</v>
          </cell>
        </row>
        <row r="63">
          <cell r="A63">
            <v>128301</v>
          </cell>
          <cell r="B63">
            <v>62</v>
          </cell>
          <cell r="C63">
            <v>1120386</v>
          </cell>
        </row>
        <row r="64">
          <cell r="A64">
            <v>131103</v>
          </cell>
          <cell r="B64">
            <v>63</v>
          </cell>
          <cell r="C64">
            <v>1090028</v>
          </cell>
        </row>
        <row r="65">
          <cell r="A65">
            <v>151901</v>
          </cell>
          <cell r="B65">
            <v>64</v>
          </cell>
          <cell r="C65">
            <v>1083067</v>
          </cell>
        </row>
        <row r="66">
          <cell r="A66">
            <v>171107</v>
          </cell>
          <cell r="B66">
            <v>65</v>
          </cell>
          <cell r="C66">
            <v>1079809</v>
          </cell>
        </row>
        <row r="67">
          <cell r="A67">
            <v>121701</v>
          </cell>
          <cell r="B67">
            <v>66</v>
          </cell>
          <cell r="C67">
            <v>1041342</v>
          </cell>
        </row>
        <row r="68">
          <cell r="A68">
            <v>158501</v>
          </cell>
          <cell r="B68">
            <v>67</v>
          </cell>
          <cell r="C68">
            <v>1031961</v>
          </cell>
        </row>
        <row r="69">
          <cell r="A69">
            <v>181201</v>
          </cell>
          <cell r="B69">
            <v>68</v>
          </cell>
          <cell r="C69">
            <v>1028705</v>
          </cell>
        </row>
        <row r="70">
          <cell r="A70">
            <v>142502</v>
          </cell>
          <cell r="B70">
            <v>69</v>
          </cell>
          <cell r="C70">
            <v>1004231</v>
          </cell>
        </row>
        <row r="71">
          <cell r="A71">
            <v>163100</v>
          </cell>
          <cell r="B71">
            <v>70</v>
          </cell>
          <cell r="C71">
            <v>1000766</v>
          </cell>
        </row>
        <row r="72">
          <cell r="A72">
            <v>152101</v>
          </cell>
          <cell r="B72">
            <v>71</v>
          </cell>
          <cell r="C72">
            <v>909175</v>
          </cell>
        </row>
        <row r="73">
          <cell r="A73">
            <v>151402</v>
          </cell>
          <cell r="B73">
            <v>72</v>
          </cell>
          <cell r="C73">
            <v>884298</v>
          </cell>
        </row>
        <row r="74">
          <cell r="A74">
            <v>121200</v>
          </cell>
          <cell r="B74">
            <v>73</v>
          </cell>
          <cell r="C74">
            <v>870193</v>
          </cell>
        </row>
        <row r="75">
          <cell r="A75">
            <v>148401</v>
          </cell>
          <cell r="B75">
            <v>74</v>
          </cell>
          <cell r="C75">
            <v>866694</v>
          </cell>
        </row>
        <row r="76">
          <cell r="A76">
            <v>161302</v>
          </cell>
          <cell r="B76">
            <v>75</v>
          </cell>
          <cell r="C76">
            <v>851566</v>
          </cell>
        </row>
        <row r="77">
          <cell r="A77">
            <v>171803</v>
          </cell>
          <cell r="B77">
            <v>76</v>
          </cell>
          <cell r="C77">
            <v>839418</v>
          </cell>
        </row>
        <row r="78">
          <cell r="A78">
            <v>151403</v>
          </cell>
          <cell r="B78">
            <v>77</v>
          </cell>
          <cell r="C78">
            <v>834919</v>
          </cell>
        </row>
        <row r="79">
          <cell r="A79">
            <v>171106</v>
          </cell>
          <cell r="B79">
            <v>78</v>
          </cell>
          <cell r="C79">
            <v>792396</v>
          </cell>
        </row>
        <row r="80">
          <cell r="A80">
            <v>171601</v>
          </cell>
          <cell r="B80">
            <v>79</v>
          </cell>
          <cell r="C80">
            <v>790957</v>
          </cell>
        </row>
        <row r="81">
          <cell r="A81">
            <v>181100</v>
          </cell>
          <cell r="B81">
            <v>80</v>
          </cell>
          <cell r="C81">
            <v>755053</v>
          </cell>
        </row>
        <row r="82">
          <cell r="A82">
            <v>151700</v>
          </cell>
          <cell r="B82">
            <v>81</v>
          </cell>
          <cell r="C82">
            <v>743556</v>
          </cell>
        </row>
        <row r="83">
          <cell r="A83">
            <v>198100</v>
          </cell>
          <cell r="B83">
            <v>82</v>
          </cell>
          <cell r="C83">
            <v>733593</v>
          </cell>
        </row>
        <row r="84">
          <cell r="A84">
            <v>101103</v>
          </cell>
          <cell r="B84">
            <v>83</v>
          </cell>
          <cell r="C84">
            <v>732710</v>
          </cell>
        </row>
        <row r="85">
          <cell r="A85">
            <v>171401</v>
          </cell>
          <cell r="B85">
            <v>84</v>
          </cell>
          <cell r="C85">
            <v>725528</v>
          </cell>
        </row>
        <row r="86">
          <cell r="A86">
            <v>142400</v>
          </cell>
          <cell r="B86">
            <v>85</v>
          </cell>
          <cell r="C86">
            <v>725062</v>
          </cell>
        </row>
        <row r="87">
          <cell r="A87">
            <v>168303</v>
          </cell>
          <cell r="B87">
            <v>86</v>
          </cell>
          <cell r="C87">
            <v>699114</v>
          </cell>
        </row>
        <row r="88">
          <cell r="A88">
            <v>198102</v>
          </cell>
          <cell r="B88">
            <v>87</v>
          </cell>
          <cell r="C88">
            <v>686340</v>
          </cell>
        </row>
        <row r="89">
          <cell r="A89">
            <v>171801</v>
          </cell>
          <cell r="B89">
            <v>88</v>
          </cell>
          <cell r="C89">
            <v>672295</v>
          </cell>
        </row>
        <row r="90">
          <cell r="A90">
            <v>182201</v>
          </cell>
          <cell r="B90">
            <v>89</v>
          </cell>
          <cell r="C90">
            <v>660673</v>
          </cell>
        </row>
        <row r="91">
          <cell r="A91">
            <v>151400</v>
          </cell>
          <cell r="B91">
            <v>90</v>
          </cell>
          <cell r="C91">
            <v>659376</v>
          </cell>
        </row>
        <row r="92">
          <cell r="A92">
            <v>158101</v>
          </cell>
          <cell r="B92">
            <v>91</v>
          </cell>
          <cell r="C92">
            <v>655396</v>
          </cell>
        </row>
        <row r="93">
          <cell r="A93">
            <v>171302</v>
          </cell>
          <cell r="B93">
            <v>92</v>
          </cell>
          <cell r="C93">
            <v>651238</v>
          </cell>
        </row>
        <row r="94">
          <cell r="A94">
            <v>161300</v>
          </cell>
          <cell r="B94">
            <v>93</v>
          </cell>
          <cell r="C94">
            <v>644175</v>
          </cell>
        </row>
        <row r="95">
          <cell r="A95">
            <v>152300</v>
          </cell>
          <cell r="B95">
            <v>94</v>
          </cell>
          <cell r="C95">
            <v>628716</v>
          </cell>
        </row>
        <row r="96">
          <cell r="A96">
            <v>142100</v>
          </cell>
          <cell r="B96">
            <v>95</v>
          </cell>
          <cell r="C96">
            <v>583176</v>
          </cell>
        </row>
        <row r="97">
          <cell r="A97">
            <v>158102</v>
          </cell>
          <cell r="B97">
            <v>96</v>
          </cell>
          <cell r="C97">
            <v>531568</v>
          </cell>
        </row>
        <row r="98">
          <cell r="A98">
            <v>181800</v>
          </cell>
          <cell r="B98">
            <v>97</v>
          </cell>
          <cell r="C98">
            <v>503964</v>
          </cell>
        </row>
        <row r="99">
          <cell r="A99">
            <v>162300</v>
          </cell>
          <cell r="B99">
            <v>98</v>
          </cell>
          <cell r="C99">
            <v>503230</v>
          </cell>
        </row>
        <row r="100">
          <cell r="A100">
            <v>163101</v>
          </cell>
          <cell r="B100">
            <v>99</v>
          </cell>
          <cell r="C100">
            <v>501490</v>
          </cell>
        </row>
        <row r="101">
          <cell r="A101">
            <v>181103</v>
          </cell>
          <cell r="B101">
            <v>100</v>
          </cell>
          <cell r="C101">
            <v>497897</v>
          </cell>
        </row>
        <row r="102">
          <cell r="A102">
            <v>141200</v>
          </cell>
          <cell r="B102">
            <v>101</v>
          </cell>
          <cell r="C102">
            <v>479160</v>
          </cell>
        </row>
        <row r="103">
          <cell r="A103">
            <v>151200</v>
          </cell>
          <cell r="B103">
            <v>102</v>
          </cell>
          <cell r="C103">
            <v>471262</v>
          </cell>
        </row>
        <row r="104">
          <cell r="A104">
            <v>171301</v>
          </cell>
          <cell r="B104">
            <v>103</v>
          </cell>
          <cell r="C104">
            <v>462022</v>
          </cell>
        </row>
        <row r="105">
          <cell r="A105">
            <v>142402</v>
          </cell>
          <cell r="B105">
            <v>104</v>
          </cell>
          <cell r="C105">
            <v>459821</v>
          </cell>
        </row>
        <row r="106">
          <cell r="A106">
            <v>191102</v>
          </cell>
          <cell r="B106">
            <v>105</v>
          </cell>
          <cell r="C106">
            <v>454680</v>
          </cell>
        </row>
        <row r="107">
          <cell r="A107">
            <v>173101</v>
          </cell>
          <cell r="B107">
            <v>106</v>
          </cell>
          <cell r="C107">
            <v>448320</v>
          </cell>
        </row>
        <row r="108">
          <cell r="A108">
            <v>162200</v>
          </cell>
          <cell r="B108">
            <v>107</v>
          </cell>
          <cell r="C108">
            <v>447755</v>
          </cell>
        </row>
        <row r="109">
          <cell r="A109">
            <v>163201</v>
          </cell>
          <cell r="B109">
            <v>108</v>
          </cell>
          <cell r="C109">
            <v>437712</v>
          </cell>
        </row>
        <row r="110">
          <cell r="A110">
            <v>168103</v>
          </cell>
          <cell r="B110">
            <v>109</v>
          </cell>
          <cell r="C110">
            <v>424142</v>
          </cell>
        </row>
        <row r="111">
          <cell r="A111">
            <v>131101</v>
          </cell>
          <cell r="B111">
            <v>110</v>
          </cell>
          <cell r="C111">
            <v>409557</v>
          </cell>
        </row>
        <row r="112">
          <cell r="A112">
            <v>182800</v>
          </cell>
          <cell r="B112">
            <v>111</v>
          </cell>
          <cell r="C112">
            <v>386331</v>
          </cell>
        </row>
        <row r="113">
          <cell r="A113">
            <v>121803</v>
          </cell>
          <cell r="B113">
            <v>112</v>
          </cell>
          <cell r="C113">
            <v>372730</v>
          </cell>
        </row>
        <row r="114">
          <cell r="A114">
            <v>162303</v>
          </cell>
          <cell r="B114">
            <v>113</v>
          </cell>
          <cell r="C114">
            <v>369294</v>
          </cell>
        </row>
        <row r="115">
          <cell r="A115">
            <v>181701</v>
          </cell>
          <cell r="B115">
            <v>114</v>
          </cell>
          <cell r="C115">
            <v>356730</v>
          </cell>
        </row>
        <row r="116">
          <cell r="A116">
            <v>108101</v>
          </cell>
          <cell r="B116">
            <v>115</v>
          </cell>
          <cell r="C116">
            <v>351084</v>
          </cell>
        </row>
        <row r="117">
          <cell r="A117">
            <v>182001</v>
          </cell>
          <cell r="B117">
            <v>116</v>
          </cell>
          <cell r="C117">
            <v>338375</v>
          </cell>
        </row>
        <row r="118">
          <cell r="A118">
            <v>142401</v>
          </cell>
          <cell r="B118">
            <v>117</v>
          </cell>
          <cell r="C118">
            <v>287637</v>
          </cell>
        </row>
        <row r="119">
          <cell r="A119">
            <v>122400</v>
          </cell>
          <cell r="B119">
            <v>118</v>
          </cell>
          <cell r="C119">
            <v>278196</v>
          </cell>
        </row>
        <row r="120">
          <cell r="A120">
            <v>188115</v>
          </cell>
          <cell r="B120">
            <v>119</v>
          </cell>
          <cell r="C120">
            <v>248952</v>
          </cell>
        </row>
        <row r="121">
          <cell r="A121">
            <v>111603</v>
          </cell>
          <cell r="B121">
            <v>120</v>
          </cell>
          <cell r="C121">
            <v>227021</v>
          </cell>
        </row>
        <row r="122">
          <cell r="A122">
            <v>158200</v>
          </cell>
          <cell r="B122">
            <v>121</v>
          </cell>
          <cell r="C122">
            <v>220514</v>
          </cell>
        </row>
        <row r="123">
          <cell r="A123">
            <v>108103</v>
          </cell>
          <cell r="B123">
            <v>122</v>
          </cell>
          <cell r="C123">
            <v>215556</v>
          </cell>
        </row>
        <row r="124">
          <cell r="A124">
            <v>158400</v>
          </cell>
          <cell r="B124">
            <v>123</v>
          </cell>
          <cell r="C124">
            <v>184816</v>
          </cell>
        </row>
        <row r="125">
          <cell r="A125">
            <v>171501</v>
          </cell>
          <cell r="B125">
            <v>124</v>
          </cell>
          <cell r="C125">
            <v>172300</v>
          </cell>
        </row>
        <row r="126">
          <cell r="A126">
            <v>161106</v>
          </cell>
          <cell r="B126">
            <v>125</v>
          </cell>
          <cell r="C126">
            <v>157102</v>
          </cell>
        </row>
        <row r="127">
          <cell r="A127">
            <v>112102</v>
          </cell>
          <cell r="B127">
            <v>126</v>
          </cell>
          <cell r="C127">
            <v>147562</v>
          </cell>
        </row>
        <row r="128">
          <cell r="A128">
            <v>161104</v>
          </cell>
          <cell r="B128">
            <v>127</v>
          </cell>
          <cell r="C128">
            <v>130037</v>
          </cell>
        </row>
        <row r="129">
          <cell r="A129">
            <v>161501</v>
          </cell>
          <cell r="B129">
            <v>128</v>
          </cell>
          <cell r="C129">
            <v>108136</v>
          </cell>
        </row>
        <row r="130">
          <cell r="A130">
            <v>200800</v>
          </cell>
          <cell r="B130">
            <v>129</v>
          </cell>
          <cell r="C130">
            <v>98670</v>
          </cell>
        </row>
        <row r="131">
          <cell r="A131">
            <v>121802</v>
          </cell>
          <cell r="B131">
            <v>130</v>
          </cell>
          <cell r="C131">
            <v>80570</v>
          </cell>
        </row>
      </sheetData>
      <sheetData sheetId="1" refreshError="1">
        <row r="1">
          <cell r="A1" t="str">
            <v>코드</v>
          </cell>
          <cell r="B1" t="str">
            <v>순위</v>
          </cell>
          <cell r="C1" t="str">
            <v>매출액</v>
          </cell>
        </row>
        <row r="2">
          <cell r="A2">
            <v>148300</v>
          </cell>
          <cell r="B2">
            <v>1</v>
          </cell>
          <cell r="C2">
            <v>13917124</v>
          </cell>
        </row>
        <row r="3">
          <cell r="A3">
            <v>141400</v>
          </cell>
          <cell r="B3">
            <v>2</v>
          </cell>
          <cell r="C3">
            <v>9778872</v>
          </cell>
        </row>
        <row r="4">
          <cell r="A4">
            <v>128403</v>
          </cell>
          <cell r="B4">
            <v>3</v>
          </cell>
          <cell r="C4">
            <v>9236415</v>
          </cell>
        </row>
        <row r="5">
          <cell r="A5">
            <v>182301</v>
          </cell>
          <cell r="B5">
            <v>4</v>
          </cell>
          <cell r="C5">
            <v>8488800</v>
          </cell>
        </row>
        <row r="6">
          <cell r="A6">
            <v>182100</v>
          </cell>
          <cell r="B6">
            <v>5</v>
          </cell>
          <cell r="C6">
            <v>8143256</v>
          </cell>
        </row>
        <row r="7">
          <cell r="A7">
            <v>128402</v>
          </cell>
          <cell r="B7">
            <v>6</v>
          </cell>
          <cell r="C7">
            <v>8049919</v>
          </cell>
        </row>
        <row r="8">
          <cell r="A8">
            <v>188128</v>
          </cell>
          <cell r="B8">
            <v>7</v>
          </cell>
          <cell r="C8">
            <v>7563655</v>
          </cell>
        </row>
        <row r="9">
          <cell r="A9">
            <v>112100</v>
          </cell>
          <cell r="B9">
            <v>8</v>
          </cell>
          <cell r="C9">
            <v>6774524</v>
          </cell>
        </row>
        <row r="10">
          <cell r="A10">
            <v>131400</v>
          </cell>
          <cell r="B10">
            <v>9</v>
          </cell>
          <cell r="C10">
            <v>6258346</v>
          </cell>
        </row>
        <row r="11">
          <cell r="A11">
            <v>182501</v>
          </cell>
          <cell r="B11">
            <v>10</v>
          </cell>
          <cell r="C11">
            <v>5937374</v>
          </cell>
        </row>
        <row r="12">
          <cell r="A12">
            <v>142300</v>
          </cell>
          <cell r="B12">
            <v>11</v>
          </cell>
          <cell r="C12">
            <v>5900467</v>
          </cell>
        </row>
        <row r="13">
          <cell r="A13">
            <v>121401</v>
          </cell>
          <cell r="B13">
            <v>12</v>
          </cell>
          <cell r="C13">
            <v>5876684</v>
          </cell>
        </row>
        <row r="14">
          <cell r="A14">
            <v>122201</v>
          </cell>
          <cell r="B14">
            <v>13</v>
          </cell>
          <cell r="C14">
            <v>5543687</v>
          </cell>
        </row>
        <row r="15">
          <cell r="A15">
            <v>182101</v>
          </cell>
          <cell r="B15">
            <v>14</v>
          </cell>
          <cell r="C15">
            <v>5412568</v>
          </cell>
        </row>
        <row r="16">
          <cell r="A16">
            <v>171803</v>
          </cell>
          <cell r="B16">
            <v>15</v>
          </cell>
          <cell r="C16">
            <v>5139075</v>
          </cell>
        </row>
        <row r="17">
          <cell r="A17">
            <v>188124</v>
          </cell>
          <cell r="B17">
            <v>16</v>
          </cell>
          <cell r="C17">
            <v>4875489</v>
          </cell>
        </row>
        <row r="18">
          <cell r="A18">
            <v>128400</v>
          </cell>
          <cell r="B18">
            <v>17</v>
          </cell>
          <cell r="C18">
            <v>4851041</v>
          </cell>
        </row>
        <row r="19">
          <cell r="A19">
            <v>181403</v>
          </cell>
          <cell r="B19">
            <v>18</v>
          </cell>
          <cell r="C19">
            <v>4850269</v>
          </cell>
        </row>
        <row r="20">
          <cell r="A20">
            <v>161900</v>
          </cell>
          <cell r="B20">
            <v>19</v>
          </cell>
          <cell r="C20">
            <v>4807738</v>
          </cell>
        </row>
        <row r="21">
          <cell r="A21">
            <v>182200</v>
          </cell>
          <cell r="B21">
            <v>20</v>
          </cell>
          <cell r="C21">
            <v>4749662</v>
          </cell>
        </row>
        <row r="22">
          <cell r="A22">
            <v>148100</v>
          </cell>
          <cell r="B22">
            <v>21</v>
          </cell>
          <cell r="C22">
            <v>4732377</v>
          </cell>
        </row>
        <row r="23">
          <cell r="A23">
            <v>148202</v>
          </cell>
          <cell r="B23">
            <v>22</v>
          </cell>
          <cell r="C23">
            <v>4657462</v>
          </cell>
        </row>
        <row r="24">
          <cell r="A24">
            <v>171502</v>
          </cell>
          <cell r="B24">
            <v>23</v>
          </cell>
          <cell r="C24">
            <v>4565604</v>
          </cell>
        </row>
        <row r="25">
          <cell r="A25">
            <v>122103</v>
          </cell>
          <cell r="B25">
            <v>24</v>
          </cell>
          <cell r="C25">
            <v>4462195</v>
          </cell>
        </row>
        <row r="26">
          <cell r="A26">
            <v>171802</v>
          </cell>
          <cell r="B26">
            <v>25</v>
          </cell>
          <cell r="C26">
            <v>4378029</v>
          </cell>
        </row>
        <row r="27">
          <cell r="A27">
            <v>121701</v>
          </cell>
          <cell r="B27">
            <v>26</v>
          </cell>
          <cell r="C27">
            <v>4349114</v>
          </cell>
        </row>
        <row r="28">
          <cell r="A28">
            <v>122101</v>
          </cell>
          <cell r="B28">
            <v>27</v>
          </cell>
          <cell r="C28">
            <v>4314452</v>
          </cell>
        </row>
        <row r="29">
          <cell r="A29">
            <v>151302</v>
          </cell>
          <cell r="B29">
            <v>28</v>
          </cell>
          <cell r="C29">
            <v>4075464</v>
          </cell>
        </row>
        <row r="30">
          <cell r="A30">
            <v>121900</v>
          </cell>
          <cell r="B30">
            <v>29</v>
          </cell>
          <cell r="C30">
            <v>4057562</v>
          </cell>
        </row>
        <row r="31">
          <cell r="A31">
            <v>181402</v>
          </cell>
          <cell r="B31">
            <v>30</v>
          </cell>
          <cell r="C31">
            <v>4017679</v>
          </cell>
        </row>
        <row r="32">
          <cell r="A32">
            <v>121800</v>
          </cell>
          <cell r="B32">
            <v>31</v>
          </cell>
          <cell r="C32">
            <v>3925045</v>
          </cell>
        </row>
        <row r="33">
          <cell r="A33">
            <v>101102</v>
          </cell>
          <cell r="B33">
            <v>32</v>
          </cell>
          <cell r="C33">
            <v>3893407</v>
          </cell>
        </row>
        <row r="34">
          <cell r="A34">
            <v>171100</v>
          </cell>
          <cell r="B34">
            <v>33</v>
          </cell>
          <cell r="C34">
            <v>3836314</v>
          </cell>
        </row>
        <row r="35">
          <cell r="A35">
            <v>152102</v>
          </cell>
          <cell r="B35">
            <v>34</v>
          </cell>
          <cell r="C35">
            <v>3796380</v>
          </cell>
        </row>
        <row r="36">
          <cell r="A36">
            <v>171200</v>
          </cell>
          <cell r="B36">
            <v>35</v>
          </cell>
          <cell r="C36">
            <v>3692980</v>
          </cell>
        </row>
        <row r="37">
          <cell r="A37">
            <v>158100</v>
          </cell>
          <cell r="B37">
            <v>36</v>
          </cell>
          <cell r="C37">
            <v>3663139</v>
          </cell>
        </row>
        <row r="38">
          <cell r="A38">
            <v>181905</v>
          </cell>
          <cell r="B38">
            <v>37</v>
          </cell>
          <cell r="C38">
            <v>3624672</v>
          </cell>
        </row>
        <row r="39">
          <cell r="A39">
            <v>131401</v>
          </cell>
          <cell r="B39">
            <v>38</v>
          </cell>
          <cell r="C39">
            <v>3572607</v>
          </cell>
        </row>
        <row r="40">
          <cell r="A40">
            <v>122102</v>
          </cell>
          <cell r="B40">
            <v>39</v>
          </cell>
          <cell r="C40">
            <v>3532926</v>
          </cell>
        </row>
        <row r="41">
          <cell r="A41">
            <v>108103</v>
          </cell>
          <cell r="B41">
            <v>40</v>
          </cell>
          <cell r="C41">
            <v>3507854</v>
          </cell>
        </row>
        <row r="42">
          <cell r="A42">
            <v>181902</v>
          </cell>
          <cell r="B42">
            <v>41</v>
          </cell>
          <cell r="C42">
            <v>3492004</v>
          </cell>
        </row>
        <row r="43">
          <cell r="A43">
            <v>131900</v>
          </cell>
          <cell r="B43">
            <v>42</v>
          </cell>
          <cell r="C43">
            <v>3382772</v>
          </cell>
        </row>
        <row r="44">
          <cell r="A44">
            <v>163200</v>
          </cell>
          <cell r="B44">
            <v>43</v>
          </cell>
          <cell r="C44">
            <v>3241056</v>
          </cell>
        </row>
        <row r="45">
          <cell r="A45">
            <v>181301</v>
          </cell>
          <cell r="B45">
            <v>44</v>
          </cell>
          <cell r="C45">
            <v>3234711</v>
          </cell>
        </row>
        <row r="46">
          <cell r="A46">
            <v>162302</v>
          </cell>
          <cell r="B46">
            <v>45</v>
          </cell>
          <cell r="C46">
            <v>3217038</v>
          </cell>
        </row>
        <row r="47">
          <cell r="A47">
            <v>171303</v>
          </cell>
          <cell r="B47">
            <v>46</v>
          </cell>
          <cell r="C47">
            <v>3132510</v>
          </cell>
        </row>
        <row r="48">
          <cell r="A48">
            <v>182400</v>
          </cell>
          <cell r="B48">
            <v>47</v>
          </cell>
          <cell r="C48">
            <v>3053059</v>
          </cell>
        </row>
        <row r="49">
          <cell r="A49">
            <v>161401</v>
          </cell>
          <cell r="B49">
            <v>48</v>
          </cell>
          <cell r="C49">
            <v>3000952</v>
          </cell>
        </row>
        <row r="50">
          <cell r="A50">
            <v>171800</v>
          </cell>
          <cell r="B50">
            <v>49</v>
          </cell>
          <cell r="C50">
            <v>2884945</v>
          </cell>
        </row>
        <row r="51">
          <cell r="A51">
            <v>122300</v>
          </cell>
          <cell r="B51">
            <v>50</v>
          </cell>
          <cell r="C51">
            <v>2877334</v>
          </cell>
        </row>
        <row r="52">
          <cell r="A52">
            <v>182302</v>
          </cell>
          <cell r="B52">
            <v>51</v>
          </cell>
          <cell r="C52">
            <v>2848264</v>
          </cell>
        </row>
        <row r="53">
          <cell r="A53">
            <v>151101</v>
          </cell>
          <cell r="B53">
            <v>52</v>
          </cell>
          <cell r="C53">
            <v>2732839</v>
          </cell>
        </row>
        <row r="54">
          <cell r="A54">
            <v>172800</v>
          </cell>
          <cell r="B54">
            <v>53</v>
          </cell>
          <cell r="C54">
            <v>2704924</v>
          </cell>
        </row>
        <row r="55">
          <cell r="A55">
            <v>182900</v>
          </cell>
          <cell r="B55">
            <v>54</v>
          </cell>
          <cell r="C55">
            <v>2694826</v>
          </cell>
        </row>
        <row r="56">
          <cell r="A56">
            <v>172504</v>
          </cell>
          <cell r="B56">
            <v>55</v>
          </cell>
          <cell r="C56">
            <v>2654577</v>
          </cell>
        </row>
        <row r="57">
          <cell r="A57">
            <v>181100</v>
          </cell>
          <cell r="B57">
            <v>56</v>
          </cell>
          <cell r="C57">
            <v>2621572</v>
          </cell>
        </row>
        <row r="58">
          <cell r="A58">
            <v>172403</v>
          </cell>
          <cell r="B58">
            <v>57</v>
          </cell>
          <cell r="C58">
            <v>2479228</v>
          </cell>
        </row>
        <row r="59">
          <cell r="A59">
            <v>178401</v>
          </cell>
          <cell r="B59">
            <v>58</v>
          </cell>
          <cell r="C59">
            <v>2326552</v>
          </cell>
        </row>
        <row r="60">
          <cell r="A60">
            <v>182800</v>
          </cell>
          <cell r="B60">
            <v>59</v>
          </cell>
          <cell r="C60">
            <v>2241992</v>
          </cell>
        </row>
        <row r="61">
          <cell r="A61">
            <v>122400</v>
          </cell>
          <cell r="B61">
            <v>60</v>
          </cell>
          <cell r="C61">
            <v>2234769</v>
          </cell>
        </row>
        <row r="62">
          <cell r="A62">
            <v>131200</v>
          </cell>
          <cell r="B62">
            <v>61</v>
          </cell>
          <cell r="C62">
            <v>2198873</v>
          </cell>
        </row>
        <row r="63">
          <cell r="A63">
            <v>171801</v>
          </cell>
          <cell r="B63">
            <v>62</v>
          </cell>
          <cell r="C63">
            <v>2184147</v>
          </cell>
        </row>
        <row r="64">
          <cell r="A64">
            <v>172505</v>
          </cell>
          <cell r="B64">
            <v>63</v>
          </cell>
          <cell r="C64">
            <v>2180226</v>
          </cell>
        </row>
        <row r="65">
          <cell r="A65">
            <v>131301</v>
          </cell>
          <cell r="B65">
            <v>64</v>
          </cell>
          <cell r="C65">
            <v>2162593</v>
          </cell>
        </row>
        <row r="66">
          <cell r="A66">
            <v>142600</v>
          </cell>
          <cell r="B66">
            <v>65</v>
          </cell>
          <cell r="C66">
            <v>2103956</v>
          </cell>
        </row>
        <row r="67">
          <cell r="A67">
            <v>148700</v>
          </cell>
          <cell r="B67">
            <v>66</v>
          </cell>
          <cell r="C67">
            <v>2094025</v>
          </cell>
        </row>
        <row r="68">
          <cell r="A68">
            <v>171904</v>
          </cell>
          <cell r="B68">
            <v>67</v>
          </cell>
          <cell r="C68">
            <v>2085284</v>
          </cell>
        </row>
        <row r="69">
          <cell r="A69">
            <v>131700</v>
          </cell>
          <cell r="B69">
            <v>68</v>
          </cell>
          <cell r="C69">
            <v>2051426</v>
          </cell>
        </row>
        <row r="70">
          <cell r="A70">
            <v>200200</v>
          </cell>
          <cell r="B70">
            <v>69</v>
          </cell>
          <cell r="C70">
            <v>1996044</v>
          </cell>
        </row>
        <row r="71">
          <cell r="A71">
            <v>128301</v>
          </cell>
          <cell r="B71">
            <v>70</v>
          </cell>
          <cell r="C71">
            <v>1953261</v>
          </cell>
        </row>
        <row r="72">
          <cell r="A72">
            <v>151106</v>
          </cell>
          <cell r="B72">
            <v>71</v>
          </cell>
          <cell r="C72">
            <v>1949191</v>
          </cell>
        </row>
        <row r="73">
          <cell r="A73">
            <v>151901</v>
          </cell>
          <cell r="B73">
            <v>72</v>
          </cell>
          <cell r="C73">
            <v>1935282</v>
          </cell>
        </row>
        <row r="74">
          <cell r="A74">
            <v>173300</v>
          </cell>
          <cell r="B74">
            <v>73</v>
          </cell>
          <cell r="C74">
            <v>1918581</v>
          </cell>
        </row>
        <row r="75">
          <cell r="A75">
            <v>151402</v>
          </cell>
          <cell r="B75">
            <v>74</v>
          </cell>
          <cell r="C75">
            <v>1905178</v>
          </cell>
        </row>
        <row r="76">
          <cell r="A76">
            <v>111501</v>
          </cell>
          <cell r="B76">
            <v>75</v>
          </cell>
          <cell r="C76">
            <v>1880462</v>
          </cell>
        </row>
        <row r="77">
          <cell r="A77">
            <v>171105</v>
          </cell>
          <cell r="B77">
            <v>76</v>
          </cell>
          <cell r="C77">
            <v>1860579</v>
          </cell>
        </row>
        <row r="78">
          <cell r="A78">
            <v>121700</v>
          </cell>
          <cell r="B78">
            <v>77</v>
          </cell>
          <cell r="C78">
            <v>1854281</v>
          </cell>
        </row>
        <row r="79">
          <cell r="A79">
            <v>121400</v>
          </cell>
          <cell r="B79">
            <v>78</v>
          </cell>
          <cell r="C79">
            <v>1816218</v>
          </cell>
        </row>
        <row r="80">
          <cell r="A80">
            <v>121901</v>
          </cell>
          <cell r="B80">
            <v>79</v>
          </cell>
          <cell r="C80">
            <v>1807088</v>
          </cell>
        </row>
        <row r="81">
          <cell r="A81">
            <v>161100</v>
          </cell>
          <cell r="B81">
            <v>80</v>
          </cell>
          <cell r="C81">
            <v>1803790</v>
          </cell>
        </row>
        <row r="82">
          <cell r="A82">
            <v>142200</v>
          </cell>
          <cell r="B82">
            <v>81</v>
          </cell>
          <cell r="C82">
            <v>1790527</v>
          </cell>
        </row>
        <row r="83">
          <cell r="A83">
            <v>181800</v>
          </cell>
          <cell r="B83">
            <v>82</v>
          </cell>
          <cell r="C83">
            <v>1773557</v>
          </cell>
        </row>
        <row r="84">
          <cell r="A84">
            <v>151600</v>
          </cell>
          <cell r="B84">
            <v>83</v>
          </cell>
          <cell r="C84">
            <v>1734985</v>
          </cell>
        </row>
        <row r="85">
          <cell r="A85">
            <v>161300</v>
          </cell>
          <cell r="B85">
            <v>84</v>
          </cell>
          <cell r="C85">
            <v>1681707</v>
          </cell>
        </row>
        <row r="86">
          <cell r="A86">
            <v>161403</v>
          </cell>
          <cell r="B86">
            <v>85</v>
          </cell>
          <cell r="C86">
            <v>1673465</v>
          </cell>
        </row>
        <row r="87">
          <cell r="A87">
            <v>181701</v>
          </cell>
          <cell r="B87">
            <v>86</v>
          </cell>
          <cell r="C87">
            <v>1668044</v>
          </cell>
        </row>
        <row r="88">
          <cell r="A88">
            <v>171106</v>
          </cell>
          <cell r="B88">
            <v>87</v>
          </cell>
          <cell r="C88">
            <v>1643136</v>
          </cell>
        </row>
        <row r="89">
          <cell r="A89">
            <v>181700</v>
          </cell>
          <cell r="B89">
            <v>88</v>
          </cell>
          <cell r="C89">
            <v>1634871</v>
          </cell>
        </row>
        <row r="90">
          <cell r="A90">
            <v>142201</v>
          </cell>
          <cell r="B90">
            <v>89</v>
          </cell>
          <cell r="C90">
            <v>1625448</v>
          </cell>
        </row>
        <row r="91">
          <cell r="A91">
            <v>161500</v>
          </cell>
          <cell r="B91">
            <v>90</v>
          </cell>
          <cell r="C91">
            <v>1605966</v>
          </cell>
        </row>
        <row r="92">
          <cell r="A92">
            <v>141800</v>
          </cell>
          <cell r="B92">
            <v>91</v>
          </cell>
          <cell r="C92">
            <v>1595093</v>
          </cell>
        </row>
        <row r="93">
          <cell r="A93">
            <v>172500</v>
          </cell>
          <cell r="B93">
            <v>92</v>
          </cell>
          <cell r="C93">
            <v>1578657</v>
          </cell>
        </row>
        <row r="94">
          <cell r="A94">
            <v>220100</v>
          </cell>
          <cell r="B94">
            <v>93</v>
          </cell>
          <cell r="C94">
            <v>1500542</v>
          </cell>
        </row>
        <row r="95">
          <cell r="A95">
            <v>151102</v>
          </cell>
          <cell r="B95">
            <v>94</v>
          </cell>
          <cell r="C95">
            <v>1482501</v>
          </cell>
        </row>
        <row r="96">
          <cell r="A96">
            <v>158200</v>
          </cell>
          <cell r="B96">
            <v>95</v>
          </cell>
          <cell r="C96">
            <v>1478366</v>
          </cell>
        </row>
        <row r="97">
          <cell r="A97">
            <v>142100</v>
          </cell>
          <cell r="B97">
            <v>96</v>
          </cell>
          <cell r="C97">
            <v>1460403</v>
          </cell>
        </row>
        <row r="98">
          <cell r="A98">
            <v>151702</v>
          </cell>
          <cell r="B98">
            <v>97</v>
          </cell>
          <cell r="C98">
            <v>1452646</v>
          </cell>
        </row>
        <row r="99">
          <cell r="A99">
            <v>182000</v>
          </cell>
          <cell r="B99">
            <v>98</v>
          </cell>
          <cell r="C99">
            <v>1439428</v>
          </cell>
        </row>
        <row r="100">
          <cell r="A100">
            <v>162602</v>
          </cell>
          <cell r="B100">
            <v>99</v>
          </cell>
          <cell r="C100">
            <v>1431459</v>
          </cell>
        </row>
        <row r="101">
          <cell r="A101">
            <v>168103</v>
          </cell>
          <cell r="B101">
            <v>100</v>
          </cell>
          <cell r="C101">
            <v>1414688</v>
          </cell>
        </row>
        <row r="102">
          <cell r="A102">
            <v>128300</v>
          </cell>
          <cell r="B102">
            <v>101</v>
          </cell>
          <cell r="C102">
            <v>1388047</v>
          </cell>
        </row>
        <row r="103">
          <cell r="A103">
            <v>112500</v>
          </cell>
          <cell r="B103">
            <v>102</v>
          </cell>
          <cell r="C103">
            <v>1383334</v>
          </cell>
        </row>
        <row r="104">
          <cell r="A104">
            <v>151100</v>
          </cell>
          <cell r="B104">
            <v>103</v>
          </cell>
          <cell r="C104">
            <v>1365851</v>
          </cell>
        </row>
        <row r="105">
          <cell r="A105">
            <v>142400</v>
          </cell>
          <cell r="B105">
            <v>104</v>
          </cell>
          <cell r="C105">
            <v>1352895</v>
          </cell>
        </row>
        <row r="106">
          <cell r="A106">
            <v>181201</v>
          </cell>
          <cell r="B106">
            <v>105</v>
          </cell>
          <cell r="C106">
            <v>1350371</v>
          </cell>
        </row>
        <row r="107">
          <cell r="A107">
            <v>171201</v>
          </cell>
          <cell r="B107">
            <v>106</v>
          </cell>
          <cell r="C107">
            <v>1333696</v>
          </cell>
        </row>
        <row r="108">
          <cell r="A108">
            <v>162300</v>
          </cell>
          <cell r="B108">
            <v>107</v>
          </cell>
          <cell r="C108">
            <v>1317915</v>
          </cell>
        </row>
        <row r="109">
          <cell r="A109">
            <v>161201</v>
          </cell>
          <cell r="B109">
            <v>108</v>
          </cell>
          <cell r="C109">
            <v>1314211</v>
          </cell>
        </row>
        <row r="110">
          <cell r="A110">
            <v>158101</v>
          </cell>
          <cell r="B110">
            <v>109</v>
          </cell>
          <cell r="C110">
            <v>1300466</v>
          </cell>
        </row>
        <row r="111">
          <cell r="A111">
            <v>151502</v>
          </cell>
          <cell r="B111">
            <v>110</v>
          </cell>
          <cell r="C111">
            <v>1298607</v>
          </cell>
        </row>
        <row r="112">
          <cell r="A112">
            <v>172502</v>
          </cell>
          <cell r="B112">
            <v>111</v>
          </cell>
          <cell r="C112">
            <v>1282406</v>
          </cell>
        </row>
        <row r="113">
          <cell r="A113">
            <v>112501</v>
          </cell>
          <cell r="B113">
            <v>112</v>
          </cell>
          <cell r="C113">
            <v>1244060</v>
          </cell>
        </row>
        <row r="114">
          <cell r="A114">
            <v>181901</v>
          </cell>
          <cell r="B114">
            <v>113</v>
          </cell>
          <cell r="C114">
            <v>1241037</v>
          </cell>
        </row>
        <row r="115">
          <cell r="A115">
            <v>171804</v>
          </cell>
          <cell r="B115">
            <v>114</v>
          </cell>
          <cell r="C115">
            <v>1233775</v>
          </cell>
        </row>
        <row r="116">
          <cell r="A116">
            <v>158201</v>
          </cell>
          <cell r="B116">
            <v>115</v>
          </cell>
          <cell r="C116">
            <v>1231886</v>
          </cell>
        </row>
        <row r="117">
          <cell r="A117">
            <v>162900</v>
          </cell>
          <cell r="B117">
            <v>116</v>
          </cell>
          <cell r="C117">
            <v>1224009</v>
          </cell>
        </row>
        <row r="118">
          <cell r="A118">
            <v>162200</v>
          </cell>
          <cell r="B118">
            <v>117</v>
          </cell>
          <cell r="C118">
            <v>1190897</v>
          </cell>
        </row>
        <row r="119">
          <cell r="A119">
            <v>162801</v>
          </cell>
          <cell r="B119">
            <v>118</v>
          </cell>
          <cell r="C119">
            <v>1187764</v>
          </cell>
        </row>
        <row r="120">
          <cell r="A120">
            <v>163201</v>
          </cell>
          <cell r="B120">
            <v>119</v>
          </cell>
          <cell r="C120">
            <v>1162735</v>
          </cell>
        </row>
        <row r="121">
          <cell r="A121">
            <v>131800</v>
          </cell>
          <cell r="B121">
            <v>120</v>
          </cell>
          <cell r="C121">
            <v>1153218</v>
          </cell>
        </row>
        <row r="122">
          <cell r="A122">
            <v>182202</v>
          </cell>
          <cell r="B122">
            <v>121</v>
          </cell>
          <cell r="C122">
            <v>1149368</v>
          </cell>
        </row>
        <row r="123">
          <cell r="A123">
            <v>172600</v>
          </cell>
          <cell r="B123">
            <v>122</v>
          </cell>
          <cell r="C123">
            <v>1138601</v>
          </cell>
        </row>
        <row r="124">
          <cell r="A124">
            <v>152300</v>
          </cell>
          <cell r="B124">
            <v>123</v>
          </cell>
          <cell r="C124">
            <v>1130791</v>
          </cell>
        </row>
        <row r="125">
          <cell r="A125">
            <v>161102</v>
          </cell>
          <cell r="B125">
            <v>124</v>
          </cell>
          <cell r="C125">
            <v>1106001</v>
          </cell>
        </row>
        <row r="126">
          <cell r="A126">
            <v>162202</v>
          </cell>
          <cell r="B126">
            <v>125</v>
          </cell>
          <cell r="C126">
            <v>1104515</v>
          </cell>
        </row>
        <row r="127">
          <cell r="A127">
            <v>162201</v>
          </cell>
          <cell r="B127">
            <v>126</v>
          </cell>
          <cell r="C127">
            <v>1093844</v>
          </cell>
        </row>
        <row r="128">
          <cell r="A128">
            <v>151401</v>
          </cell>
          <cell r="B128">
            <v>127</v>
          </cell>
          <cell r="C128">
            <v>1087267</v>
          </cell>
        </row>
        <row r="129">
          <cell r="A129">
            <v>172503</v>
          </cell>
          <cell r="B129">
            <v>128</v>
          </cell>
          <cell r="C129">
            <v>1072903</v>
          </cell>
        </row>
        <row r="130">
          <cell r="A130">
            <v>121600</v>
          </cell>
          <cell r="B130">
            <v>129</v>
          </cell>
          <cell r="C130">
            <v>1044831</v>
          </cell>
        </row>
        <row r="131">
          <cell r="A131">
            <v>188101</v>
          </cell>
          <cell r="B131">
            <v>130</v>
          </cell>
          <cell r="C131">
            <v>1029346</v>
          </cell>
        </row>
        <row r="132">
          <cell r="A132">
            <v>121300</v>
          </cell>
          <cell r="B132">
            <v>131</v>
          </cell>
          <cell r="C132">
            <v>1009621</v>
          </cell>
        </row>
        <row r="133">
          <cell r="A133">
            <v>121500</v>
          </cell>
          <cell r="B133">
            <v>132</v>
          </cell>
          <cell r="C133">
            <v>1004346</v>
          </cell>
        </row>
        <row r="134">
          <cell r="A134">
            <v>152103</v>
          </cell>
          <cell r="B134">
            <v>133</v>
          </cell>
          <cell r="C134">
            <v>1000169</v>
          </cell>
        </row>
        <row r="135">
          <cell r="A135">
            <v>171107</v>
          </cell>
          <cell r="B135">
            <v>134</v>
          </cell>
          <cell r="C135">
            <v>977608</v>
          </cell>
        </row>
        <row r="136">
          <cell r="A136">
            <v>142402</v>
          </cell>
          <cell r="B136">
            <v>135</v>
          </cell>
          <cell r="C136">
            <v>922504</v>
          </cell>
        </row>
        <row r="137">
          <cell r="A137">
            <v>152002</v>
          </cell>
          <cell r="B137">
            <v>136</v>
          </cell>
          <cell r="C137">
            <v>910930</v>
          </cell>
        </row>
        <row r="138">
          <cell r="A138">
            <v>152000</v>
          </cell>
          <cell r="B138">
            <v>137</v>
          </cell>
          <cell r="C138">
            <v>899625</v>
          </cell>
        </row>
        <row r="139">
          <cell r="A139">
            <v>161302</v>
          </cell>
          <cell r="B139">
            <v>138</v>
          </cell>
          <cell r="C139">
            <v>890144</v>
          </cell>
        </row>
        <row r="140">
          <cell r="A140">
            <v>161501</v>
          </cell>
          <cell r="B140">
            <v>139</v>
          </cell>
          <cell r="C140">
            <v>880970</v>
          </cell>
        </row>
        <row r="141">
          <cell r="A141">
            <v>162501</v>
          </cell>
          <cell r="B141">
            <v>140</v>
          </cell>
          <cell r="C141">
            <v>869585</v>
          </cell>
        </row>
        <row r="142">
          <cell r="A142">
            <v>181900</v>
          </cell>
          <cell r="B142">
            <v>141</v>
          </cell>
          <cell r="C142">
            <v>860386</v>
          </cell>
        </row>
        <row r="143">
          <cell r="A143">
            <v>162000</v>
          </cell>
          <cell r="B143">
            <v>142</v>
          </cell>
          <cell r="C143">
            <v>851782</v>
          </cell>
        </row>
        <row r="144">
          <cell r="A144">
            <v>172001</v>
          </cell>
          <cell r="B144">
            <v>143</v>
          </cell>
          <cell r="C144">
            <v>840245</v>
          </cell>
        </row>
        <row r="145">
          <cell r="A145">
            <v>131601</v>
          </cell>
          <cell r="B145">
            <v>144</v>
          </cell>
          <cell r="C145">
            <v>829376</v>
          </cell>
        </row>
        <row r="146">
          <cell r="A146">
            <v>128201</v>
          </cell>
          <cell r="B146">
            <v>145</v>
          </cell>
          <cell r="C146">
            <v>825412</v>
          </cell>
        </row>
        <row r="147">
          <cell r="A147">
            <v>100080</v>
          </cell>
          <cell r="B147">
            <v>146</v>
          </cell>
          <cell r="C147">
            <v>813731</v>
          </cell>
        </row>
        <row r="148">
          <cell r="A148">
            <v>111801</v>
          </cell>
          <cell r="B148">
            <v>147</v>
          </cell>
          <cell r="C148">
            <v>813192</v>
          </cell>
        </row>
        <row r="149">
          <cell r="A149">
            <v>151103</v>
          </cell>
          <cell r="B149">
            <v>148</v>
          </cell>
          <cell r="C149">
            <v>810278</v>
          </cell>
        </row>
        <row r="150">
          <cell r="A150">
            <v>162100</v>
          </cell>
          <cell r="B150">
            <v>149</v>
          </cell>
          <cell r="C150">
            <v>782278</v>
          </cell>
        </row>
        <row r="151">
          <cell r="A151">
            <v>171304</v>
          </cell>
          <cell r="B151">
            <v>150</v>
          </cell>
          <cell r="C151">
            <v>756959</v>
          </cell>
        </row>
        <row r="152">
          <cell r="A152">
            <v>188200</v>
          </cell>
          <cell r="B152">
            <v>151</v>
          </cell>
          <cell r="C152">
            <v>750435</v>
          </cell>
        </row>
        <row r="153">
          <cell r="A153">
            <v>168400</v>
          </cell>
          <cell r="B153">
            <v>152</v>
          </cell>
          <cell r="C153">
            <v>729610</v>
          </cell>
        </row>
        <row r="154">
          <cell r="A154">
            <v>151700</v>
          </cell>
          <cell r="B154">
            <v>153</v>
          </cell>
          <cell r="C154">
            <v>694817</v>
          </cell>
        </row>
        <row r="155">
          <cell r="A155">
            <v>151403</v>
          </cell>
          <cell r="B155">
            <v>154</v>
          </cell>
          <cell r="C155">
            <v>694779</v>
          </cell>
        </row>
        <row r="156">
          <cell r="A156">
            <v>142401</v>
          </cell>
          <cell r="B156">
            <v>155</v>
          </cell>
          <cell r="C156">
            <v>689950</v>
          </cell>
        </row>
        <row r="157">
          <cell r="A157">
            <v>168100</v>
          </cell>
          <cell r="B157">
            <v>156</v>
          </cell>
          <cell r="C157">
            <v>674803</v>
          </cell>
        </row>
        <row r="158">
          <cell r="A158">
            <v>112101</v>
          </cell>
          <cell r="B158">
            <v>157</v>
          </cell>
          <cell r="C158">
            <v>649166</v>
          </cell>
        </row>
        <row r="159">
          <cell r="A159">
            <v>141301</v>
          </cell>
          <cell r="B159">
            <v>158</v>
          </cell>
          <cell r="C159">
            <v>631199</v>
          </cell>
        </row>
        <row r="160">
          <cell r="A160">
            <v>152005</v>
          </cell>
          <cell r="B160">
            <v>159</v>
          </cell>
          <cell r="C160">
            <v>624564</v>
          </cell>
        </row>
        <row r="161">
          <cell r="A161">
            <v>161306</v>
          </cell>
          <cell r="B161">
            <v>160</v>
          </cell>
          <cell r="C161">
            <v>619616</v>
          </cell>
        </row>
        <row r="162">
          <cell r="A162">
            <v>171103</v>
          </cell>
          <cell r="B162">
            <v>161</v>
          </cell>
          <cell r="C162">
            <v>608198</v>
          </cell>
        </row>
        <row r="163">
          <cell r="A163">
            <v>181601</v>
          </cell>
          <cell r="B163">
            <v>162</v>
          </cell>
          <cell r="C163">
            <v>593840</v>
          </cell>
        </row>
        <row r="164">
          <cell r="A164">
            <v>161107</v>
          </cell>
          <cell r="B164">
            <v>163</v>
          </cell>
          <cell r="C164">
            <v>593736</v>
          </cell>
        </row>
        <row r="165">
          <cell r="A165">
            <v>138103</v>
          </cell>
          <cell r="B165">
            <v>164</v>
          </cell>
          <cell r="C165">
            <v>583420</v>
          </cell>
        </row>
        <row r="166">
          <cell r="A166">
            <v>178300</v>
          </cell>
          <cell r="B166">
            <v>165</v>
          </cell>
          <cell r="C166">
            <v>578322</v>
          </cell>
        </row>
        <row r="167">
          <cell r="A167">
            <v>171203</v>
          </cell>
          <cell r="B167">
            <v>166</v>
          </cell>
          <cell r="C167">
            <v>559031</v>
          </cell>
        </row>
        <row r="168">
          <cell r="A168">
            <v>168102</v>
          </cell>
          <cell r="B168">
            <v>167</v>
          </cell>
          <cell r="C168">
            <v>543098</v>
          </cell>
        </row>
        <row r="169">
          <cell r="A169">
            <v>161903</v>
          </cell>
          <cell r="B169">
            <v>168</v>
          </cell>
          <cell r="C169">
            <v>540452</v>
          </cell>
        </row>
        <row r="170">
          <cell r="A170">
            <v>191203</v>
          </cell>
          <cell r="B170">
            <v>169</v>
          </cell>
          <cell r="C170">
            <v>535856</v>
          </cell>
        </row>
        <row r="171">
          <cell r="A171">
            <v>161106</v>
          </cell>
          <cell r="B171">
            <v>170</v>
          </cell>
          <cell r="C171">
            <v>517996</v>
          </cell>
        </row>
        <row r="172">
          <cell r="A172">
            <v>182600</v>
          </cell>
          <cell r="B172">
            <v>171</v>
          </cell>
          <cell r="C172">
            <v>512290</v>
          </cell>
        </row>
        <row r="173">
          <cell r="A173">
            <v>151400</v>
          </cell>
          <cell r="B173">
            <v>172</v>
          </cell>
          <cell r="C173">
            <v>505721</v>
          </cell>
        </row>
        <row r="174">
          <cell r="A174">
            <v>152004</v>
          </cell>
          <cell r="B174">
            <v>173</v>
          </cell>
          <cell r="C174">
            <v>505216</v>
          </cell>
        </row>
        <row r="175">
          <cell r="A175">
            <v>191200</v>
          </cell>
          <cell r="B175">
            <v>174</v>
          </cell>
          <cell r="C175">
            <v>497784</v>
          </cell>
        </row>
        <row r="176">
          <cell r="A176">
            <v>171104</v>
          </cell>
          <cell r="B176">
            <v>175</v>
          </cell>
          <cell r="C176">
            <v>494483</v>
          </cell>
        </row>
        <row r="177">
          <cell r="A177">
            <v>168302</v>
          </cell>
          <cell r="B177">
            <v>176</v>
          </cell>
          <cell r="C177">
            <v>478414</v>
          </cell>
        </row>
        <row r="178">
          <cell r="A178">
            <v>191201</v>
          </cell>
          <cell r="B178">
            <v>177</v>
          </cell>
          <cell r="C178">
            <v>467186</v>
          </cell>
        </row>
        <row r="179">
          <cell r="A179">
            <v>158300</v>
          </cell>
          <cell r="B179">
            <v>178</v>
          </cell>
          <cell r="C179">
            <v>453443</v>
          </cell>
        </row>
        <row r="180">
          <cell r="A180">
            <v>158102</v>
          </cell>
          <cell r="B180">
            <v>179</v>
          </cell>
          <cell r="C180">
            <v>440275</v>
          </cell>
        </row>
        <row r="181">
          <cell r="A181">
            <v>162401</v>
          </cell>
          <cell r="B181">
            <v>180</v>
          </cell>
          <cell r="C181">
            <v>431263</v>
          </cell>
        </row>
        <row r="182">
          <cell r="A182">
            <v>121601</v>
          </cell>
          <cell r="B182">
            <v>181</v>
          </cell>
          <cell r="C182">
            <v>421127</v>
          </cell>
        </row>
        <row r="183">
          <cell r="A183">
            <v>171902</v>
          </cell>
          <cell r="B183">
            <v>182</v>
          </cell>
          <cell r="C183">
            <v>420340</v>
          </cell>
        </row>
        <row r="184">
          <cell r="A184">
            <v>152003</v>
          </cell>
          <cell r="B184">
            <v>183</v>
          </cell>
          <cell r="C184">
            <v>417792</v>
          </cell>
        </row>
        <row r="185">
          <cell r="A185">
            <v>181600</v>
          </cell>
          <cell r="B185">
            <v>184</v>
          </cell>
          <cell r="C185">
            <v>410286</v>
          </cell>
        </row>
        <row r="186">
          <cell r="A186">
            <v>191100</v>
          </cell>
          <cell r="B186">
            <v>185</v>
          </cell>
          <cell r="C186">
            <v>399972</v>
          </cell>
        </row>
        <row r="187">
          <cell r="A187">
            <v>121802</v>
          </cell>
          <cell r="B187">
            <v>186</v>
          </cell>
          <cell r="C187">
            <v>390764</v>
          </cell>
        </row>
        <row r="188">
          <cell r="A188">
            <v>171504</v>
          </cell>
          <cell r="B188">
            <v>187</v>
          </cell>
          <cell r="C188">
            <v>366137</v>
          </cell>
        </row>
        <row r="189">
          <cell r="A189">
            <v>181404</v>
          </cell>
          <cell r="B189">
            <v>188</v>
          </cell>
          <cell r="C189">
            <v>353031</v>
          </cell>
        </row>
        <row r="190">
          <cell r="A190">
            <v>181101</v>
          </cell>
          <cell r="B190">
            <v>189</v>
          </cell>
          <cell r="C190">
            <v>350412</v>
          </cell>
        </row>
        <row r="191">
          <cell r="A191">
            <v>111704</v>
          </cell>
          <cell r="B191">
            <v>190</v>
          </cell>
          <cell r="C191">
            <v>347646</v>
          </cell>
        </row>
        <row r="192">
          <cell r="A192">
            <v>161901</v>
          </cell>
          <cell r="B192">
            <v>191</v>
          </cell>
          <cell r="C192">
            <v>342539</v>
          </cell>
        </row>
        <row r="193">
          <cell r="A193">
            <v>151301</v>
          </cell>
          <cell r="B193">
            <v>192</v>
          </cell>
          <cell r="C193">
            <v>333245</v>
          </cell>
        </row>
        <row r="194">
          <cell r="A194">
            <v>191102</v>
          </cell>
          <cell r="B194">
            <v>193</v>
          </cell>
          <cell r="C194">
            <v>326181</v>
          </cell>
        </row>
        <row r="195">
          <cell r="A195">
            <v>181603</v>
          </cell>
          <cell r="B195">
            <v>194</v>
          </cell>
          <cell r="C195">
            <v>322368</v>
          </cell>
        </row>
        <row r="196">
          <cell r="A196">
            <v>191202</v>
          </cell>
          <cell r="B196">
            <v>195</v>
          </cell>
          <cell r="C196">
            <v>305442</v>
          </cell>
        </row>
        <row r="197">
          <cell r="A197">
            <v>171202</v>
          </cell>
          <cell r="B197">
            <v>196</v>
          </cell>
          <cell r="C197">
            <v>269948</v>
          </cell>
        </row>
        <row r="198">
          <cell r="A198">
            <v>198101</v>
          </cell>
          <cell r="B198">
            <v>197</v>
          </cell>
          <cell r="C198">
            <v>268661</v>
          </cell>
        </row>
        <row r="199">
          <cell r="A199">
            <v>112102</v>
          </cell>
          <cell r="B199">
            <v>198</v>
          </cell>
          <cell r="C199">
            <v>253539</v>
          </cell>
        </row>
        <row r="200">
          <cell r="A200">
            <v>162601</v>
          </cell>
          <cell r="B200">
            <v>199</v>
          </cell>
          <cell r="C200">
            <v>219981</v>
          </cell>
        </row>
        <row r="201">
          <cell r="A201">
            <v>161600</v>
          </cell>
          <cell r="B201">
            <v>200</v>
          </cell>
          <cell r="C201">
            <v>218534</v>
          </cell>
        </row>
        <row r="202">
          <cell r="A202">
            <v>148400</v>
          </cell>
          <cell r="B202">
            <v>201</v>
          </cell>
          <cell r="C202">
            <v>187265</v>
          </cell>
        </row>
        <row r="203">
          <cell r="A203">
            <v>162303</v>
          </cell>
          <cell r="B203">
            <v>202</v>
          </cell>
          <cell r="C203">
            <v>171270</v>
          </cell>
        </row>
        <row r="204">
          <cell r="A204">
            <v>121801</v>
          </cell>
          <cell r="B204">
            <v>203</v>
          </cell>
          <cell r="C204">
            <v>133936</v>
          </cell>
        </row>
        <row r="205">
          <cell r="A205">
            <v>152101</v>
          </cell>
          <cell r="B205">
            <v>204</v>
          </cell>
          <cell r="C205">
            <v>133936</v>
          </cell>
        </row>
        <row r="206">
          <cell r="A206">
            <v>171101</v>
          </cell>
          <cell r="B206">
            <v>205</v>
          </cell>
          <cell r="C206">
            <v>120269</v>
          </cell>
        </row>
        <row r="207">
          <cell r="A207">
            <v>198200</v>
          </cell>
          <cell r="B207">
            <v>206</v>
          </cell>
          <cell r="C207">
            <v>66968</v>
          </cell>
        </row>
        <row r="208">
          <cell r="A208">
            <v>162402</v>
          </cell>
          <cell r="B208">
            <v>207</v>
          </cell>
          <cell r="C208">
            <v>26787</v>
          </cell>
        </row>
      </sheetData>
      <sheetData sheetId="2" refreshError="1">
        <row r="1">
          <cell r="A1" t="str">
            <v>코드</v>
          </cell>
          <cell r="B1" t="str">
            <v>순위</v>
          </cell>
          <cell r="C1" t="str">
            <v>매출액</v>
          </cell>
        </row>
        <row r="2">
          <cell r="A2">
            <v>182301</v>
          </cell>
          <cell r="B2">
            <v>1</v>
          </cell>
          <cell r="C2">
            <v>18108097</v>
          </cell>
        </row>
        <row r="3">
          <cell r="A3">
            <v>101103</v>
          </cell>
          <cell r="B3">
            <v>2</v>
          </cell>
          <cell r="C3">
            <v>11259098</v>
          </cell>
        </row>
        <row r="4">
          <cell r="A4">
            <v>141400</v>
          </cell>
          <cell r="B4">
            <v>3</v>
          </cell>
          <cell r="C4">
            <v>11215005</v>
          </cell>
        </row>
        <row r="5">
          <cell r="A5">
            <v>141801</v>
          </cell>
          <cell r="B5">
            <v>4</v>
          </cell>
          <cell r="C5">
            <v>8935661</v>
          </cell>
        </row>
        <row r="6">
          <cell r="A6">
            <v>128402</v>
          </cell>
          <cell r="B6">
            <v>5</v>
          </cell>
          <cell r="C6">
            <v>8441357</v>
          </cell>
        </row>
        <row r="7">
          <cell r="A7">
            <v>111602</v>
          </cell>
          <cell r="B7">
            <v>6</v>
          </cell>
          <cell r="C7">
            <v>8363370</v>
          </cell>
        </row>
        <row r="8">
          <cell r="A8">
            <v>182100</v>
          </cell>
          <cell r="B8">
            <v>7</v>
          </cell>
          <cell r="C8">
            <v>7184205</v>
          </cell>
        </row>
        <row r="9">
          <cell r="A9">
            <v>171502</v>
          </cell>
          <cell r="B9">
            <v>8</v>
          </cell>
          <cell r="C9">
            <v>7038308</v>
          </cell>
        </row>
        <row r="10">
          <cell r="A10">
            <v>148300</v>
          </cell>
          <cell r="B10">
            <v>9</v>
          </cell>
          <cell r="C10">
            <v>6414329</v>
          </cell>
        </row>
        <row r="11">
          <cell r="A11">
            <v>121701</v>
          </cell>
          <cell r="B11">
            <v>10</v>
          </cell>
          <cell r="C11">
            <v>6237647</v>
          </cell>
        </row>
        <row r="12">
          <cell r="A12">
            <v>182101</v>
          </cell>
          <cell r="B12">
            <v>11</v>
          </cell>
          <cell r="C12">
            <v>6132988</v>
          </cell>
        </row>
        <row r="13">
          <cell r="A13">
            <v>162302</v>
          </cell>
          <cell r="B13">
            <v>12</v>
          </cell>
          <cell r="C13">
            <v>5823993</v>
          </cell>
        </row>
        <row r="14">
          <cell r="A14">
            <v>182501</v>
          </cell>
          <cell r="B14">
            <v>13</v>
          </cell>
          <cell r="C14">
            <v>5659522</v>
          </cell>
        </row>
        <row r="15">
          <cell r="A15">
            <v>171803</v>
          </cell>
          <cell r="B15">
            <v>14</v>
          </cell>
          <cell r="C15">
            <v>5453802</v>
          </cell>
        </row>
        <row r="16">
          <cell r="A16">
            <v>161304</v>
          </cell>
          <cell r="B16">
            <v>15</v>
          </cell>
          <cell r="C16">
            <v>5219548</v>
          </cell>
        </row>
        <row r="17">
          <cell r="A17">
            <v>181401</v>
          </cell>
          <cell r="B17">
            <v>16</v>
          </cell>
          <cell r="C17">
            <v>5191448</v>
          </cell>
        </row>
        <row r="18">
          <cell r="A18">
            <v>131401</v>
          </cell>
          <cell r="B18">
            <v>17</v>
          </cell>
          <cell r="C18">
            <v>5064263</v>
          </cell>
        </row>
        <row r="19">
          <cell r="A19">
            <v>182400</v>
          </cell>
          <cell r="B19">
            <v>18</v>
          </cell>
          <cell r="C19">
            <v>4757181</v>
          </cell>
        </row>
        <row r="20">
          <cell r="A20">
            <v>122300</v>
          </cell>
          <cell r="B20">
            <v>19</v>
          </cell>
          <cell r="C20">
            <v>4648201</v>
          </cell>
        </row>
        <row r="21">
          <cell r="A21">
            <v>122101</v>
          </cell>
          <cell r="B21">
            <v>20</v>
          </cell>
          <cell r="C21">
            <v>4573581</v>
          </cell>
        </row>
        <row r="22">
          <cell r="A22">
            <v>142600</v>
          </cell>
          <cell r="B22">
            <v>21</v>
          </cell>
          <cell r="C22">
            <v>4169092</v>
          </cell>
        </row>
        <row r="23">
          <cell r="A23">
            <v>171802</v>
          </cell>
          <cell r="B23">
            <v>22</v>
          </cell>
          <cell r="C23">
            <v>4136111</v>
          </cell>
        </row>
        <row r="24">
          <cell r="A24">
            <v>182200</v>
          </cell>
          <cell r="B24">
            <v>23</v>
          </cell>
          <cell r="C24">
            <v>4086462</v>
          </cell>
        </row>
        <row r="25">
          <cell r="A25">
            <v>151600</v>
          </cell>
          <cell r="B25">
            <v>24</v>
          </cell>
          <cell r="C25">
            <v>3973222</v>
          </cell>
        </row>
        <row r="26">
          <cell r="A26">
            <v>171402</v>
          </cell>
          <cell r="B26">
            <v>25</v>
          </cell>
          <cell r="C26">
            <v>3944537</v>
          </cell>
        </row>
        <row r="27">
          <cell r="A27">
            <v>172400</v>
          </cell>
          <cell r="B27">
            <v>26</v>
          </cell>
          <cell r="C27">
            <v>3836717</v>
          </cell>
        </row>
        <row r="28">
          <cell r="A28">
            <v>121800</v>
          </cell>
          <cell r="B28">
            <v>27</v>
          </cell>
          <cell r="C28">
            <v>3809772</v>
          </cell>
        </row>
        <row r="29">
          <cell r="A29">
            <v>141200</v>
          </cell>
          <cell r="B29">
            <v>28</v>
          </cell>
          <cell r="C29">
            <v>3736727</v>
          </cell>
        </row>
        <row r="30">
          <cell r="A30">
            <v>108102</v>
          </cell>
          <cell r="B30">
            <v>29</v>
          </cell>
          <cell r="C30">
            <v>3703235</v>
          </cell>
        </row>
        <row r="31">
          <cell r="A31">
            <v>111601</v>
          </cell>
          <cell r="B31">
            <v>30</v>
          </cell>
          <cell r="C31">
            <v>3652234</v>
          </cell>
        </row>
        <row r="32">
          <cell r="A32">
            <v>151403</v>
          </cell>
          <cell r="B32">
            <v>31</v>
          </cell>
          <cell r="C32">
            <v>3613682</v>
          </cell>
        </row>
        <row r="33">
          <cell r="A33">
            <v>100075</v>
          </cell>
          <cell r="B33">
            <v>32</v>
          </cell>
          <cell r="C33">
            <v>3573103</v>
          </cell>
        </row>
        <row r="34">
          <cell r="A34">
            <v>131402</v>
          </cell>
          <cell r="B34">
            <v>33</v>
          </cell>
          <cell r="C34">
            <v>3516061</v>
          </cell>
        </row>
        <row r="35">
          <cell r="A35">
            <v>121401</v>
          </cell>
          <cell r="B35">
            <v>34</v>
          </cell>
          <cell r="C35">
            <v>3411771</v>
          </cell>
        </row>
        <row r="36">
          <cell r="A36">
            <v>121400</v>
          </cell>
          <cell r="B36">
            <v>35</v>
          </cell>
          <cell r="C36">
            <v>3397995</v>
          </cell>
        </row>
        <row r="37">
          <cell r="A37">
            <v>182900</v>
          </cell>
          <cell r="B37">
            <v>36</v>
          </cell>
          <cell r="C37">
            <v>3391904</v>
          </cell>
        </row>
        <row r="38">
          <cell r="A38">
            <v>171303</v>
          </cell>
          <cell r="B38">
            <v>37</v>
          </cell>
          <cell r="C38">
            <v>3320775</v>
          </cell>
        </row>
        <row r="39">
          <cell r="A39">
            <v>171800</v>
          </cell>
          <cell r="B39">
            <v>38</v>
          </cell>
          <cell r="C39">
            <v>3298233</v>
          </cell>
        </row>
        <row r="40">
          <cell r="A40">
            <v>138200</v>
          </cell>
          <cell r="B40">
            <v>39</v>
          </cell>
          <cell r="C40">
            <v>3292189</v>
          </cell>
        </row>
        <row r="41">
          <cell r="A41">
            <v>148100</v>
          </cell>
          <cell r="B41">
            <v>40</v>
          </cell>
          <cell r="C41">
            <v>3280645</v>
          </cell>
        </row>
        <row r="42">
          <cell r="A42">
            <v>171108</v>
          </cell>
          <cell r="B42">
            <v>41</v>
          </cell>
          <cell r="C42">
            <v>3260435</v>
          </cell>
        </row>
        <row r="43">
          <cell r="A43">
            <v>141500</v>
          </cell>
          <cell r="B43">
            <v>42</v>
          </cell>
          <cell r="C43">
            <v>3210359</v>
          </cell>
        </row>
        <row r="44">
          <cell r="A44">
            <v>178401</v>
          </cell>
          <cell r="B44">
            <v>43</v>
          </cell>
          <cell r="C44">
            <v>3192472</v>
          </cell>
        </row>
        <row r="45">
          <cell r="A45">
            <v>141501</v>
          </cell>
          <cell r="B45">
            <v>44</v>
          </cell>
          <cell r="C45">
            <v>3161262</v>
          </cell>
        </row>
        <row r="46">
          <cell r="A46">
            <v>121600</v>
          </cell>
          <cell r="B46">
            <v>45</v>
          </cell>
          <cell r="C46">
            <v>3146646</v>
          </cell>
        </row>
        <row r="47">
          <cell r="A47">
            <v>173300</v>
          </cell>
          <cell r="B47">
            <v>46</v>
          </cell>
          <cell r="C47">
            <v>3107631</v>
          </cell>
        </row>
        <row r="48">
          <cell r="A48">
            <v>162801</v>
          </cell>
          <cell r="B48">
            <v>47</v>
          </cell>
          <cell r="C48">
            <v>3033579</v>
          </cell>
        </row>
        <row r="49">
          <cell r="A49">
            <v>172800</v>
          </cell>
          <cell r="B49">
            <v>48</v>
          </cell>
          <cell r="C49">
            <v>3031506</v>
          </cell>
        </row>
        <row r="50">
          <cell r="A50">
            <v>101102</v>
          </cell>
          <cell r="B50">
            <v>49</v>
          </cell>
          <cell r="C50">
            <v>2931829</v>
          </cell>
        </row>
        <row r="51">
          <cell r="A51">
            <v>141800</v>
          </cell>
          <cell r="B51">
            <v>50</v>
          </cell>
          <cell r="C51">
            <v>2914706</v>
          </cell>
        </row>
        <row r="52">
          <cell r="A52">
            <v>158100</v>
          </cell>
          <cell r="B52">
            <v>51</v>
          </cell>
          <cell r="C52">
            <v>2858923</v>
          </cell>
        </row>
        <row r="53">
          <cell r="A53">
            <v>172300</v>
          </cell>
          <cell r="B53">
            <v>52</v>
          </cell>
          <cell r="C53">
            <v>2831033</v>
          </cell>
        </row>
        <row r="54">
          <cell r="A54">
            <v>121801</v>
          </cell>
          <cell r="B54">
            <v>53</v>
          </cell>
          <cell r="C54">
            <v>2766960</v>
          </cell>
        </row>
        <row r="55">
          <cell r="A55">
            <v>131301</v>
          </cell>
          <cell r="B55">
            <v>54</v>
          </cell>
          <cell r="C55">
            <v>2738736</v>
          </cell>
        </row>
        <row r="56">
          <cell r="A56">
            <v>151401</v>
          </cell>
          <cell r="B56">
            <v>55</v>
          </cell>
          <cell r="C56">
            <v>2726160</v>
          </cell>
        </row>
        <row r="57">
          <cell r="A57">
            <v>100071</v>
          </cell>
          <cell r="B57">
            <v>56</v>
          </cell>
          <cell r="C57">
            <v>2694097</v>
          </cell>
        </row>
        <row r="58">
          <cell r="A58">
            <v>128400</v>
          </cell>
          <cell r="B58">
            <v>57</v>
          </cell>
          <cell r="C58">
            <v>2678220</v>
          </cell>
        </row>
        <row r="59">
          <cell r="A59">
            <v>152100</v>
          </cell>
          <cell r="B59">
            <v>58</v>
          </cell>
          <cell r="C59">
            <v>2671811</v>
          </cell>
        </row>
        <row r="60">
          <cell r="A60">
            <v>111700</v>
          </cell>
          <cell r="B60">
            <v>59</v>
          </cell>
          <cell r="C60">
            <v>2622919</v>
          </cell>
        </row>
        <row r="61">
          <cell r="A61">
            <v>152000</v>
          </cell>
          <cell r="B61">
            <v>60</v>
          </cell>
          <cell r="C61">
            <v>2537457</v>
          </cell>
        </row>
        <row r="62">
          <cell r="A62">
            <v>128403</v>
          </cell>
          <cell r="B62">
            <v>61</v>
          </cell>
          <cell r="C62">
            <v>2529956</v>
          </cell>
        </row>
        <row r="63">
          <cell r="A63">
            <v>171102</v>
          </cell>
          <cell r="B63">
            <v>62</v>
          </cell>
          <cell r="C63">
            <v>2486763</v>
          </cell>
        </row>
        <row r="64">
          <cell r="A64">
            <v>151800</v>
          </cell>
          <cell r="B64">
            <v>63</v>
          </cell>
          <cell r="C64">
            <v>2464691</v>
          </cell>
        </row>
        <row r="65">
          <cell r="A65">
            <v>181901</v>
          </cell>
          <cell r="B65">
            <v>64</v>
          </cell>
          <cell r="C65">
            <v>2463530</v>
          </cell>
        </row>
        <row r="66">
          <cell r="A66">
            <v>171904</v>
          </cell>
          <cell r="B66">
            <v>65</v>
          </cell>
          <cell r="C66">
            <v>2351338</v>
          </cell>
        </row>
        <row r="67">
          <cell r="A67">
            <v>200300</v>
          </cell>
          <cell r="B67">
            <v>66</v>
          </cell>
          <cell r="C67">
            <v>2310970</v>
          </cell>
        </row>
        <row r="68">
          <cell r="A68">
            <v>161102</v>
          </cell>
          <cell r="B68">
            <v>67</v>
          </cell>
          <cell r="C68">
            <v>2299201</v>
          </cell>
        </row>
        <row r="69">
          <cell r="A69">
            <v>171106</v>
          </cell>
          <cell r="B69">
            <v>68</v>
          </cell>
          <cell r="C69">
            <v>2231836</v>
          </cell>
        </row>
        <row r="70">
          <cell r="A70">
            <v>121700</v>
          </cell>
          <cell r="B70">
            <v>69</v>
          </cell>
          <cell r="C70">
            <v>2229553</v>
          </cell>
        </row>
        <row r="71">
          <cell r="A71">
            <v>121200</v>
          </cell>
          <cell r="B71">
            <v>70</v>
          </cell>
          <cell r="C71">
            <v>2102300</v>
          </cell>
        </row>
        <row r="72">
          <cell r="A72">
            <v>112103</v>
          </cell>
          <cell r="B72">
            <v>71</v>
          </cell>
          <cell r="C72">
            <v>2099874</v>
          </cell>
        </row>
        <row r="73">
          <cell r="A73">
            <v>168302</v>
          </cell>
          <cell r="B73">
            <v>72</v>
          </cell>
          <cell r="C73">
            <v>2061594</v>
          </cell>
        </row>
        <row r="74">
          <cell r="A74">
            <v>128201</v>
          </cell>
          <cell r="B74">
            <v>73</v>
          </cell>
          <cell r="C74">
            <v>2025225</v>
          </cell>
        </row>
        <row r="75">
          <cell r="A75">
            <v>128301</v>
          </cell>
          <cell r="B75">
            <v>74</v>
          </cell>
          <cell r="C75">
            <v>2018331</v>
          </cell>
        </row>
        <row r="76">
          <cell r="A76">
            <v>161108</v>
          </cell>
          <cell r="B76">
            <v>75</v>
          </cell>
          <cell r="C76">
            <v>1982924</v>
          </cell>
        </row>
        <row r="77">
          <cell r="A77">
            <v>181201</v>
          </cell>
          <cell r="B77">
            <v>76</v>
          </cell>
          <cell r="C77">
            <v>1950193</v>
          </cell>
        </row>
        <row r="78">
          <cell r="A78">
            <v>171801</v>
          </cell>
          <cell r="B78">
            <v>77</v>
          </cell>
          <cell r="C78">
            <v>1934526</v>
          </cell>
        </row>
        <row r="79">
          <cell r="A79">
            <v>188208</v>
          </cell>
          <cell r="B79">
            <v>78</v>
          </cell>
          <cell r="C79">
            <v>1893054</v>
          </cell>
        </row>
        <row r="80">
          <cell r="A80">
            <v>151301</v>
          </cell>
          <cell r="B80">
            <v>79</v>
          </cell>
          <cell r="C80">
            <v>1878641</v>
          </cell>
        </row>
        <row r="81">
          <cell r="A81">
            <v>172900</v>
          </cell>
          <cell r="B81">
            <v>80</v>
          </cell>
          <cell r="C81">
            <v>1857286</v>
          </cell>
        </row>
        <row r="82">
          <cell r="A82">
            <v>182000</v>
          </cell>
          <cell r="B82">
            <v>81</v>
          </cell>
          <cell r="C82">
            <v>1854952</v>
          </cell>
        </row>
        <row r="83">
          <cell r="A83">
            <v>148602</v>
          </cell>
          <cell r="B83">
            <v>82</v>
          </cell>
          <cell r="C83">
            <v>1826456</v>
          </cell>
        </row>
        <row r="84">
          <cell r="A84">
            <v>151100</v>
          </cell>
          <cell r="B84">
            <v>83</v>
          </cell>
          <cell r="C84">
            <v>1788819</v>
          </cell>
        </row>
        <row r="85">
          <cell r="A85">
            <v>142400</v>
          </cell>
          <cell r="B85">
            <v>84</v>
          </cell>
          <cell r="C85">
            <v>1786533</v>
          </cell>
        </row>
        <row r="86">
          <cell r="A86">
            <v>171202</v>
          </cell>
          <cell r="B86">
            <v>85</v>
          </cell>
          <cell r="C86">
            <v>1752765</v>
          </cell>
        </row>
        <row r="87">
          <cell r="A87">
            <v>111404</v>
          </cell>
          <cell r="B87">
            <v>86</v>
          </cell>
          <cell r="C87">
            <v>1712758</v>
          </cell>
        </row>
        <row r="88">
          <cell r="A88">
            <v>172403</v>
          </cell>
          <cell r="B88">
            <v>87</v>
          </cell>
          <cell r="C88">
            <v>1697319</v>
          </cell>
        </row>
        <row r="89">
          <cell r="A89">
            <v>131601</v>
          </cell>
          <cell r="B89">
            <v>88</v>
          </cell>
          <cell r="C89">
            <v>1671812</v>
          </cell>
        </row>
        <row r="90">
          <cell r="A90">
            <v>111300</v>
          </cell>
          <cell r="B90">
            <v>89</v>
          </cell>
          <cell r="C90">
            <v>1657512</v>
          </cell>
        </row>
        <row r="91">
          <cell r="A91">
            <v>200400</v>
          </cell>
          <cell r="B91">
            <v>90</v>
          </cell>
          <cell r="C91">
            <v>1601490</v>
          </cell>
        </row>
        <row r="92">
          <cell r="A92">
            <v>181900</v>
          </cell>
          <cell r="B92">
            <v>91</v>
          </cell>
          <cell r="C92">
            <v>1572639</v>
          </cell>
        </row>
        <row r="93">
          <cell r="A93">
            <v>182800</v>
          </cell>
          <cell r="B93">
            <v>92</v>
          </cell>
          <cell r="C93">
            <v>1560255</v>
          </cell>
        </row>
        <row r="94">
          <cell r="A94">
            <v>108100</v>
          </cell>
          <cell r="B94">
            <v>93</v>
          </cell>
          <cell r="C94">
            <v>1554545</v>
          </cell>
        </row>
        <row r="95">
          <cell r="A95">
            <v>158400</v>
          </cell>
          <cell r="B95">
            <v>94</v>
          </cell>
          <cell r="C95">
            <v>1549330</v>
          </cell>
        </row>
        <row r="96">
          <cell r="A96">
            <v>131500</v>
          </cell>
          <cell r="B96">
            <v>95</v>
          </cell>
          <cell r="C96">
            <v>1540668</v>
          </cell>
        </row>
        <row r="97">
          <cell r="A97">
            <v>171701</v>
          </cell>
          <cell r="B97">
            <v>96</v>
          </cell>
          <cell r="C97">
            <v>1534932</v>
          </cell>
        </row>
        <row r="98">
          <cell r="A98">
            <v>220100</v>
          </cell>
          <cell r="B98">
            <v>97</v>
          </cell>
          <cell r="C98">
            <v>1532419</v>
          </cell>
        </row>
        <row r="99">
          <cell r="A99">
            <v>162802</v>
          </cell>
          <cell r="B99">
            <v>98</v>
          </cell>
          <cell r="C99">
            <v>1517451</v>
          </cell>
        </row>
        <row r="100">
          <cell r="A100">
            <v>172600</v>
          </cell>
          <cell r="B100">
            <v>99</v>
          </cell>
          <cell r="C100">
            <v>1516207</v>
          </cell>
        </row>
        <row r="101">
          <cell r="A101">
            <v>178302</v>
          </cell>
          <cell r="B101">
            <v>100</v>
          </cell>
          <cell r="C101">
            <v>1489840</v>
          </cell>
        </row>
        <row r="102">
          <cell r="A102">
            <v>172700</v>
          </cell>
          <cell r="B102">
            <v>101</v>
          </cell>
          <cell r="C102">
            <v>1472922</v>
          </cell>
        </row>
        <row r="103">
          <cell r="A103">
            <v>181800</v>
          </cell>
          <cell r="B103">
            <v>102</v>
          </cell>
          <cell r="C103">
            <v>1453988</v>
          </cell>
        </row>
        <row r="104">
          <cell r="A104">
            <v>121500</v>
          </cell>
          <cell r="B104">
            <v>103</v>
          </cell>
          <cell r="C104">
            <v>1452179</v>
          </cell>
        </row>
        <row r="105">
          <cell r="A105">
            <v>191201</v>
          </cell>
          <cell r="B105">
            <v>104</v>
          </cell>
          <cell r="C105">
            <v>1443850</v>
          </cell>
        </row>
        <row r="106">
          <cell r="A106">
            <v>171302</v>
          </cell>
          <cell r="B106">
            <v>105</v>
          </cell>
          <cell r="C106">
            <v>1421303</v>
          </cell>
        </row>
        <row r="107">
          <cell r="A107">
            <v>100077</v>
          </cell>
          <cell r="B107">
            <v>106</v>
          </cell>
          <cell r="C107">
            <v>1388401</v>
          </cell>
        </row>
        <row r="108">
          <cell r="A108">
            <v>178200</v>
          </cell>
          <cell r="B108">
            <v>107</v>
          </cell>
          <cell r="C108">
            <v>1377289</v>
          </cell>
        </row>
        <row r="109">
          <cell r="A109">
            <v>161500</v>
          </cell>
          <cell r="B109">
            <v>108</v>
          </cell>
          <cell r="C109">
            <v>1360278</v>
          </cell>
        </row>
        <row r="110">
          <cell r="A110">
            <v>181905</v>
          </cell>
          <cell r="B110">
            <v>109</v>
          </cell>
          <cell r="C110">
            <v>1326586</v>
          </cell>
        </row>
        <row r="111">
          <cell r="A111">
            <v>161303</v>
          </cell>
          <cell r="B111">
            <v>110</v>
          </cell>
          <cell r="C111">
            <v>1323697</v>
          </cell>
        </row>
        <row r="112">
          <cell r="A112">
            <v>148400</v>
          </cell>
          <cell r="B112">
            <v>111</v>
          </cell>
          <cell r="C112">
            <v>1288710</v>
          </cell>
        </row>
        <row r="113">
          <cell r="A113">
            <v>171200</v>
          </cell>
          <cell r="B113">
            <v>112</v>
          </cell>
          <cell r="C113">
            <v>1278062</v>
          </cell>
        </row>
        <row r="114">
          <cell r="A114">
            <v>151400</v>
          </cell>
          <cell r="B114">
            <v>113</v>
          </cell>
          <cell r="C114">
            <v>1259786</v>
          </cell>
        </row>
        <row r="115">
          <cell r="A115">
            <v>171600</v>
          </cell>
          <cell r="B115">
            <v>114</v>
          </cell>
          <cell r="C115">
            <v>1254442</v>
          </cell>
        </row>
        <row r="116">
          <cell r="A116">
            <v>178300</v>
          </cell>
          <cell r="B116">
            <v>115</v>
          </cell>
          <cell r="C116">
            <v>1238509</v>
          </cell>
        </row>
        <row r="117">
          <cell r="A117">
            <v>142100</v>
          </cell>
          <cell r="B117">
            <v>116</v>
          </cell>
          <cell r="C117">
            <v>1214323</v>
          </cell>
        </row>
        <row r="118">
          <cell r="A118">
            <v>188120</v>
          </cell>
          <cell r="B118">
            <v>117</v>
          </cell>
          <cell r="C118">
            <v>1194204</v>
          </cell>
        </row>
        <row r="119">
          <cell r="A119">
            <v>162200</v>
          </cell>
          <cell r="B119">
            <v>118</v>
          </cell>
          <cell r="C119">
            <v>1184609</v>
          </cell>
        </row>
        <row r="120">
          <cell r="A120">
            <v>151105</v>
          </cell>
          <cell r="B120">
            <v>119</v>
          </cell>
          <cell r="C120">
            <v>1183875</v>
          </cell>
        </row>
        <row r="121">
          <cell r="A121">
            <v>200800</v>
          </cell>
          <cell r="B121">
            <v>120</v>
          </cell>
          <cell r="C121">
            <v>1180110</v>
          </cell>
        </row>
        <row r="122">
          <cell r="A122">
            <v>122001</v>
          </cell>
          <cell r="B122">
            <v>121</v>
          </cell>
          <cell r="C122">
            <v>1158236</v>
          </cell>
        </row>
        <row r="123">
          <cell r="A123">
            <v>111603</v>
          </cell>
          <cell r="B123">
            <v>122</v>
          </cell>
          <cell r="C123">
            <v>1130459</v>
          </cell>
        </row>
        <row r="124">
          <cell r="A124">
            <v>171107</v>
          </cell>
          <cell r="B124">
            <v>123</v>
          </cell>
          <cell r="C124">
            <v>1128479</v>
          </cell>
        </row>
        <row r="125">
          <cell r="A125">
            <v>131201</v>
          </cell>
          <cell r="B125">
            <v>124</v>
          </cell>
          <cell r="C125">
            <v>1104881</v>
          </cell>
        </row>
        <row r="126">
          <cell r="A126">
            <v>122400</v>
          </cell>
          <cell r="B126">
            <v>125</v>
          </cell>
          <cell r="C126">
            <v>1089277</v>
          </cell>
        </row>
        <row r="127">
          <cell r="A127">
            <v>121802</v>
          </cell>
          <cell r="B127">
            <v>126</v>
          </cell>
          <cell r="C127">
            <v>1076411</v>
          </cell>
        </row>
        <row r="128">
          <cell r="A128">
            <v>162401</v>
          </cell>
          <cell r="B128">
            <v>127</v>
          </cell>
          <cell r="C128">
            <v>1070858</v>
          </cell>
        </row>
        <row r="129">
          <cell r="A129">
            <v>151901</v>
          </cell>
          <cell r="B129">
            <v>128</v>
          </cell>
          <cell r="C129">
            <v>1022919</v>
          </cell>
        </row>
        <row r="130">
          <cell r="A130">
            <v>171503</v>
          </cell>
          <cell r="B130">
            <v>129</v>
          </cell>
          <cell r="C130">
            <v>1013430</v>
          </cell>
        </row>
        <row r="131">
          <cell r="A131">
            <v>121501</v>
          </cell>
          <cell r="B131">
            <v>130</v>
          </cell>
          <cell r="C131">
            <v>1008454</v>
          </cell>
        </row>
        <row r="132">
          <cell r="A132">
            <v>168303</v>
          </cell>
          <cell r="B132">
            <v>131</v>
          </cell>
          <cell r="C132">
            <v>998236</v>
          </cell>
        </row>
        <row r="133">
          <cell r="A133">
            <v>158200</v>
          </cell>
          <cell r="B133">
            <v>132</v>
          </cell>
          <cell r="C133">
            <v>992311</v>
          </cell>
        </row>
        <row r="134">
          <cell r="A134">
            <v>162300</v>
          </cell>
          <cell r="B134">
            <v>133</v>
          </cell>
          <cell r="C134">
            <v>984802</v>
          </cell>
        </row>
        <row r="135">
          <cell r="A135">
            <v>162100</v>
          </cell>
          <cell r="B135">
            <v>134</v>
          </cell>
          <cell r="C135">
            <v>978521</v>
          </cell>
        </row>
        <row r="136">
          <cell r="A136">
            <v>171602</v>
          </cell>
          <cell r="B136">
            <v>135</v>
          </cell>
          <cell r="C136">
            <v>962321</v>
          </cell>
        </row>
        <row r="137">
          <cell r="A137">
            <v>181100</v>
          </cell>
          <cell r="B137">
            <v>136</v>
          </cell>
          <cell r="C137">
            <v>944268</v>
          </cell>
        </row>
        <row r="138">
          <cell r="A138">
            <v>173100</v>
          </cell>
          <cell r="B138">
            <v>137</v>
          </cell>
          <cell r="C138">
            <v>943737</v>
          </cell>
        </row>
        <row r="139">
          <cell r="A139">
            <v>112500</v>
          </cell>
          <cell r="B139">
            <v>138</v>
          </cell>
          <cell r="C139">
            <v>941603</v>
          </cell>
        </row>
        <row r="140">
          <cell r="A140">
            <v>171401</v>
          </cell>
          <cell r="B140">
            <v>139</v>
          </cell>
          <cell r="C140">
            <v>888713</v>
          </cell>
        </row>
        <row r="141">
          <cell r="A141">
            <v>161900</v>
          </cell>
          <cell r="B141">
            <v>140</v>
          </cell>
          <cell r="C141">
            <v>886538</v>
          </cell>
        </row>
        <row r="142">
          <cell r="A142">
            <v>182600</v>
          </cell>
          <cell r="B142">
            <v>141</v>
          </cell>
          <cell r="C142">
            <v>870126</v>
          </cell>
        </row>
        <row r="143">
          <cell r="A143">
            <v>121702</v>
          </cell>
          <cell r="B143">
            <v>142</v>
          </cell>
          <cell r="C143">
            <v>861677</v>
          </cell>
        </row>
        <row r="144">
          <cell r="A144">
            <v>171105</v>
          </cell>
          <cell r="B144">
            <v>143</v>
          </cell>
          <cell r="C144">
            <v>855588</v>
          </cell>
        </row>
        <row r="145">
          <cell r="A145">
            <v>131103</v>
          </cell>
          <cell r="B145">
            <v>144</v>
          </cell>
          <cell r="C145">
            <v>855274</v>
          </cell>
        </row>
        <row r="146">
          <cell r="A146">
            <v>162900</v>
          </cell>
          <cell r="B146">
            <v>145</v>
          </cell>
          <cell r="C146">
            <v>839066</v>
          </cell>
        </row>
        <row r="147">
          <cell r="A147">
            <v>151501</v>
          </cell>
          <cell r="B147">
            <v>146</v>
          </cell>
          <cell r="C147">
            <v>817687</v>
          </cell>
        </row>
        <row r="148">
          <cell r="A148">
            <v>151102</v>
          </cell>
          <cell r="B148">
            <v>147</v>
          </cell>
          <cell r="C148">
            <v>816387</v>
          </cell>
        </row>
        <row r="149">
          <cell r="A149">
            <v>121102</v>
          </cell>
          <cell r="B149">
            <v>148</v>
          </cell>
          <cell r="C149">
            <v>815351</v>
          </cell>
        </row>
        <row r="150">
          <cell r="A150">
            <v>108103</v>
          </cell>
          <cell r="B150">
            <v>149</v>
          </cell>
          <cell r="C150">
            <v>776042</v>
          </cell>
        </row>
        <row r="151">
          <cell r="A151">
            <v>191100</v>
          </cell>
          <cell r="B151">
            <v>150</v>
          </cell>
          <cell r="C151">
            <v>773145</v>
          </cell>
        </row>
        <row r="152">
          <cell r="A152">
            <v>181602</v>
          </cell>
          <cell r="B152">
            <v>151</v>
          </cell>
          <cell r="C152">
            <v>757393</v>
          </cell>
        </row>
        <row r="153">
          <cell r="A153">
            <v>162202</v>
          </cell>
          <cell r="B153">
            <v>152</v>
          </cell>
          <cell r="C153">
            <v>742984</v>
          </cell>
        </row>
        <row r="154">
          <cell r="A154">
            <v>162800</v>
          </cell>
          <cell r="B154">
            <v>153</v>
          </cell>
          <cell r="C154">
            <v>742170</v>
          </cell>
        </row>
        <row r="155">
          <cell r="A155">
            <v>198101</v>
          </cell>
          <cell r="B155">
            <v>154</v>
          </cell>
          <cell r="C155">
            <v>726382</v>
          </cell>
        </row>
        <row r="156">
          <cell r="A156">
            <v>200600</v>
          </cell>
          <cell r="B156">
            <v>155</v>
          </cell>
          <cell r="C156">
            <v>719733</v>
          </cell>
        </row>
        <row r="157">
          <cell r="A157">
            <v>162303</v>
          </cell>
          <cell r="B157">
            <v>156</v>
          </cell>
          <cell r="C157">
            <v>706097</v>
          </cell>
        </row>
        <row r="158">
          <cell r="A158">
            <v>181101</v>
          </cell>
          <cell r="B158">
            <v>157</v>
          </cell>
          <cell r="C158">
            <v>699266</v>
          </cell>
        </row>
        <row r="159">
          <cell r="A159">
            <v>108201</v>
          </cell>
          <cell r="B159">
            <v>158</v>
          </cell>
          <cell r="C159">
            <v>681485</v>
          </cell>
        </row>
        <row r="160">
          <cell r="A160">
            <v>131101</v>
          </cell>
          <cell r="B160">
            <v>159</v>
          </cell>
          <cell r="C160">
            <v>664270</v>
          </cell>
        </row>
        <row r="161">
          <cell r="A161">
            <v>161105</v>
          </cell>
          <cell r="B161">
            <v>160</v>
          </cell>
          <cell r="C161">
            <v>661690</v>
          </cell>
        </row>
        <row r="162">
          <cell r="A162">
            <v>188200</v>
          </cell>
          <cell r="B162">
            <v>161</v>
          </cell>
          <cell r="C162">
            <v>652820</v>
          </cell>
        </row>
        <row r="163">
          <cell r="A163">
            <v>191102</v>
          </cell>
          <cell r="B163">
            <v>162</v>
          </cell>
          <cell r="C163">
            <v>649043</v>
          </cell>
        </row>
        <row r="164">
          <cell r="A164">
            <v>162002</v>
          </cell>
          <cell r="B164">
            <v>163</v>
          </cell>
          <cell r="C164">
            <v>640291</v>
          </cell>
        </row>
        <row r="165">
          <cell r="A165">
            <v>121803</v>
          </cell>
          <cell r="B165">
            <v>164</v>
          </cell>
          <cell r="C165">
            <v>639997</v>
          </cell>
        </row>
        <row r="166">
          <cell r="A166">
            <v>173000</v>
          </cell>
          <cell r="B166">
            <v>165</v>
          </cell>
          <cell r="C166">
            <v>624580</v>
          </cell>
        </row>
        <row r="167">
          <cell r="A167">
            <v>171501</v>
          </cell>
          <cell r="B167">
            <v>166</v>
          </cell>
          <cell r="C167">
            <v>624259</v>
          </cell>
        </row>
        <row r="168">
          <cell r="A168">
            <v>158101</v>
          </cell>
          <cell r="B168">
            <v>167</v>
          </cell>
          <cell r="C168">
            <v>616702</v>
          </cell>
        </row>
        <row r="169">
          <cell r="A169">
            <v>112501</v>
          </cell>
          <cell r="B169">
            <v>168</v>
          </cell>
          <cell r="C169">
            <v>596780</v>
          </cell>
        </row>
        <row r="170">
          <cell r="A170">
            <v>151601</v>
          </cell>
          <cell r="B170">
            <v>169</v>
          </cell>
          <cell r="C170">
            <v>560132</v>
          </cell>
        </row>
        <row r="171">
          <cell r="A171">
            <v>161300</v>
          </cell>
          <cell r="B171">
            <v>170</v>
          </cell>
          <cell r="C171">
            <v>545341</v>
          </cell>
        </row>
        <row r="172">
          <cell r="A172">
            <v>200500</v>
          </cell>
          <cell r="B172">
            <v>171</v>
          </cell>
          <cell r="C172">
            <v>540737</v>
          </cell>
        </row>
        <row r="173">
          <cell r="A173">
            <v>168400</v>
          </cell>
          <cell r="B173">
            <v>172</v>
          </cell>
          <cell r="C173">
            <v>535884</v>
          </cell>
        </row>
        <row r="174">
          <cell r="A174">
            <v>151701</v>
          </cell>
          <cell r="B174">
            <v>173</v>
          </cell>
          <cell r="C174">
            <v>532683</v>
          </cell>
        </row>
        <row r="175">
          <cell r="A175">
            <v>151106</v>
          </cell>
          <cell r="B175">
            <v>174</v>
          </cell>
          <cell r="C175">
            <v>528491</v>
          </cell>
        </row>
        <row r="176">
          <cell r="A176">
            <v>162602</v>
          </cell>
          <cell r="B176">
            <v>175</v>
          </cell>
          <cell r="C176">
            <v>518832</v>
          </cell>
        </row>
        <row r="177">
          <cell r="A177">
            <v>112102</v>
          </cell>
          <cell r="B177">
            <v>176</v>
          </cell>
          <cell r="C177">
            <v>510472</v>
          </cell>
        </row>
        <row r="178">
          <cell r="A178">
            <v>198100</v>
          </cell>
          <cell r="B178">
            <v>177</v>
          </cell>
          <cell r="C178">
            <v>504001</v>
          </cell>
        </row>
        <row r="179">
          <cell r="A179">
            <v>171304</v>
          </cell>
          <cell r="B179">
            <v>178</v>
          </cell>
          <cell r="C179">
            <v>498217</v>
          </cell>
        </row>
        <row r="180">
          <cell r="A180">
            <v>172200</v>
          </cell>
          <cell r="B180">
            <v>179</v>
          </cell>
          <cell r="C180">
            <v>488522</v>
          </cell>
        </row>
        <row r="181">
          <cell r="A181">
            <v>161202</v>
          </cell>
          <cell r="B181">
            <v>180</v>
          </cell>
          <cell r="C181">
            <v>478853</v>
          </cell>
        </row>
        <row r="182">
          <cell r="A182">
            <v>161501</v>
          </cell>
          <cell r="B182">
            <v>181</v>
          </cell>
          <cell r="C182">
            <v>470655</v>
          </cell>
        </row>
        <row r="183">
          <cell r="A183">
            <v>161306</v>
          </cell>
          <cell r="B183">
            <v>182</v>
          </cell>
          <cell r="C183">
            <v>466328</v>
          </cell>
        </row>
        <row r="184">
          <cell r="A184">
            <v>162201</v>
          </cell>
          <cell r="B184">
            <v>183</v>
          </cell>
          <cell r="C184">
            <v>457449</v>
          </cell>
        </row>
        <row r="185">
          <cell r="A185">
            <v>173101</v>
          </cell>
          <cell r="B185">
            <v>184</v>
          </cell>
          <cell r="C185">
            <v>435288</v>
          </cell>
        </row>
        <row r="186">
          <cell r="A186">
            <v>181600</v>
          </cell>
          <cell r="B186">
            <v>185</v>
          </cell>
          <cell r="C186">
            <v>422655</v>
          </cell>
        </row>
        <row r="187">
          <cell r="A187">
            <v>148202</v>
          </cell>
          <cell r="B187">
            <v>186</v>
          </cell>
          <cell r="C187">
            <v>406480</v>
          </cell>
        </row>
        <row r="188">
          <cell r="A188">
            <v>162700</v>
          </cell>
          <cell r="B188">
            <v>187</v>
          </cell>
          <cell r="C188">
            <v>392779</v>
          </cell>
        </row>
        <row r="189">
          <cell r="A189">
            <v>171203</v>
          </cell>
          <cell r="B189">
            <v>188</v>
          </cell>
          <cell r="C189">
            <v>377982</v>
          </cell>
        </row>
        <row r="190">
          <cell r="A190">
            <v>181601</v>
          </cell>
          <cell r="B190">
            <v>189</v>
          </cell>
          <cell r="C190">
            <v>366831</v>
          </cell>
        </row>
        <row r="191">
          <cell r="A191">
            <v>162301</v>
          </cell>
          <cell r="B191">
            <v>190</v>
          </cell>
          <cell r="C191">
            <v>334719</v>
          </cell>
        </row>
        <row r="192">
          <cell r="A192">
            <v>158300</v>
          </cell>
          <cell r="B192">
            <v>191</v>
          </cell>
          <cell r="C192">
            <v>331227</v>
          </cell>
        </row>
        <row r="193">
          <cell r="A193">
            <v>148401</v>
          </cell>
          <cell r="B193">
            <v>192</v>
          </cell>
          <cell r="C193">
            <v>327940</v>
          </cell>
        </row>
        <row r="194">
          <cell r="A194">
            <v>171201</v>
          </cell>
          <cell r="B194">
            <v>193</v>
          </cell>
          <cell r="C194">
            <v>316567</v>
          </cell>
        </row>
        <row r="195">
          <cell r="A195">
            <v>151103</v>
          </cell>
          <cell r="B195">
            <v>194</v>
          </cell>
          <cell r="C195">
            <v>311330</v>
          </cell>
        </row>
        <row r="196">
          <cell r="A196">
            <v>171300</v>
          </cell>
          <cell r="B196">
            <v>195</v>
          </cell>
          <cell r="C196">
            <v>281169</v>
          </cell>
        </row>
        <row r="197">
          <cell r="A197">
            <v>191204</v>
          </cell>
          <cell r="B197">
            <v>196</v>
          </cell>
          <cell r="C197">
            <v>272240</v>
          </cell>
        </row>
        <row r="198">
          <cell r="A198">
            <v>171504</v>
          </cell>
          <cell r="B198">
            <v>197</v>
          </cell>
          <cell r="C198">
            <v>268422</v>
          </cell>
        </row>
        <row r="199">
          <cell r="A199">
            <v>198200</v>
          </cell>
          <cell r="B199">
            <v>198</v>
          </cell>
          <cell r="C199">
            <v>245348</v>
          </cell>
        </row>
        <row r="200">
          <cell r="A200">
            <v>128401</v>
          </cell>
          <cell r="B200">
            <v>199</v>
          </cell>
          <cell r="C200">
            <v>244345</v>
          </cell>
        </row>
        <row r="201">
          <cell r="A201">
            <v>151502</v>
          </cell>
          <cell r="B201">
            <v>200</v>
          </cell>
          <cell r="C201">
            <v>231099</v>
          </cell>
        </row>
        <row r="202">
          <cell r="A202">
            <v>161901</v>
          </cell>
          <cell r="B202">
            <v>201</v>
          </cell>
          <cell r="C202">
            <v>228383</v>
          </cell>
        </row>
        <row r="203">
          <cell r="A203">
            <v>181904</v>
          </cell>
          <cell r="B203">
            <v>202</v>
          </cell>
          <cell r="C203">
            <v>223829</v>
          </cell>
        </row>
        <row r="204">
          <cell r="A204">
            <v>158102</v>
          </cell>
          <cell r="B204">
            <v>203</v>
          </cell>
          <cell r="C204">
            <v>210623</v>
          </cell>
        </row>
        <row r="205">
          <cell r="A205">
            <v>148501</v>
          </cell>
          <cell r="B205">
            <v>204</v>
          </cell>
          <cell r="C205">
            <v>205524</v>
          </cell>
        </row>
        <row r="206">
          <cell r="A206">
            <v>141201</v>
          </cell>
          <cell r="B206">
            <v>205</v>
          </cell>
          <cell r="C206">
            <v>189100</v>
          </cell>
        </row>
        <row r="207">
          <cell r="A207">
            <v>151700</v>
          </cell>
          <cell r="B207">
            <v>206</v>
          </cell>
          <cell r="C207">
            <v>181476</v>
          </cell>
        </row>
        <row r="208">
          <cell r="A208">
            <v>152004</v>
          </cell>
          <cell r="B208">
            <v>207</v>
          </cell>
          <cell r="C208">
            <v>176979</v>
          </cell>
        </row>
        <row r="209">
          <cell r="A209">
            <v>161107</v>
          </cell>
          <cell r="B209">
            <v>208</v>
          </cell>
          <cell r="C209">
            <v>170508</v>
          </cell>
        </row>
        <row r="210">
          <cell r="A210">
            <v>142402</v>
          </cell>
          <cell r="B210">
            <v>209</v>
          </cell>
          <cell r="C210">
            <v>165537</v>
          </cell>
        </row>
        <row r="211">
          <cell r="A211">
            <v>151302</v>
          </cell>
          <cell r="B211">
            <v>210</v>
          </cell>
          <cell r="C211">
            <v>149328</v>
          </cell>
        </row>
        <row r="212">
          <cell r="A212">
            <v>191200</v>
          </cell>
          <cell r="B212">
            <v>211</v>
          </cell>
          <cell r="C212">
            <v>48703</v>
          </cell>
        </row>
        <row r="213">
          <cell r="B213">
            <v>212</v>
          </cell>
          <cell r="C213">
            <v>435074170</v>
          </cell>
        </row>
        <row r="214">
          <cell r="B214">
            <v>213</v>
          </cell>
        </row>
        <row r="215">
          <cell r="B215">
            <v>214</v>
          </cell>
        </row>
        <row r="216">
          <cell r="B216">
            <v>215</v>
          </cell>
        </row>
        <row r="217">
          <cell r="B217">
            <v>216</v>
          </cell>
        </row>
        <row r="218">
          <cell r="B218">
            <v>217</v>
          </cell>
        </row>
        <row r="219">
          <cell r="B219">
            <v>218</v>
          </cell>
        </row>
        <row r="220">
          <cell r="B220">
            <v>219</v>
          </cell>
        </row>
        <row r="221">
          <cell r="B221">
            <v>220</v>
          </cell>
        </row>
        <row r="222">
          <cell r="B222">
            <v>221</v>
          </cell>
        </row>
        <row r="223">
          <cell r="B223">
            <v>222</v>
          </cell>
        </row>
        <row r="224">
          <cell r="B224">
            <v>223</v>
          </cell>
        </row>
        <row r="225">
          <cell r="B225">
            <v>224</v>
          </cell>
        </row>
        <row r="226">
          <cell r="B226">
            <v>225</v>
          </cell>
        </row>
        <row r="227">
          <cell r="B227">
            <v>226</v>
          </cell>
        </row>
        <row r="228">
          <cell r="B228">
            <v>227</v>
          </cell>
        </row>
        <row r="229">
          <cell r="B229">
            <v>228</v>
          </cell>
        </row>
        <row r="230">
          <cell r="B230">
            <v>229</v>
          </cell>
        </row>
        <row r="231">
          <cell r="B231">
            <v>230</v>
          </cell>
        </row>
        <row r="232">
          <cell r="B232">
            <v>231</v>
          </cell>
        </row>
        <row r="233">
          <cell r="B233">
            <v>232</v>
          </cell>
        </row>
        <row r="234">
          <cell r="B234">
            <v>233</v>
          </cell>
        </row>
        <row r="235">
          <cell r="B235">
            <v>234</v>
          </cell>
        </row>
        <row r="236">
          <cell r="B236">
            <v>235</v>
          </cell>
        </row>
        <row r="237">
          <cell r="B237">
            <v>236</v>
          </cell>
        </row>
        <row r="238">
          <cell r="B238">
            <v>237</v>
          </cell>
        </row>
        <row r="239">
          <cell r="B239">
            <v>238</v>
          </cell>
        </row>
        <row r="240">
          <cell r="B240">
            <v>239</v>
          </cell>
        </row>
        <row r="241">
          <cell r="B241">
            <v>240</v>
          </cell>
        </row>
        <row r="242">
          <cell r="B242">
            <v>241</v>
          </cell>
        </row>
        <row r="243">
          <cell r="B243">
            <v>242</v>
          </cell>
        </row>
        <row r="244">
          <cell r="B244">
            <v>243</v>
          </cell>
        </row>
        <row r="245">
          <cell r="B245">
            <v>244</v>
          </cell>
        </row>
        <row r="246">
          <cell r="B246">
            <v>245</v>
          </cell>
        </row>
        <row r="247">
          <cell r="B247">
            <v>246</v>
          </cell>
        </row>
        <row r="248">
          <cell r="B248">
            <v>247</v>
          </cell>
        </row>
        <row r="249">
          <cell r="B249">
            <v>248</v>
          </cell>
        </row>
        <row r="250">
          <cell r="B250">
            <v>249</v>
          </cell>
        </row>
        <row r="251">
          <cell r="B251">
            <v>250</v>
          </cell>
        </row>
        <row r="252">
          <cell r="B252">
            <v>251</v>
          </cell>
        </row>
        <row r="253">
          <cell r="B253">
            <v>252</v>
          </cell>
        </row>
        <row r="254">
          <cell r="B254">
            <v>253</v>
          </cell>
        </row>
        <row r="255">
          <cell r="B255">
            <v>254</v>
          </cell>
        </row>
        <row r="256">
          <cell r="B256">
            <v>255</v>
          </cell>
        </row>
        <row r="257">
          <cell r="B257">
            <v>256</v>
          </cell>
        </row>
        <row r="258">
          <cell r="B258">
            <v>257</v>
          </cell>
        </row>
        <row r="259">
          <cell r="B259">
            <v>258</v>
          </cell>
        </row>
        <row r="260">
          <cell r="B260">
            <v>259</v>
          </cell>
        </row>
        <row r="261">
          <cell r="B261">
            <v>260</v>
          </cell>
        </row>
        <row r="262">
          <cell r="B262">
            <v>261</v>
          </cell>
        </row>
        <row r="263">
          <cell r="B263">
            <v>262</v>
          </cell>
        </row>
        <row r="264">
          <cell r="B264">
            <v>263</v>
          </cell>
        </row>
        <row r="265">
          <cell r="B265">
            <v>264</v>
          </cell>
        </row>
        <row r="266">
          <cell r="B266">
            <v>265</v>
          </cell>
        </row>
        <row r="267">
          <cell r="B267">
            <v>266</v>
          </cell>
        </row>
        <row r="268">
          <cell r="B268">
            <v>267</v>
          </cell>
        </row>
        <row r="269">
          <cell r="B269">
            <v>268</v>
          </cell>
        </row>
        <row r="270">
          <cell r="B270">
            <v>269</v>
          </cell>
        </row>
        <row r="271">
          <cell r="B271">
            <v>270</v>
          </cell>
        </row>
        <row r="272">
          <cell r="B272">
            <v>271</v>
          </cell>
        </row>
        <row r="273">
          <cell r="B273">
            <v>272</v>
          </cell>
        </row>
        <row r="274">
          <cell r="B274">
            <v>273</v>
          </cell>
        </row>
        <row r="275">
          <cell r="B275">
            <v>274</v>
          </cell>
        </row>
        <row r="276">
          <cell r="B276">
            <v>275</v>
          </cell>
        </row>
        <row r="277">
          <cell r="B277">
            <v>276</v>
          </cell>
        </row>
        <row r="278">
          <cell r="B278">
            <v>277</v>
          </cell>
        </row>
        <row r="279">
          <cell r="B279">
            <v>278</v>
          </cell>
        </row>
        <row r="280">
          <cell r="B280">
            <v>279</v>
          </cell>
        </row>
        <row r="281">
          <cell r="B281">
            <v>280</v>
          </cell>
        </row>
        <row r="282">
          <cell r="B282">
            <v>281</v>
          </cell>
        </row>
        <row r="283">
          <cell r="B283">
            <v>282</v>
          </cell>
        </row>
        <row r="284">
          <cell r="B284">
            <v>283</v>
          </cell>
        </row>
        <row r="285">
          <cell r="B285">
            <v>284</v>
          </cell>
        </row>
        <row r="286">
          <cell r="B286">
            <v>285</v>
          </cell>
        </row>
        <row r="287">
          <cell r="B287">
            <v>286</v>
          </cell>
        </row>
        <row r="288">
          <cell r="B288">
            <v>287</v>
          </cell>
        </row>
        <row r="289">
          <cell r="B289">
            <v>288</v>
          </cell>
        </row>
        <row r="290">
          <cell r="B290">
            <v>289</v>
          </cell>
        </row>
        <row r="291">
          <cell r="B291">
            <v>290</v>
          </cell>
        </row>
        <row r="292">
          <cell r="B292">
            <v>291</v>
          </cell>
        </row>
        <row r="293">
          <cell r="B293">
            <v>292</v>
          </cell>
        </row>
        <row r="294">
          <cell r="B294">
            <v>293</v>
          </cell>
        </row>
        <row r="295">
          <cell r="B295">
            <v>294</v>
          </cell>
        </row>
        <row r="296">
          <cell r="B296">
            <v>295</v>
          </cell>
        </row>
        <row r="297">
          <cell r="B297">
            <v>296</v>
          </cell>
        </row>
        <row r="298">
          <cell r="B298">
            <v>297</v>
          </cell>
        </row>
        <row r="299">
          <cell r="B299">
            <v>298</v>
          </cell>
        </row>
        <row r="300">
          <cell r="B300">
            <v>299</v>
          </cell>
        </row>
        <row r="301">
          <cell r="B301">
            <v>300</v>
          </cell>
        </row>
        <row r="302">
          <cell r="B302">
            <v>301</v>
          </cell>
        </row>
        <row r="303">
          <cell r="B303">
            <v>302</v>
          </cell>
        </row>
        <row r="304">
          <cell r="B304">
            <v>303</v>
          </cell>
        </row>
        <row r="305">
          <cell r="B305">
            <v>304</v>
          </cell>
        </row>
        <row r="306">
          <cell r="B306">
            <v>305</v>
          </cell>
        </row>
        <row r="307">
          <cell r="B307">
            <v>306</v>
          </cell>
        </row>
        <row r="308">
          <cell r="B308">
            <v>307</v>
          </cell>
        </row>
        <row r="309">
          <cell r="B309">
            <v>308</v>
          </cell>
        </row>
        <row r="310">
          <cell r="B310">
            <v>309</v>
          </cell>
        </row>
        <row r="311">
          <cell r="B311">
            <v>310</v>
          </cell>
        </row>
        <row r="312">
          <cell r="B312">
            <v>311</v>
          </cell>
        </row>
        <row r="313">
          <cell r="B313">
            <v>312</v>
          </cell>
        </row>
        <row r="314">
          <cell r="B314">
            <v>313</v>
          </cell>
        </row>
        <row r="315">
          <cell r="B315">
            <v>314</v>
          </cell>
        </row>
        <row r="316">
          <cell r="B316">
            <v>315</v>
          </cell>
        </row>
        <row r="317">
          <cell r="B317">
            <v>316</v>
          </cell>
        </row>
        <row r="318">
          <cell r="B318">
            <v>317</v>
          </cell>
        </row>
        <row r="319">
          <cell r="B319">
            <v>318</v>
          </cell>
        </row>
        <row r="320">
          <cell r="B320">
            <v>319</v>
          </cell>
        </row>
        <row r="321">
          <cell r="B321">
            <v>320</v>
          </cell>
        </row>
      </sheetData>
      <sheetData sheetId="3" refreshError="1">
        <row r="1">
          <cell r="A1" t="str">
            <v>코드</v>
          </cell>
          <cell r="B1" t="str">
            <v>순위</v>
          </cell>
          <cell r="C1" t="str">
            <v>매출액</v>
          </cell>
        </row>
        <row r="2">
          <cell r="A2">
            <v>148300</v>
          </cell>
          <cell r="B2">
            <v>1</v>
          </cell>
          <cell r="C2">
            <v>15570961</v>
          </cell>
        </row>
        <row r="3">
          <cell r="A3">
            <v>168303</v>
          </cell>
          <cell r="B3">
            <v>2</v>
          </cell>
          <cell r="C3">
            <v>8735272</v>
          </cell>
        </row>
        <row r="4">
          <cell r="A4">
            <v>128401</v>
          </cell>
          <cell r="B4">
            <v>3</v>
          </cell>
          <cell r="C4">
            <v>8455161</v>
          </cell>
        </row>
        <row r="5">
          <cell r="A5">
            <v>182300</v>
          </cell>
          <cell r="B5">
            <v>4</v>
          </cell>
          <cell r="C5">
            <v>8194524</v>
          </cell>
        </row>
        <row r="6">
          <cell r="A6">
            <v>142300</v>
          </cell>
          <cell r="B6">
            <v>5</v>
          </cell>
          <cell r="C6">
            <v>7486825</v>
          </cell>
        </row>
        <row r="7">
          <cell r="A7">
            <v>148602</v>
          </cell>
          <cell r="B7">
            <v>6</v>
          </cell>
          <cell r="C7">
            <v>6627169</v>
          </cell>
        </row>
        <row r="8">
          <cell r="A8">
            <v>161107</v>
          </cell>
          <cell r="B8">
            <v>7</v>
          </cell>
          <cell r="C8">
            <v>6056564</v>
          </cell>
        </row>
        <row r="9">
          <cell r="A9">
            <v>131700</v>
          </cell>
          <cell r="B9">
            <v>8</v>
          </cell>
          <cell r="C9">
            <v>5866586</v>
          </cell>
        </row>
        <row r="10">
          <cell r="A10">
            <v>121905</v>
          </cell>
          <cell r="B10">
            <v>9</v>
          </cell>
          <cell r="C10">
            <v>5405186</v>
          </cell>
        </row>
        <row r="11">
          <cell r="A11">
            <v>128400</v>
          </cell>
          <cell r="B11">
            <v>10</v>
          </cell>
          <cell r="C11">
            <v>4932967</v>
          </cell>
        </row>
        <row r="12">
          <cell r="A12">
            <v>128402</v>
          </cell>
          <cell r="B12">
            <v>11</v>
          </cell>
          <cell r="C12">
            <v>4906012</v>
          </cell>
        </row>
        <row r="13">
          <cell r="A13">
            <v>142400</v>
          </cell>
          <cell r="B13">
            <v>12</v>
          </cell>
          <cell r="C13">
            <v>4266249</v>
          </cell>
        </row>
        <row r="14">
          <cell r="A14">
            <v>182501</v>
          </cell>
          <cell r="B14">
            <v>13</v>
          </cell>
          <cell r="C14">
            <v>4144201</v>
          </cell>
        </row>
        <row r="15">
          <cell r="A15">
            <v>121900</v>
          </cell>
          <cell r="B15">
            <v>14</v>
          </cell>
          <cell r="C15">
            <v>3827641</v>
          </cell>
        </row>
        <row r="16">
          <cell r="A16">
            <v>121400</v>
          </cell>
          <cell r="B16">
            <v>15</v>
          </cell>
          <cell r="C16">
            <v>3814287</v>
          </cell>
        </row>
        <row r="17">
          <cell r="A17">
            <v>161903</v>
          </cell>
          <cell r="B17">
            <v>16</v>
          </cell>
          <cell r="C17">
            <v>3642718</v>
          </cell>
        </row>
        <row r="18">
          <cell r="A18">
            <v>142501</v>
          </cell>
          <cell r="B18">
            <v>17</v>
          </cell>
          <cell r="C18">
            <v>3605706</v>
          </cell>
        </row>
        <row r="19">
          <cell r="A19">
            <v>158100</v>
          </cell>
          <cell r="B19">
            <v>18</v>
          </cell>
          <cell r="C19">
            <v>3584528</v>
          </cell>
        </row>
        <row r="20">
          <cell r="A20">
            <v>112000</v>
          </cell>
          <cell r="B20">
            <v>19</v>
          </cell>
          <cell r="C20">
            <v>3540341</v>
          </cell>
        </row>
        <row r="21">
          <cell r="A21">
            <v>121800</v>
          </cell>
          <cell r="B21">
            <v>20</v>
          </cell>
          <cell r="C21">
            <v>3523114</v>
          </cell>
        </row>
        <row r="22">
          <cell r="A22">
            <v>122102</v>
          </cell>
          <cell r="B22">
            <v>21</v>
          </cell>
          <cell r="C22">
            <v>3389414</v>
          </cell>
        </row>
        <row r="23">
          <cell r="A23">
            <v>101103</v>
          </cell>
          <cell r="B23">
            <v>22</v>
          </cell>
          <cell r="C23">
            <v>3271565</v>
          </cell>
        </row>
        <row r="24">
          <cell r="A24">
            <v>171100</v>
          </cell>
          <cell r="B24">
            <v>23</v>
          </cell>
          <cell r="C24">
            <v>3194951</v>
          </cell>
        </row>
        <row r="25">
          <cell r="A25">
            <v>220100</v>
          </cell>
          <cell r="B25">
            <v>24</v>
          </cell>
          <cell r="C25">
            <v>3039557</v>
          </cell>
        </row>
        <row r="26">
          <cell r="A26">
            <v>142500</v>
          </cell>
          <cell r="B26">
            <v>25</v>
          </cell>
          <cell r="C26">
            <v>2957072</v>
          </cell>
        </row>
        <row r="27">
          <cell r="A27">
            <v>152000</v>
          </cell>
          <cell r="B27">
            <v>26</v>
          </cell>
          <cell r="C27">
            <v>2832918</v>
          </cell>
        </row>
        <row r="28">
          <cell r="A28">
            <v>101102</v>
          </cell>
          <cell r="B28">
            <v>27</v>
          </cell>
          <cell r="C28">
            <v>2728986</v>
          </cell>
        </row>
        <row r="29">
          <cell r="A29">
            <v>173300</v>
          </cell>
          <cell r="B29">
            <v>28</v>
          </cell>
          <cell r="C29">
            <v>2640138</v>
          </cell>
        </row>
        <row r="30">
          <cell r="A30">
            <v>171901</v>
          </cell>
          <cell r="B30">
            <v>29</v>
          </cell>
          <cell r="C30">
            <v>2631721</v>
          </cell>
        </row>
        <row r="31">
          <cell r="A31">
            <v>161801</v>
          </cell>
          <cell r="B31">
            <v>30</v>
          </cell>
          <cell r="C31">
            <v>2542408</v>
          </cell>
        </row>
        <row r="32">
          <cell r="A32">
            <v>122103</v>
          </cell>
          <cell r="B32">
            <v>31</v>
          </cell>
          <cell r="C32">
            <v>2529950</v>
          </cell>
        </row>
        <row r="33">
          <cell r="A33">
            <v>181301</v>
          </cell>
          <cell r="B33">
            <v>32</v>
          </cell>
          <cell r="C33">
            <v>2465525</v>
          </cell>
        </row>
        <row r="34">
          <cell r="A34">
            <v>181100</v>
          </cell>
          <cell r="B34">
            <v>33</v>
          </cell>
          <cell r="C34">
            <v>2429200</v>
          </cell>
        </row>
        <row r="35">
          <cell r="A35">
            <v>182200</v>
          </cell>
          <cell r="B35">
            <v>34</v>
          </cell>
          <cell r="C35">
            <v>2427157</v>
          </cell>
        </row>
        <row r="36">
          <cell r="A36">
            <v>162302</v>
          </cell>
          <cell r="B36">
            <v>35</v>
          </cell>
          <cell r="C36">
            <v>2367979</v>
          </cell>
        </row>
        <row r="37">
          <cell r="A37">
            <v>161106</v>
          </cell>
          <cell r="B37">
            <v>36</v>
          </cell>
          <cell r="C37">
            <v>2292081</v>
          </cell>
        </row>
        <row r="38">
          <cell r="A38">
            <v>182900</v>
          </cell>
          <cell r="B38">
            <v>37</v>
          </cell>
          <cell r="C38">
            <v>2224899</v>
          </cell>
        </row>
        <row r="39">
          <cell r="A39">
            <v>152002</v>
          </cell>
          <cell r="B39">
            <v>38</v>
          </cell>
          <cell r="C39">
            <v>2159937</v>
          </cell>
        </row>
        <row r="40">
          <cell r="A40">
            <v>158501</v>
          </cell>
          <cell r="B40">
            <v>39</v>
          </cell>
          <cell r="C40">
            <v>2130789</v>
          </cell>
        </row>
        <row r="41">
          <cell r="A41">
            <v>122101</v>
          </cell>
          <cell r="B41">
            <v>40</v>
          </cell>
          <cell r="C41">
            <v>2106387</v>
          </cell>
        </row>
        <row r="42">
          <cell r="A42">
            <v>178401</v>
          </cell>
          <cell r="B42">
            <v>41</v>
          </cell>
          <cell r="C42">
            <v>2088007</v>
          </cell>
        </row>
        <row r="43">
          <cell r="A43">
            <v>141100</v>
          </cell>
          <cell r="B43">
            <v>42</v>
          </cell>
          <cell r="C43">
            <v>2031335</v>
          </cell>
        </row>
        <row r="44">
          <cell r="A44">
            <v>181904</v>
          </cell>
          <cell r="B44">
            <v>43</v>
          </cell>
          <cell r="C44">
            <v>1989072</v>
          </cell>
        </row>
        <row r="45">
          <cell r="A45">
            <v>141800</v>
          </cell>
          <cell r="B45">
            <v>44</v>
          </cell>
          <cell r="C45">
            <v>1890654</v>
          </cell>
        </row>
        <row r="46">
          <cell r="A46">
            <v>168302</v>
          </cell>
          <cell r="B46">
            <v>45</v>
          </cell>
          <cell r="C46">
            <v>1878955</v>
          </cell>
        </row>
        <row r="47">
          <cell r="A47">
            <v>151200</v>
          </cell>
          <cell r="B47">
            <v>46</v>
          </cell>
          <cell r="C47">
            <v>1857153</v>
          </cell>
        </row>
        <row r="48">
          <cell r="A48">
            <v>181800</v>
          </cell>
          <cell r="B48">
            <v>47</v>
          </cell>
          <cell r="C48">
            <v>1641971</v>
          </cell>
        </row>
        <row r="49">
          <cell r="A49">
            <v>188208</v>
          </cell>
          <cell r="B49">
            <v>48</v>
          </cell>
          <cell r="C49">
            <v>1614124</v>
          </cell>
        </row>
        <row r="50">
          <cell r="A50">
            <v>161102</v>
          </cell>
          <cell r="B50">
            <v>49</v>
          </cell>
          <cell r="C50">
            <v>1585709</v>
          </cell>
        </row>
        <row r="51">
          <cell r="A51">
            <v>168100</v>
          </cell>
          <cell r="B51">
            <v>50</v>
          </cell>
          <cell r="C51">
            <v>1538566</v>
          </cell>
        </row>
        <row r="52">
          <cell r="A52">
            <v>100084</v>
          </cell>
          <cell r="B52">
            <v>51</v>
          </cell>
          <cell r="C52">
            <v>1517979</v>
          </cell>
        </row>
        <row r="53">
          <cell r="A53">
            <v>168103</v>
          </cell>
          <cell r="B53">
            <v>52</v>
          </cell>
          <cell r="C53">
            <v>1494066</v>
          </cell>
        </row>
        <row r="54">
          <cell r="A54">
            <v>182000</v>
          </cell>
          <cell r="B54">
            <v>53</v>
          </cell>
          <cell r="C54">
            <v>1408110</v>
          </cell>
        </row>
        <row r="55">
          <cell r="A55">
            <v>161304</v>
          </cell>
          <cell r="B55">
            <v>54</v>
          </cell>
          <cell r="C55">
            <v>1360264</v>
          </cell>
        </row>
        <row r="56">
          <cell r="A56">
            <v>152300</v>
          </cell>
          <cell r="B56">
            <v>55</v>
          </cell>
          <cell r="C56">
            <v>1357908</v>
          </cell>
        </row>
        <row r="57">
          <cell r="A57">
            <v>152103</v>
          </cell>
          <cell r="B57">
            <v>56</v>
          </cell>
          <cell r="C57">
            <v>1340747</v>
          </cell>
        </row>
        <row r="58">
          <cell r="A58">
            <v>171903</v>
          </cell>
          <cell r="B58">
            <v>57</v>
          </cell>
          <cell r="C58">
            <v>1327855</v>
          </cell>
        </row>
        <row r="59">
          <cell r="A59">
            <v>131103</v>
          </cell>
          <cell r="B59">
            <v>58</v>
          </cell>
          <cell r="C59">
            <v>1316539</v>
          </cell>
        </row>
        <row r="60">
          <cell r="A60">
            <v>171900</v>
          </cell>
          <cell r="B60">
            <v>59</v>
          </cell>
          <cell r="C60">
            <v>1306598</v>
          </cell>
        </row>
        <row r="61">
          <cell r="A61">
            <v>181902</v>
          </cell>
          <cell r="B61">
            <v>60</v>
          </cell>
          <cell r="C61">
            <v>1280749</v>
          </cell>
        </row>
        <row r="62">
          <cell r="A62">
            <v>188200</v>
          </cell>
          <cell r="B62">
            <v>61</v>
          </cell>
          <cell r="C62">
            <v>1279655</v>
          </cell>
        </row>
        <row r="63">
          <cell r="A63">
            <v>128403</v>
          </cell>
          <cell r="B63">
            <v>62</v>
          </cell>
          <cell r="C63">
            <v>1272486</v>
          </cell>
        </row>
        <row r="64">
          <cell r="A64">
            <v>151402</v>
          </cell>
          <cell r="B64">
            <v>63</v>
          </cell>
          <cell r="C64">
            <v>1254605</v>
          </cell>
        </row>
        <row r="65">
          <cell r="A65">
            <v>142001</v>
          </cell>
          <cell r="B65">
            <v>64</v>
          </cell>
          <cell r="C65">
            <v>1251876</v>
          </cell>
        </row>
        <row r="66">
          <cell r="A66">
            <v>131301</v>
          </cell>
          <cell r="B66">
            <v>65</v>
          </cell>
          <cell r="C66">
            <v>1237559</v>
          </cell>
        </row>
        <row r="67">
          <cell r="A67">
            <v>163200</v>
          </cell>
          <cell r="B67">
            <v>66</v>
          </cell>
          <cell r="C67">
            <v>1215083</v>
          </cell>
        </row>
        <row r="68">
          <cell r="A68">
            <v>161101</v>
          </cell>
          <cell r="B68">
            <v>67</v>
          </cell>
          <cell r="C68">
            <v>1204745</v>
          </cell>
        </row>
        <row r="69">
          <cell r="A69">
            <v>182400</v>
          </cell>
          <cell r="B69">
            <v>68</v>
          </cell>
          <cell r="C69">
            <v>1196187</v>
          </cell>
        </row>
        <row r="70">
          <cell r="A70">
            <v>151302</v>
          </cell>
          <cell r="B70">
            <v>69</v>
          </cell>
          <cell r="C70">
            <v>1145553</v>
          </cell>
        </row>
        <row r="71">
          <cell r="A71">
            <v>142402</v>
          </cell>
          <cell r="B71">
            <v>70</v>
          </cell>
          <cell r="C71">
            <v>1112958</v>
          </cell>
        </row>
        <row r="72">
          <cell r="A72">
            <v>148401</v>
          </cell>
          <cell r="B72">
            <v>71</v>
          </cell>
          <cell r="C72">
            <v>1109698</v>
          </cell>
        </row>
        <row r="73">
          <cell r="A73">
            <v>151403</v>
          </cell>
          <cell r="B73">
            <v>72</v>
          </cell>
          <cell r="C73">
            <v>1079710</v>
          </cell>
        </row>
        <row r="74">
          <cell r="A74">
            <v>162700</v>
          </cell>
          <cell r="B74">
            <v>73</v>
          </cell>
          <cell r="C74">
            <v>1077439</v>
          </cell>
        </row>
        <row r="75">
          <cell r="A75">
            <v>152005</v>
          </cell>
          <cell r="B75">
            <v>74</v>
          </cell>
          <cell r="C75">
            <v>1037285</v>
          </cell>
        </row>
        <row r="76">
          <cell r="A76">
            <v>148202</v>
          </cell>
          <cell r="B76">
            <v>75</v>
          </cell>
          <cell r="C76">
            <v>1008524</v>
          </cell>
        </row>
        <row r="77">
          <cell r="A77">
            <v>168400</v>
          </cell>
          <cell r="B77">
            <v>76</v>
          </cell>
          <cell r="C77">
            <v>989384</v>
          </cell>
        </row>
        <row r="78">
          <cell r="A78">
            <v>121802</v>
          </cell>
          <cell r="B78">
            <v>77</v>
          </cell>
          <cell r="C78">
            <v>981186</v>
          </cell>
        </row>
        <row r="79">
          <cell r="A79">
            <v>161402</v>
          </cell>
          <cell r="B79">
            <v>78</v>
          </cell>
          <cell r="C79">
            <v>960871</v>
          </cell>
        </row>
        <row r="80">
          <cell r="A80">
            <v>151102</v>
          </cell>
          <cell r="B80">
            <v>79</v>
          </cell>
          <cell r="C80">
            <v>930947</v>
          </cell>
        </row>
        <row r="81">
          <cell r="A81">
            <v>161405</v>
          </cell>
          <cell r="B81">
            <v>80</v>
          </cell>
          <cell r="C81">
            <v>833157</v>
          </cell>
        </row>
        <row r="82">
          <cell r="A82">
            <v>171107</v>
          </cell>
          <cell r="B82">
            <v>81</v>
          </cell>
          <cell r="C82">
            <v>832546</v>
          </cell>
        </row>
        <row r="83">
          <cell r="A83">
            <v>161401</v>
          </cell>
          <cell r="B83">
            <v>82</v>
          </cell>
          <cell r="C83">
            <v>823829</v>
          </cell>
        </row>
        <row r="84">
          <cell r="A84">
            <v>152101</v>
          </cell>
          <cell r="B84">
            <v>83</v>
          </cell>
          <cell r="C84">
            <v>813120</v>
          </cell>
        </row>
        <row r="85">
          <cell r="A85">
            <v>161104</v>
          </cell>
          <cell r="B85">
            <v>84</v>
          </cell>
          <cell r="C85">
            <v>809982</v>
          </cell>
        </row>
        <row r="86">
          <cell r="A86">
            <v>151401</v>
          </cell>
          <cell r="B86">
            <v>85</v>
          </cell>
          <cell r="C86">
            <v>809916</v>
          </cell>
        </row>
        <row r="87">
          <cell r="A87">
            <v>171503</v>
          </cell>
          <cell r="B87">
            <v>86</v>
          </cell>
          <cell r="C87">
            <v>778106</v>
          </cell>
        </row>
        <row r="88">
          <cell r="A88">
            <v>131101</v>
          </cell>
          <cell r="B88">
            <v>87</v>
          </cell>
          <cell r="C88">
            <v>774322</v>
          </cell>
        </row>
        <row r="89">
          <cell r="A89">
            <v>162501</v>
          </cell>
          <cell r="B89">
            <v>88</v>
          </cell>
          <cell r="C89">
            <v>769802</v>
          </cell>
        </row>
        <row r="90">
          <cell r="A90">
            <v>121600</v>
          </cell>
          <cell r="B90">
            <v>89</v>
          </cell>
          <cell r="C90">
            <v>704734</v>
          </cell>
        </row>
        <row r="91">
          <cell r="A91">
            <v>182202</v>
          </cell>
          <cell r="B91">
            <v>90</v>
          </cell>
          <cell r="C91">
            <v>672002</v>
          </cell>
        </row>
        <row r="92">
          <cell r="A92">
            <v>161404</v>
          </cell>
          <cell r="B92">
            <v>91</v>
          </cell>
          <cell r="C92">
            <v>636247</v>
          </cell>
        </row>
        <row r="93">
          <cell r="A93">
            <v>168500</v>
          </cell>
          <cell r="B93">
            <v>92</v>
          </cell>
          <cell r="C93">
            <v>593116</v>
          </cell>
        </row>
        <row r="94">
          <cell r="A94">
            <v>171502</v>
          </cell>
          <cell r="B94">
            <v>93</v>
          </cell>
          <cell r="C94">
            <v>574192</v>
          </cell>
        </row>
        <row r="95">
          <cell r="A95">
            <v>171105</v>
          </cell>
          <cell r="B95">
            <v>94</v>
          </cell>
          <cell r="C95">
            <v>570900</v>
          </cell>
        </row>
        <row r="96">
          <cell r="A96">
            <v>173000</v>
          </cell>
          <cell r="B96">
            <v>95</v>
          </cell>
          <cell r="C96">
            <v>565817</v>
          </cell>
        </row>
        <row r="97">
          <cell r="A97">
            <v>158202</v>
          </cell>
          <cell r="B97">
            <v>96</v>
          </cell>
          <cell r="C97">
            <v>563033</v>
          </cell>
        </row>
        <row r="98">
          <cell r="A98">
            <v>108103</v>
          </cell>
          <cell r="B98">
            <v>97</v>
          </cell>
          <cell r="C98">
            <v>552827</v>
          </cell>
        </row>
        <row r="99">
          <cell r="A99">
            <v>151400</v>
          </cell>
          <cell r="B99">
            <v>98</v>
          </cell>
          <cell r="C99">
            <v>545954</v>
          </cell>
        </row>
        <row r="100">
          <cell r="A100">
            <v>162000</v>
          </cell>
          <cell r="B100">
            <v>99</v>
          </cell>
          <cell r="C100">
            <v>529652</v>
          </cell>
        </row>
        <row r="101">
          <cell r="A101">
            <v>161302</v>
          </cell>
          <cell r="B101">
            <v>100</v>
          </cell>
          <cell r="C101">
            <v>519811</v>
          </cell>
        </row>
        <row r="102">
          <cell r="A102">
            <v>161202</v>
          </cell>
          <cell r="B102">
            <v>101</v>
          </cell>
          <cell r="C102">
            <v>518745</v>
          </cell>
        </row>
        <row r="103">
          <cell r="A103">
            <v>163100</v>
          </cell>
          <cell r="B103">
            <v>102</v>
          </cell>
          <cell r="C103">
            <v>512448</v>
          </cell>
        </row>
        <row r="104">
          <cell r="A104">
            <v>173201</v>
          </cell>
          <cell r="B104">
            <v>103</v>
          </cell>
          <cell r="C104">
            <v>507438</v>
          </cell>
        </row>
        <row r="105">
          <cell r="A105">
            <v>161500</v>
          </cell>
          <cell r="B105">
            <v>104</v>
          </cell>
          <cell r="C105">
            <v>477652</v>
          </cell>
        </row>
        <row r="106">
          <cell r="A106">
            <v>161901</v>
          </cell>
          <cell r="B106">
            <v>105</v>
          </cell>
          <cell r="C106">
            <v>470068</v>
          </cell>
        </row>
        <row r="107">
          <cell r="A107">
            <v>161601</v>
          </cell>
          <cell r="B107">
            <v>106</v>
          </cell>
          <cell r="C107">
            <v>466483</v>
          </cell>
        </row>
        <row r="108">
          <cell r="A108">
            <v>181201</v>
          </cell>
          <cell r="B108">
            <v>107</v>
          </cell>
          <cell r="C108">
            <v>464156</v>
          </cell>
        </row>
        <row r="109">
          <cell r="A109">
            <v>161501</v>
          </cell>
          <cell r="B109">
            <v>108</v>
          </cell>
          <cell r="C109">
            <v>462809</v>
          </cell>
        </row>
        <row r="110">
          <cell r="A110">
            <v>162600</v>
          </cell>
          <cell r="B110">
            <v>109</v>
          </cell>
          <cell r="C110">
            <v>438268</v>
          </cell>
        </row>
        <row r="111">
          <cell r="A111">
            <v>171304</v>
          </cell>
          <cell r="B111">
            <v>110</v>
          </cell>
          <cell r="C111">
            <v>415052</v>
          </cell>
        </row>
        <row r="112">
          <cell r="A112">
            <v>121601</v>
          </cell>
          <cell r="B112">
            <v>111</v>
          </cell>
          <cell r="C112">
            <v>392531</v>
          </cell>
        </row>
        <row r="113">
          <cell r="A113">
            <v>171501</v>
          </cell>
          <cell r="B113">
            <v>112</v>
          </cell>
          <cell r="C113">
            <v>385827</v>
          </cell>
        </row>
        <row r="114">
          <cell r="A114">
            <v>161900</v>
          </cell>
          <cell r="B114">
            <v>113</v>
          </cell>
          <cell r="C114">
            <v>367659</v>
          </cell>
        </row>
        <row r="115">
          <cell r="A115">
            <v>121102</v>
          </cell>
          <cell r="B115">
            <v>114</v>
          </cell>
          <cell r="C115">
            <v>324051</v>
          </cell>
        </row>
        <row r="116">
          <cell r="A116">
            <v>171504</v>
          </cell>
          <cell r="B116">
            <v>115</v>
          </cell>
          <cell r="C116">
            <v>319506</v>
          </cell>
        </row>
        <row r="117">
          <cell r="A117">
            <v>111401</v>
          </cell>
          <cell r="B117">
            <v>116</v>
          </cell>
          <cell r="C117">
            <v>318260</v>
          </cell>
        </row>
        <row r="118">
          <cell r="A118">
            <v>162602</v>
          </cell>
          <cell r="B118">
            <v>117</v>
          </cell>
          <cell r="C118">
            <v>308262</v>
          </cell>
        </row>
        <row r="119">
          <cell r="A119">
            <v>111801</v>
          </cell>
          <cell r="B119">
            <v>118</v>
          </cell>
          <cell r="C119">
            <v>300291</v>
          </cell>
        </row>
        <row r="120">
          <cell r="A120">
            <v>188201</v>
          </cell>
          <cell r="B120">
            <v>119</v>
          </cell>
          <cell r="C120">
            <v>295023</v>
          </cell>
        </row>
        <row r="121">
          <cell r="A121">
            <v>131501</v>
          </cell>
          <cell r="B121">
            <v>120</v>
          </cell>
          <cell r="C121">
            <v>286972</v>
          </cell>
        </row>
        <row r="122">
          <cell r="A122">
            <v>141301</v>
          </cell>
          <cell r="B122">
            <v>121</v>
          </cell>
          <cell r="C122">
            <v>269252</v>
          </cell>
        </row>
        <row r="123">
          <cell r="A123">
            <v>173101</v>
          </cell>
          <cell r="B123">
            <v>122</v>
          </cell>
          <cell r="C123">
            <v>206060</v>
          </cell>
        </row>
        <row r="124">
          <cell r="A124">
            <v>181103</v>
          </cell>
          <cell r="B124">
            <v>123</v>
          </cell>
          <cell r="C124">
            <v>197150</v>
          </cell>
        </row>
        <row r="125">
          <cell r="A125">
            <v>162100</v>
          </cell>
          <cell r="B125">
            <v>124</v>
          </cell>
          <cell r="C125">
            <v>151452</v>
          </cell>
        </row>
        <row r="126">
          <cell r="A126">
            <v>168101</v>
          </cell>
          <cell r="B126">
            <v>125</v>
          </cell>
          <cell r="C126">
            <v>144247</v>
          </cell>
        </row>
        <row r="127">
          <cell r="A127">
            <v>161306</v>
          </cell>
          <cell r="B127">
            <v>126</v>
          </cell>
          <cell r="C127">
            <v>106187</v>
          </cell>
        </row>
        <row r="128">
          <cell r="A128">
            <v>111604</v>
          </cell>
          <cell r="B128">
            <v>127</v>
          </cell>
          <cell r="C128">
            <v>53284</v>
          </cell>
        </row>
      </sheetData>
      <sheetData sheetId="4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점코드"/>
      <sheetName val="롯데제과11월"/>
      <sheetName val="해태제과11월"/>
      <sheetName val="크라운제과11월"/>
      <sheetName val="동양제과11월"/>
      <sheetName val="롯데제과 12월"/>
      <sheetName val="해태제과 12월"/>
      <sheetName val="크라운제과 12월"/>
      <sheetName val="동양제과 12월"/>
    </sheetNames>
    <sheetDataSet>
      <sheetData sheetId="0" refreshError="1">
        <row r="1">
          <cell r="A1" t="str">
            <v>지역</v>
          </cell>
          <cell r="B1" t="str">
            <v>지역코드</v>
          </cell>
        </row>
        <row r="2">
          <cell r="A2" t="str">
            <v>강북</v>
          </cell>
          <cell r="B2">
            <v>1</v>
          </cell>
        </row>
        <row r="3">
          <cell r="A3" t="str">
            <v>강남</v>
          </cell>
          <cell r="B3">
            <v>2</v>
          </cell>
        </row>
        <row r="4">
          <cell r="A4" t="str">
            <v>강서</v>
          </cell>
          <cell r="B4">
            <v>3</v>
          </cell>
        </row>
        <row r="5">
          <cell r="A5" t="str">
            <v>경기</v>
          </cell>
          <cell r="B5">
            <v>4</v>
          </cell>
        </row>
        <row r="6">
          <cell r="A6" t="str">
            <v>호남</v>
          </cell>
          <cell r="B6">
            <v>5</v>
          </cell>
        </row>
        <row r="7">
          <cell r="A7" t="str">
            <v>충청</v>
          </cell>
          <cell r="B7">
            <v>6</v>
          </cell>
        </row>
        <row r="8">
          <cell r="A8" t="str">
            <v>경북</v>
          </cell>
          <cell r="B8">
            <v>7</v>
          </cell>
        </row>
        <row r="9">
          <cell r="A9" t="str">
            <v>부산</v>
          </cell>
          <cell r="B9">
            <v>8</v>
          </cell>
        </row>
        <row r="10">
          <cell r="A10" t="str">
            <v>경남</v>
          </cell>
          <cell r="B10">
            <v>9</v>
          </cell>
        </row>
        <row r="11">
          <cell r="A11" t="str">
            <v>강원</v>
          </cell>
          <cell r="B11">
            <v>10</v>
          </cell>
        </row>
      </sheetData>
      <sheetData sheetId="1" refreshError="1">
        <row r="1">
          <cell r="A1" t="str">
            <v>CODE</v>
          </cell>
          <cell r="B1" t="str">
            <v>No.</v>
          </cell>
          <cell r="C1" t="str">
            <v>조합명</v>
          </cell>
          <cell r="D1" t="str">
            <v>판매장명</v>
          </cell>
          <cell r="E1" t="str">
            <v>매출액</v>
          </cell>
          <cell r="F1" t="str">
            <v>월</v>
          </cell>
        </row>
        <row r="2">
          <cell r="A2">
            <v>101103</v>
          </cell>
          <cell r="B2">
            <v>1</v>
          </cell>
          <cell r="C2" t="str">
            <v>서울</v>
          </cell>
          <cell r="D2" t="str">
            <v>잠실</v>
          </cell>
          <cell r="E2">
            <v>11312109</v>
          </cell>
          <cell r="F2">
            <v>11</v>
          </cell>
        </row>
        <row r="3">
          <cell r="A3">
            <v>182501</v>
          </cell>
          <cell r="B3">
            <v>2</v>
          </cell>
          <cell r="C3" t="str">
            <v>남해</v>
          </cell>
          <cell r="D3" t="str">
            <v>본소</v>
          </cell>
          <cell r="E3">
            <v>10488194</v>
          </cell>
          <cell r="F3">
            <v>11</v>
          </cell>
        </row>
        <row r="4">
          <cell r="A4">
            <v>141400</v>
          </cell>
          <cell r="B4">
            <v>3</v>
          </cell>
          <cell r="C4" t="str">
            <v>부여</v>
          </cell>
          <cell r="D4" t="str">
            <v>본소</v>
          </cell>
          <cell r="E4">
            <v>10102514</v>
          </cell>
          <cell r="F4">
            <v>11</v>
          </cell>
        </row>
        <row r="5">
          <cell r="A5">
            <v>111602</v>
          </cell>
          <cell r="B5">
            <v>4</v>
          </cell>
          <cell r="C5" t="str">
            <v>경기광주</v>
          </cell>
          <cell r="D5" t="str">
            <v>경안</v>
          </cell>
          <cell r="E5">
            <v>9070263</v>
          </cell>
          <cell r="F5">
            <v>11</v>
          </cell>
        </row>
        <row r="6">
          <cell r="A6">
            <v>131401</v>
          </cell>
          <cell r="B6">
            <v>5</v>
          </cell>
          <cell r="C6" t="str">
            <v>충주</v>
          </cell>
          <cell r="D6" t="str">
            <v>본소</v>
          </cell>
          <cell r="E6">
            <v>8903799</v>
          </cell>
          <cell r="F6">
            <v>11</v>
          </cell>
        </row>
        <row r="7">
          <cell r="A7">
            <v>128402</v>
          </cell>
          <cell r="B7">
            <v>6</v>
          </cell>
          <cell r="C7" t="str">
            <v>영동양돈</v>
          </cell>
          <cell r="D7" t="str">
            <v>송정</v>
          </cell>
          <cell r="E7">
            <v>7523780</v>
          </cell>
          <cell r="F7">
            <v>11</v>
          </cell>
        </row>
        <row r="8">
          <cell r="A8">
            <v>128403</v>
          </cell>
          <cell r="B8">
            <v>7</v>
          </cell>
          <cell r="C8" t="str">
            <v>영동양돈</v>
          </cell>
          <cell r="D8" t="str">
            <v>성덕</v>
          </cell>
          <cell r="E8">
            <v>7321175</v>
          </cell>
          <cell r="F8">
            <v>11</v>
          </cell>
        </row>
        <row r="9">
          <cell r="A9">
            <v>151301</v>
          </cell>
          <cell r="B9">
            <v>8</v>
          </cell>
          <cell r="C9" t="str">
            <v>정읍</v>
          </cell>
          <cell r="D9" t="str">
            <v>시기</v>
          </cell>
          <cell r="E9">
            <v>6559823</v>
          </cell>
          <cell r="F9">
            <v>11</v>
          </cell>
        </row>
        <row r="10">
          <cell r="A10">
            <v>162302</v>
          </cell>
          <cell r="B10">
            <v>9</v>
          </cell>
          <cell r="C10" t="str">
            <v>영암</v>
          </cell>
          <cell r="D10" t="str">
            <v>한라</v>
          </cell>
          <cell r="E10">
            <v>6207170</v>
          </cell>
          <cell r="F10">
            <v>11</v>
          </cell>
        </row>
        <row r="11">
          <cell r="A11">
            <v>182100</v>
          </cell>
          <cell r="B11">
            <v>10</v>
          </cell>
          <cell r="C11" t="str">
            <v>김해</v>
          </cell>
          <cell r="D11" t="str">
            <v>본소</v>
          </cell>
          <cell r="E11">
            <v>6167925</v>
          </cell>
          <cell r="F11">
            <v>11</v>
          </cell>
        </row>
        <row r="12">
          <cell r="A12">
            <v>141501</v>
          </cell>
          <cell r="B12">
            <v>11</v>
          </cell>
          <cell r="C12" t="str">
            <v>논산</v>
          </cell>
          <cell r="D12" t="str">
            <v>중부</v>
          </cell>
          <cell r="E12">
            <v>6138654</v>
          </cell>
          <cell r="F12">
            <v>11</v>
          </cell>
        </row>
        <row r="13">
          <cell r="A13">
            <v>181401</v>
          </cell>
          <cell r="B13">
            <v>12</v>
          </cell>
          <cell r="C13" t="str">
            <v>부산</v>
          </cell>
          <cell r="D13" t="str">
            <v>당리</v>
          </cell>
          <cell r="E13">
            <v>5938490</v>
          </cell>
          <cell r="F13">
            <v>11</v>
          </cell>
        </row>
        <row r="14">
          <cell r="A14">
            <v>220100</v>
          </cell>
          <cell r="B14">
            <v>13</v>
          </cell>
          <cell r="C14" t="str">
            <v>춘천판매장</v>
          </cell>
          <cell r="D14" t="str">
            <v>춘점점</v>
          </cell>
          <cell r="E14">
            <v>5913607</v>
          </cell>
          <cell r="F14">
            <v>11</v>
          </cell>
        </row>
        <row r="15">
          <cell r="A15">
            <v>111700</v>
          </cell>
          <cell r="B15">
            <v>14</v>
          </cell>
          <cell r="C15" t="str">
            <v>남양주</v>
          </cell>
          <cell r="D15" t="str">
            <v>본소</v>
          </cell>
          <cell r="E15">
            <v>5860546</v>
          </cell>
          <cell r="F15">
            <v>11</v>
          </cell>
        </row>
        <row r="16">
          <cell r="A16">
            <v>141200</v>
          </cell>
          <cell r="B16">
            <v>15</v>
          </cell>
          <cell r="C16" t="str">
            <v>금산</v>
          </cell>
          <cell r="D16" t="str">
            <v>본소</v>
          </cell>
          <cell r="E16">
            <v>5628859</v>
          </cell>
          <cell r="F16">
            <v>11</v>
          </cell>
        </row>
        <row r="17">
          <cell r="A17">
            <v>121701</v>
          </cell>
          <cell r="B17">
            <v>16</v>
          </cell>
          <cell r="C17" t="str">
            <v>속초</v>
          </cell>
          <cell r="D17" t="str">
            <v>교동</v>
          </cell>
          <cell r="E17">
            <v>5472644</v>
          </cell>
          <cell r="F17">
            <v>11</v>
          </cell>
        </row>
        <row r="18">
          <cell r="A18">
            <v>141801</v>
          </cell>
          <cell r="B18">
            <v>17</v>
          </cell>
          <cell r="C18" t="str">
            <v>공주</v>
          </cell>
          <cell r="D18" t="str">
            <v>웅진</v>
          </cell>
          <cell r="E18">
            <v>4998416</v>
          </cell>
          <cell r="F18">
            <v>11</v>
          </cell>
        </row>
        <row r="19">
          <cell r="A19">
            <v>138200</v>
          </cell>
          <cell r="B19">
            <v>18</v>
          </cell>
          <cell r="C19" t="str">
            <v>충북양계</v>
          </cell>
          <cell r="D19" t="str">
            <v>한아름</v>
          </cell>
          <cell r="E19">
            <v>4787601</v>
          </cell>
          <cell r="F19">
            <v>11</v>
          </cell>
        </row>
        <row r="20">
          <cell r="A20">
            <v>182301</v>
          </cell>
          <cell r="B20">
            <v>19</v>
          </cell>
          <cell r="C20" t="str">
            <v>양산</v>
          </cell>
          <cell r="D20" t="str">
            <v>종합</v>
          </cell>
          <cell r="E20">
            <v>4517746</v>
          </cell>
          <cell r="F20">
            <v>11</v>
          </cell>
        </row>
        <row r="21">
          <cell r="A21">
            <v>128400</v>
          </cell>
          <cell r="B21">
            <v>20</v>
          </cell>
          <cell r="C21" t="str">
            <v>영동양돈</v>
          </cell>
          <cell r="D21" t="str">
            <v>본소</v>
          </cell>
          <cell r="E21">
            <v>4421047</v>
          </cell>
          <cell r="F21">
            <v>11</v>
          </cell>
        </row>
        <row r="22">
          <cell r="A22">
            <v>142600</v>
          </cell>
          <cell r="B22">
            <v>21</v>
          </cell>
          <cell r="C22" t="str">
            <v>청양</v>
          </cell>
          <cell r="D22" t="str">
            <v>본소</v>
          </cell>
          <cell r="E22">
            <v>4369288</v>
          </cell>
          <cell r="F22">
            <v>11</v>
          </cell>
        </row>
        <row r="23">
          <cell r="A23">
            <v>172800</v>
          </cell>
          <cell r="B23">
            <v>22</v>
          </cell>
          <cell r="C23" t="str">
            <v>칠곡</v>
          </cell>
          <cell r="D23" t="str">
            <v>본소</v>
          </cell>
          <cell r="E23">
            <v>4227067</v>
          </cell>
          <cell r="F23">
            <v>11</v>
          </cell>
        </row>
        <row r="24">
          <cell r="A24">
            <v>141500</v>
          </cell>
          <cell r="B24">
            <v>23</v>
          </cell>
          <cell r="C24" t="str">
            <v>논산</v>
          </cell>
          <cell r="D24" t="str">
            <v>본소</v>
          </cell>
          <cell r="E24">
            <v>3770982</v>
          </cell>
          <cell r="F24">
            <v>11</v>
          </cell>
        </row>
        <row r="25">
          <cell r="A25">
            <v>111404</v>
          </cell>
          <cell r="B25">
            <v>24</v>
          </cell>
          <cell r="C25" t="str">
            <v>양주</v>
          </cell>
          <cell r="D25" t="str">
            <v>회천</v>
          </cell>
          <cell r="E25">
            <v>3699915</v>
          </cell>
          <cell r="F25">
            <v>11</v>
          </cell>
        </row>
        <row r="26">
          <cell r="A26">
            <v>108102</v>
          </cell>
          <cell r="B26">
            <v>25</v>
          </cell>
          <cell r="C26" t="str">
            <v>서울경기양계</v>
          </cell>
          <cell r="D26" t="str">
            <v>이문</v>
          </cell>
          <cell r="E26">
            <v>3486673</v>
          </cell>
          <cell r="F26">
            <v>11</v>
          </cell>
        </row>
        <row r="27">
          <cell r="A27">
            <v>182400</v>
          </cell>
          <cell r="B27">
            <v>26</v>
          </cell>
          <cell r="C27" t="str">
            <v>함안</v>
          </cell>
          <cell r="D27" t="str">
            <v>본소</v>
          </cell>
          <cell r="E27">
            <v>3430196</v>
          </cell>
          <cell r="F27">
            <v>11</v>
          </cell>
        </row>
        <row r="28">
          <cell r="A28">
            <v>158100</v>
          </cell>
          <cell r="B28">
            <v>27</v>
          </cell>
          <cell r="C28" t="str">
            <v>전북양계</v>
          </cell>
          <cell r="D28" t="str">
            <v>본소</v>
          </cell>
          <cell r="E28">
            <v>3416583</v>
          </cell>
          <cell r="F28">
            <v>11</v>
          </cell>
        </row>
        <row r="29">
          <cell r="A29">
            <v>172403</v>
          </cell>
          <cell r="B29">
            <v>28</v>
          </cell>
          <cell r="C29" t="str">
            <v>영주</v>
          </cell>
          <cell r="D29" t="str">
            <v>휴천</v>
          </cell>
          <cell r="E29">
            <v>3371224</v>
          </cell>
          <cell r="F29">
            <v>11</v>
          </cell>
        </row>
        <row r="30">
          <cell r="A30">
            <v>173300</v>
          </cell>
          <cell r="B30">
            <v>29</v>
          </cell>
          <cell r="C30" t="str">
            <v>영덕</v>
          </cell>
          <cell r="D30" t="str">
            <v>본소</v>
          </cell>
          <cell r="E30">
            <v>3312518</v>
          </cell>
          <cell r="F30">
            <v>11</v>
          </cell>
        </row>
        <row r="31">
          <cell r="A31">
            <v>171303</v>
          </cell>
          <cell r="B31">
            <v>30</v>
          </cell>
          <cell r="C31" t="str">
            <v>경주</v>
          </cell>
          <cell r="D31" t="str">
            <v>성동</v>
          </cell>
          <cell r="E31">
            <v>3303241</v>
          </cell>
          <cell r="F31">
            <v>11</v>
          </cell>
        </row>
        <row r="32">
          <cell r="A32">
            <v>121401</v>
          </cell>
          <cell r="B32">
            <v>31</v>
          </cell>
          <cell r="C32" t="str">
            <v>강릉</v>
          </cell>
          <cell r="D32" t="str">
            <v>성내</v>
          </cell>
          <cell r="E32">
            <v>3295096</v>
          </cell>
          <cell r="F32">
            <v>11</v>
          </cell>
        </row>
        <row r="33">
          <cell r="A33">
            <v>171402</v>
          </cell>
          <cell r="B33">
            <v>32</v>
          </cell>
          <cell r="C33" t="str">
            <v>김천</v>
          </cell>
          <cell r="D33" t="str">
            <v>황금</v>
          </cell>
          <cell r="E33">
            <v>3262503</v>
          </cell>
          <cell r="F33">
            <v>11</v>
          </cell>
        </row>
        <row r="34">
          <cell r="A34">
            <v>182101</v>
          </cell>
          <cell r="B34">
            <v>33</v>
          </cell>
          <cell r="C34" t="str">
            <v>김해</v>
          </cell>
          <cell r="D34" t="str">
            <v>내외동</v>
          </cell>
          <cell r="E34">
            <v>3236300</v>
          </cell>
          <cell r="F34">
            <v>11</v>
          </cell>
        </row>
        <row r="35">
          <cell r="A35">
            <v>100075</v>
          </cell>
          <cell r="B35">
            <v>34</v>
          </cell>
          <cell r="C35" t="str">
            <v>축협유통</v>
          </cell>
          <cell r="D35" t="str">
            <v>도봉</v>
          </cell>
          <cell r="E35">
            <v>3191899</v>
          </cell>
          <cell r="F35">
            <v>11</v>
          </cell>
        </row>
        <row r="36">
          <cell r="A36">
            <v>148602</v>
          </cell>
          <cell r="B36">
            <v>35</v>
          </cell>
          <cell r="C36" t="str">
            <v>천안낙농</v>
          </cell>
          <cell r="D36" t="str">
            <v>쌍용</v>
          </cell>
          <cell r="E36">
            <v>3138120</v>
          </cell>
          <cell r="F36">
            <v>11</v>
          </cell>
        </row>
        <row r="37">
          <cell r="A37">
            <v>121800</v>
          </cell>
          <cell r="B37">
            <v>36</v>
          </cell>
          <cell r="C37" t="str">
            <v>삼척</v>
          </cell>
          <cell r="D37" t="str">
            <v>본소</v>
          </cell>
          <cell r="E37">
            <v>3094651</v>
          </cell>
          <cell r="F37">
            <v>11</v>
          </cell>
        </row>
        <row r="38">
          <cell r="A38">
            <v>151600</v>
          </cell>
          <cell r="B38">
            <v>37</v>
          </cell>
          <cell r="C38" t="str">
            <v>진안</v>
          </cell>
          <cell r="D38" t="str">
            <v>본소</v>
          </cell>
          <cell r="E38">
            <v>3072990</v>
          </cell>
          <cell r="F38">
            <v>11</v>
          </cell>
        </row>
        <row r="39">
          <cell r="A39">
            <v>131601</v>
          </cell>
          <cell r="B39">
            <v>38</v>
          </cell>
          <cell r="C39" t="str">
            <v>제천</v>
          </cell>
          <cell r="D39" t="str">
            <v>청전</v>
          </cell>
          <cell r="E39">
            <v>3014443</v>
          </cell>
          <cell r="F39">
            <v>11</v>
          </cell>
        </row>
        <row r="40">
          <cell r="A40">
            <v>171904</v>
          </cell>
          <cell r="B40">
            <v>39</v>
          </cell>
          <cell r="C40" t="str">
            <v>경산</v>
          </cell>
          <cell r="D40" t="str">
            <v>고산</v>
          </cell>
          <cell r="E40">
            <v>2905519</v>
          </cell>
          <cell r="F40">
            <v>11</v>
          </cell>
        </row>
        <row r="41">
          <cell r="A41">
            <v>162900</v>
          </cell>
          <cell r="B41">
            <v>40</v>
          </cell>
          <cell r="C41" t="str">
            <v>완도</v>
          </cell>
          <cell r="D41" t="str">
            <v>본소</v>
          </cell>
          <cell r="E41">
            <v>2904558</v>
          </cell>
          <cell r="F41">
            <v>11</v>
          </cell>
        </row>
        <row r="42">
          <cell r="A42">
            <v>122101</v>
          </cell>
          <cell r="B42">
            <v>41</v>
          </cell>
          <cell r="C42" t="str">
            <v>동해</v>
          </cell>
          <cell r="D42" t="str">
            <v>천곡</v>
          </cell>
          <cell r="E42">
            <v>2889730</v>
          </cell>
          <cell r="F42">
            <v>11</v>
          </cell>
        </row>
        <row r="43">
          <cell r="A43">
            <v>121400</v>
          </cell>
          <cell r="B43">
            <v>42</v>
          </cell>
          <cell r="C43" t="str">
            <v>강릉</v>
          </cell>
          <cell r="D43" t="str">
            <v>본소</v>
          </cell>
          <cell r="E43">
            <v>2754801</v>
          </cell>
          <cell r="F43">
            <v>11</v>
          </cell>
        </row>
        <row r="44">
          <cell r="A44">
            <v>112103</v>
          </cell>
          <cell r="B44">
            <v>43</v>
          </cell>
          <cell r="C44" t="str">
            <v>평택</v>
          </cell>
          <cell r="D44" t="str">
            <v>송복</v>
          </cell>
          <cell r="E44">
            <v>2742742</v>
          </cell>
          <cell r="F44">
            <v>11</v>
          </cell>
        </row>
        <row r="45">
          <cell r="A45">
            <v>122300</v>
          </cell>
          <cell r="B45">
            <v>44</v>
          </cell>
          <cell r="C45" t="str">
            <v>양양</v>
          </cell>
          <cell r="D45" t="str">
            <v>본소</v>
          </cell>
          <cell r="E45">
            <v>2681414</v>
          </cell>
          <cell r="F45">
            <v>11</v>
          </cell>
        </row>
        <row r="46">
          <cell r="A46">
            <v>172400</v>
          </cell>
          <cell r="B46">
            <v>45</v>
          </cell>
          <cell r="C46" t="str">
            <v>영주</v>
          </cell>
          <cell r="D46" t="str">
            <v>본소</v>
          </cell>
          <cell r="E46">
            <v>2586771</v>
          </cell>
          <cell r="F46">
            <v>11</v>
          </cell>
        </row>
        <row r="47">
          <cell r="A47">
            <v>168303</v>
          </cell>
          <cell r="B47">
            <v>46</v>
          </cell>
          <cell r="C47" t="str">
            <v>광전양계</v>
          </cell>
          <cell r="D47" t="str">
            <v>하당</v>
          </cell>
          <cell r="E47">
            <v>2567627</v>
          </cell>
          <cell r="F47">
            <v>11</v>
          </cell>
        </row>
        <row r="48">
          <cell r="A48">
            <v>171900</v>
          </cell>
          <cell r="B48">
            <v>47</v>
          </cell>
          <cell r="C48" t="str">
            <v>경산</v>
          </cell>
          <cell r="D48" t="str">
            <v>본소</v>
          </cell>
          <cell r="E48">
            <v>2471223</v>
          </cell>
          <cell r="F48">
            <v>11</v>
          </cell>
        </row>
        <row r="49">
          <cell r="A49">
            <v>182200</v>
          </cell>
          <cell r="B49">
            <v>48</v>
          </cell>
          <cell r="C49" t="str">
            <v>거제</v>
          </cell>
          <cell r="D49" t="str">
            <v>본소</v>
          </cell>
          <cell r="E49">
            <v>2463326</v>
          </cell>
          <cell r="F49">
            <v>11</v>
          </cell>
        </row>
        <row r="50">
          <cell r="A50">
            <v>128300</v>
          </cell>
          <cell r="B50">
            <v>49</v>
          </cell>
          <cell r="C50" t="str">
            <v>강원양돈</v>
          </cell>
          <cell r="D50" t="str">
            <v>본소</v>
          </cell>
          <cell r="E50">
            <v>2438762</v>
          </cell>
          <cell r="F50">
            <v>11</v>
          </cell>
        </row>
        <row r="51">
          <cell r="A51">
            <v>178300</v>
          </cell>
          <cell r="B51">
            <v>50</v>
          </cell>
          <cell r="C51" t="str">
            <v>대구경북양계</v>
          </cell>
          <cell r="D51" t="str">
            <v>본소</v>
          </cell>
          <cell r="E51">
            <v>2363526</v>
          </cell>
          <cell r="F51">
            <v>11</v>
          </cell>
        </row>
        <row r="52">
          <cell r="A52">
            <v>141800</v>
          </cell>
          <cell r="B52">
            <v>51</v>
          </cell>
          <cell r="C52" t="str">
            <v>공주</v>
          </cell>
          <cell r="D52" t="str">
            <v>본소</v>
          </cell>
          <cell r="E52">
            <v>2361023</v>
          </cell>
          <cell r="F52">
            <v>11</v>
          </cell>
        </row>
        <row r="53">
          <cell r="A53">
            <v>168302</v>
          </cell>
          <cell r="B53">
            <v>52</v>
          </cell>
          <cell r="C53" t="str">
            <v>광전양계</v>
          </cell>
          <cell r="D53" t="str">
            <v>신용해</v>
          </cell>
          <cell r="E53">
            <v>2351326</v>
          </cell>
          <cell r="F53">
            <v>11</v>
          </cell>
        </row>
        <row r="54">
          <cell r="A54">
            <v>162800</v>
          </cell>
          <cell r="B54">
            <v>53</v>
          </cell>
          <cell r="C54" t="str">
            <v>곡성</v>
          </cell>
          <cell r="D54" t="str">
            <v>본소</v>
          </cell>
          <cell r="E54">
            <v>2347659</v>
          </cell>
          <cell r="F54">
            <v>11</v>
          </cell>
        </row>
        <row r="55">
          <cell r="A55">
            <v>171502</v>
          </cell>
          <cell r="B55">
            <v>54</v>
          </cell>
          <cell r="C55" t="str">
            <v>안동</v>
          </cell>
          <cell r="D55" t="str">
            <v>송현</v>
          </cell>
          <cell r="E55">
            <v>2313759</v>
          </cell>
          <cell r="F55">
            <v>11</v>
          </cell>
        </row>
        <row r="56">
          <cell r="A56">
            <v>128301</v>
          </cell>
          <cell r="B56">
            <v>55</v>
          </cell>
          <cell r="C56" t="str">
            <v>강원양돈</v>
          </cell>
          <cell r="D56" t="str">
            <v>후평</v>
          </cell>
          <cell r="E56">
            <v>2286333</v>
          </cell>
          <cell r="F56">
            <v>11</v>
          </cell>
        </row>
        <row r="57">
          <cell r="A57">
            <v>100071</v>
          </cell>
          <cell r="B57">
            <v>56</v>
          </cell>
          <cell r="C57" t="str">
            <v>축협유통</v>
          </cell>
          <cell r="D57" t="str">
            <v>분당</v>
          </cell>
          <cell r="E57">
            <v>2280266</v>
          </cell>
          <cell r="F57">
            <v>11</v>
          </cell>
        </row>
        <row r="58">
          <cell r="A58">
            <v>171600</v>
          </cell>
          <cell r="B58">
            <v>57</v>
          </cell>
          <cell r="C58" t="str">
            <v>의성</v>
          </cell>
          <cell r="D58" t="str">
            <v>본소</v>
          </cell>
          <cell r="E58">
            <v>2179056</v>
          </cell>
          <cell r="F58">
            <v>11</v>
          </cell>
        </row>
        <row r="59">
          <cell r="A59">
            <v>152100</v>
          </cell>
          <cell r="B59">
            <v>58</v>
          </cell>
          <cell r="C59" t="str">
            <v>군산</v>
          </cell>
          <cell r="D59" t="str">
            <v>본소</v>
          </cell>
          <cell r="E59">
            <v>2167895</v>
          </cell>
          <cell r="F59">
            <v>11</v>
          </cell>
        </row>
        <row r="60">
          <cell r="A60">
            <v>151402</v>
          </cell>
          <cell r="B60">
            <v>59</v>
          </cell>
          <cell r="C60" t="str">
            <v>남원</v>
          </cell>
          <cell r="D60" t="str">
            <v>향교</v>
          </cell>
          <cell r="E60">
            <v>2159932</v>
          </cell>
          <cell r="F60">
            <v>11</v>
          </cell>
        </row>
        <row r="61">
          <cell r="A61">
            <v>142100</v>
          </cell>
          <cell r="B61">
            <v>60</v>
          </cell>
          <cell r="C61" t="str">
            <v>예산</v>
          </cell>
          <cell r="D61" t="str">
            <v>본소</v>
          </cell>
          <cell r="E61">
            <v>2115337</v>
          </cell>
          <cell r="F61">
            <v>11</v>
          </cell>
        </row>
        <row r="62">
          <cell r="A62">
            <v>148202</v>
          </cell>
          <cell r="B62">
            <v>61</v>
          </cell>
          <cell r="C62" t="str">
            <v>대전충남양돈</v>
          </cell>
          <cell r="D62" t="str">
            <v>정림</v>
          </cell>
          <cell r="E62">
            <v>2107564</v>
          </cell>
          <cell r="F62">
            <v>11</v>
          </cell>
        </row>
        <row r="63">
          <cell r="A63">
            <v>128201</v>
          </cell>
          <cell r="B63">
            <v>62</v>
          </cell>
          <cell r="C63" t="str">
            <v>강원낙농</v>
          </cell>
          <cell r="D63" t="str">
            <v>홍천</v>
          </cell>
          <cell r="E63">
            <v>2074130</v>
          </cell>
          <cell r="F63">
            <v>11</v>
          </cell>
        </row>
        <row r="64">
          <cell r="A64">
            <v>182900</v>
          </cell>
          <cell r="B64">
            <v>63</v>
          </cell>
          <cell r="C64" t="str">
            <v>사천</v>
          </cell>
          <cell r="D64" t="str">
            <v>본소</v>
          </cell>
          <cell r="E64">
            <v>2070183</v>
          </cell>
          <cell r="F64">
            <v>11</v>
          </cell>
        </row>
        <row r="65">
          <cell r="A65">
            <v>142400</v>
          </cell>
          <cell r="B65">
            <v>64</v>
          </cell>
          <cell r="C65" t="str">
            <v>아산</v>
          </cell>
          <cell r="D65" t="str">
            <v>본소</v>
          </cell>
          <cell r="E65">
            <v>2044289</v>
          </cell>
          <cell r="F65">
            <v>11</v>
          </cell>
        </row>
        <row r="66">
          <cell r="A66">
            <v>172501</v>
          </cell>
          <cell r="B66">
            <v>65</v>
          </cell>
          <cell r="C66" t="str">
            <v>구미</v>
          </cell>
          <cell r="D66" t="str">
            <v>원평</v>
          </cell>
          <cell r="E66">
            <v>2037427</v>
          </cell>
          <cell r="F66">
            <v>11</v>
          </cell>
        </row>
        <row r="67">
          <cell r="A67">
            <v>131402</v>
          </cell>
          <cell r="B67">
            <v>66</v>
          </cell>
          <cell r="C67" t="str">
            <v>충주</v>
          </cell>
          <cell r="D67" t="str">
            <v>남산</v>
          </cell>
          <cell r="E67">
            <v>1954380</v>
          </cell>
          <cell r="F67">
            <v>11</v>
          </cell>
        </row>
        <row r="68">
          <cell r="A68">
            <v>178401</v>
          </cell>
          <cell r="B68">
            <v>67</v>
          </cell>
          <cell r="C68" t="str">
            <v>경북중앙</v>
          </cell>
          <cell r="D68" t="str">
            <v>정평</v>
          </cell>
          <cell r="E68">
            <v>1909089</v>
          </cell>
          <cell r="F68">
            <v>11</v>
          </cell>
        </row>
        <row r="69">
          <cell r="A69">
            <v>240100</v>
          </cell>
          <cell r="B69">
            <v>68</v>
          </cell>
          <cell r="C69" t="str">
            <v>대전판매장</v>
          </cell>
          <cell r="D69" t="str">
            <v>대전점</v>
          </cell>
          <cell r="E69">
            <v>1872103</v>
          </cell>
          <cell r="F69">
            <v>11</v>
          </cell>
        </row>
        <row r="70">
          <cell r="A70">
            <v>151100</v>
          </cell>
          <cell r="B70">
            <v>69</v>
          </cell>
          <cell r="C70" t="str">
            <v>전주</v>
          </cell>
          <cell r="D70" t="str">
            <v>본소</v>
          </cell>
          <cell r="E70">
            <v>1870266</v>
          </cell>
          <cell r="F70">
            <v>11</v>
          </cell>
        </row>
        <row r="71">
          <cell r="A71">
            <v>131500</v>
          </cell>
          <cell r="B71">
            <v>70</v>
          </cell>
          <cell r="C71" t="str">
            <v>괴산</v>
          </cell>
          <cell r="D71" t="str">
            <v>본소</v>
          </cell>
          <cell r="E71">
            <v>1837155</v>
          </cell>
          <cell r="F71">
            <v>11</v>
          </cell>
        </row>
        <row r="72">
          <cell r="A72">
            <v>200300</v>
          </cell>
          <cell r="B72">
            <v>71</v>
          </cell>
          <cell r="C72" t="str">
            <v>상계판매장</v>
          </cell>
          <cell r="D72" t="str">
            <v>상계점</v>
          </cell>
          <cell r="E72">
            <v>1834192</v>
          </cell>
          <cell r="F72">
            <v>11</v>
          </cell>
        </row>
        <row r="73">
          <cell r="A73">
            <v>181905</v>
          </cell>
          <cell r="B73">
            <v>72</v>
          </cell>
          <cell r="C73" t="str">
            <v>마산</v>
          </cell>
          <cell r="D73" t="str">
            <v>대방</v>
          </cell>
          <cell r="E73">
            <v>1824237</v>
          </cell>
          <cell r="F73">
            <v>11</v>
          </cell>
        </row>
        <row r="74">
          <cell r="A74">
            <v>151401</v>
          </cell>
          <cell r="B74">
            <v>73</v>
          </cell>
          <cell r="C74" t="str">
            <v>남원</v>
          </cell>
          <cell r="D74" t="str">
            <v>도통</v>
          </cell>
          <cell r="E74">
            <v>1816135</v>
          </cell>
          <cell r="F74">
            <v>11</v>
          </cell>
        </row>
        <row r="75">
          <cell r="A75">
            <v>172700</v>
          </cell>
          <cell r="B75">
            <v>74</v>
          </cell>
          <cell r="C75" t="str">
            <v>고령</v>
          </cell>
          <cell r="D75" t="str">
            <v>본소</v>
          </cell>
          <cell r="E75">
            <v>1744669</v>
          </cell>
          <cell r="F75">
            <v>11</v>
          </cell>
        </row>
        <row r="76">
          <cell r="A76">
            <v>111601</v>
          </cell>
          <cell r="B76">
            <v>75</v>
          </cell>
          <cell r="C76" t="str">
            <v>경기광주</v>
          </cell>
          <cell r="D76" t="str">
            <v>금광</v>
          </cell>
          <cell r="E76">
            <v>1734013</v>
          </cell>
          <cell r="F76">
            <v>11</v>
          </cell>
        </row>
        <row r="77">
          <cell r="A77">
            <v>172900</v>
          </cell>
          <cell r="B77">
            <v>76</v>
          </cell>
          <cell r="C77" t="str">
            <v>달성</v>
          </cell>
          <cell r="D77" t="str">
            <v>본소</v>
          </cell>
          <cell r="E77">
            <v>1693835</v>
          </cell>
          <cell r="F77">
            <v>11</v>
          </cell>
        </row>
        <row r="78">
          <cell r="A78">
            <v>121600</v>
          </cell>
          <cell r="B78">
            <v>77</v>
          </cell>
          <cell r="C78" t="str">
            <v>태백</v>
          </cell>
          <cell r="D78" t="str">
            <v>본소</v>
          </cell>
          <cell r="E78">
            <v>1689491</v>
          </cell>
          <cell r="F78">
            <v>11</v>
          </cell>
        </row>
        <row r="79">
          <cell r="A79">
            <v>148100</v>
          </cell>
          <cell r="B79">
            <v>78</v>
          </cell>
          <cell r="C79" t="str">
            <v>공주낙농</v>
          </cell>
          <cell r="D79" t="str">
            <v>본소</v>
          </cell>
          <cell r="E79">
            <v>1677632</v>
          </cell>
          <cell r="F79">
            <v>11</v>
          </cell>
        </row>
        <row r="80">
          <cell r="A80">
            <v>121700</v>
          </cell>
          <cell r="B80">
            <v>79</v>
          </cell>
          <cell r="C80" t="str">
            <v>속초</v>
          </cell>
          <cell r="D80" t="str">
            <v>본소</v>
          </cell>
          <cell r="E80">
            <v>1652564</v>
          </cell>
          <cell r="F80">
            <v>11</v>
          </cell>
        </row>
        <row r="81">
          <cell r="A81">
            <v>152000</v>
          </cell>
          <cell r="B81">
            <v>80</v>
          </cell>
          <cell r="C81" t="str">
            <v>익산</v>
          </cell>
          <cell r="D81" t="str">
            <v>본소</v>
          </cell>
          <cell r="E81">
            <v>1651422</v>
          </cell>
          <cell r="F81">
            <v>11</v>
          </cell>
        </row>
        <row r="82">
          <cell r="A82">
            <v>172001</v>
          </cell>
          <cell r="B82">
            <v>81</v>
          </cell>
          <cell r="C82" t="str">
            <v>청도</v>
          </cell>
          <cell r="D82" t="str">
            <v>금천</v>
          </cell>
          <cell r="E82">
            <v>1642251</v>
          </cell>
          <cell r="F82">
            <v>11</v>
          </cell>
        </row>
        <row r="83">
          <cell r="A83">
            <v>112500</v>
          </cell>
          <cell r="B83">
            <v>82</v>
          </cell>
          <cell r="C83" t="str">
            <v>여주</v>
          </cell>
          <cell r="D83" t="str">
            <v>본소</v>
          </cell>
          <cell r="E83">
            <v>1624400</v>
          </cell>
          <cell r="F83">
            <v>11</v>
          </cell>
        </row>
        <row r="84">
          <cell r="A84">
            <v>121200</v>
          </cell>
          <cell r="B84">
            <v>83</v>
          </cell>
          <cell r="C84" t="str">
            <v>원주</v>
          </cell>
          <cell r="D84" t="str">
            <v>본소</v>
          </cell>
          <cell r="E84">
            <v>1564541</v>
          </cell>
          <cell r="F84">
            <v>11</v>
          </cell>
        </row>
        <row r="85">
          <cell r="A85">
            <v>191201</v>
          </cell>
          <cell r="B85">
            <v>84</v>
          </cell>
          <cell r="C85" t="str">
            <v>남제주</v>
          </cell>
          <cell r="D85" t="str">
            <v>서귀포</v>
          </cell>
          <cell r="E85">
            <v>1540693</v>
          </cell>
          <cell r="F85">
            <v>11</v>
          </cell>
        </row>
        <row r="86">
          <cell r="A86">
            <v>163200</v>
          </cell>
          <cell r="B86">
            <v>85</v>
          </cell>
          <cell r="C86" t="str">
            <v>화순</v>
          </cell>
          <cell r="D86" t="str">
            <v>본소</v>
          </cell>
          <cell r="E86">
            <v>1539425</v>
          </cell>
          <cell r="F86">
            <v>11</v>
          </cell>
        </row>
        <row r="87">
          <cell r="A87">
            <v>182000</v>
          </cell>
          <cell r="B87">
            <v>86</v>
          </cell>
          <cell r="C87" t="str">
            <v>의령</v>
          </cell>
          <cell r="D87" t="str">
            <v>본소</v>
          </cell>
          <cell r="E87">
            <v>1532414</v>
          </cell>
          <cell r="F87">
            <v>11</v>
          </cell>
        </row>
        <row r="88">
          <cell r="A88">
            <v>152101</v>
          </cell>
          <cell r="B88">
            <v>87</v>
          </cell>
          <cell r="C88" t="str">
            <v>군산</v>
          </cell>
          <cell r="D88" t="str">
            <v>신영</v>
          </cell>
          <cell r="E88">
            <v>1516805</v>
          </cell>
          <cell r="F88">
            <v>11</v>
          </cell>
        </row>
        <row r="89">
          <cell r="A89">
            <v>171105</v>
          </cell>
          <cell r="B89">
            <v>88</v>
          </cell>
          <cell r="C89" t="str">
            <v>대구</v>
          </cell>
          <cell r="D89" t="str">
            <v>송현</v>
          </cell>
          <cell r="E89">
            <v>1514787</v>
          </cell>
          <cell r="F89">
            <v>11</v>
          </cell>
        </row>
        <row r="90">
          <cell r="A90">
            <v>158400</v>
          </cell>
          <cell r="B90">
            <v>89</v>
          </cell>
          <cell r="C90" t="str">
            <v>전북양봉</v>
          </cell>
          <cell r="D90" t="str">
            <v>본소</v>
          </cell>
          <cell r="E90">
            <v>1510240</v>
          </cell>
          <cell r="F90">
            <v>11</v>
          </cell>
        </row>
        <row r="91">
          <cell r="A91">
            <v>131103</v>
          </cell>
          <cell r="B91">
            <v>90</v>
          </cell>
          <cell r="C91" t="str">
            <v>청주</v>
          </cell>
          <cell r="D91" t="str">
            <v>가경</v>
          </cell>
          <cell r="E91">
            <v>1482267</v>
          </cell>
          <cell r="F91">
            <v>11</v>
          </cell>
        </row>
        <row r="92">
          <cell r="A92">
            <v>200400</v>
          </cell>
          <cell r="B92">
            <v>91</v>
          </cell>
          <cell r="C92" t="str">
            <v>중곡판매장</v>
          </cell>
          <cell r="D92" t="str">
            <v>중곡점</v>
          </cell>
          <cell r="E92">
            <v>1472520</v>
          </cell>
          <cell r="F92">
            <v>11</v>
          </cell>
        </row>
        <row r="93">
          <cell r="A93">
            <v>111300</v>
          </cell>
          <cell r="B93">
            <v>92</v>
          </cell>
          <cell r="C93" t="str">
            <v>안양</v>
          </cell>
          <cell r="D93" t="str">
            <v>본소</v>
          </cell>
          <cell r="E93">
            <v>1423331</v>
          </cell>
          <cell r="F93">
            <v>11</v>
          </cell>
        </row>
        <row r="94">
          <cell r="A94">
            <v>148400</v>
          </cell>
          <cell r="B94">
            <v>93</v>
          </cell>
          <cell r="C94" t="str">
            <v>대전충남우</v>
          </cell>
          <cell r="D94" t="str">
            <v>본소</v>
          </cell>
          <cell r="E94">
            <v>1392605</v>
          </cell>
          <cell r="F94">
            <v>11</v>
          </cell>
        </row>
        <row r="95">
          <cell r="A95">
            <v>151403</v>
          </cell>
          <cell r="B95">
            <v>94</v>
          </cell>
          <cell r="C95" t="str">
            <v>남원</v>
          </cell>
          <cell r="D95" t="str">
            <v>요천</v>
          </cell>
          <cell r="E95">
            <v>1373966</v>
          </cell>
          <cell r="F95">
            <v>11</v>
          </cell>
        </row>
        <row r="96">
          <cell r="A96">
            <v>162200</v>
          </cell>
          <cell r="B96">
            <v>95</v>
          </cell>
          <cell r="C96" t="str">
            <v>해남</v>
          </cell>
          <cell r="D96" t="str">
            <v>본소</v>
          </cell>
          <cell r="E96">
            <v>1324913</v>
          </cell>
          <cell r="F96">
            <v>11</v>
          </cell>
        </row>
        <row r="97">
          <cell r="A97">
            <v>151901</v>
          </cell>
          <cell r="B97">
            <v>96</v>
          </cell>
          <cell r="C97" t="str">
            <v>김제</v>
          </cell>
          <cell r="D97" t="str">
            <v>금만</v>
          </cell>
          <cell r="E97">
            <v>1318347</v>
          </cell>
          <cell r="F97">
            <v>11</v>
          </cell>
        </row>
        <row r="98">
          <cell r="A98">
            <v>162802</v>
          </cell>
          <cell r="B98">
            <v>97</v>
          </cell>
          <cell r="C98" t="str">
            <v>곡성</v>
          </cell>
          <cell r="D98" t="str">
            <v>석곡</v>
          </cell>
          <cell r="E98">
            <v>1254457</v>
          </cell>
          <cell r="F98">
            <v>11</v>
          </cell>
        </row>
        <row r="99">
          <cell r="A99">
            <v>121500</v>
          </cell>
          <cell r="B99">
            <v>98</v>
          </cell>
          <cell r="C99" t="str">
            <v>홍천</v>
          </cell>
          <cell r="D99" t="str">
            <v>본소</v>
          </cell>
          <cell r="E99">
            <v>1221487</v>
          </cell>
          <cell r="F99">
            <v>11</v>
          </cell>
        </row>
        <row r="100">
          <cell r="A100">
            <v>162000</v>
          </cell>
          <cell r="B100">
            <v>99</v>
          </cell>
          <cell r="C100" t="str">
            <v>나주</v>
          </cell>
          <cell r="D100" t="str">
            <v>본소</v>
          </cell>
          <cell r="E100">
            <v>1161270</v>
          </cell>
          <cell r="F100">
            <v>11</v>
          </cell>
        </row>
        <row r="101">
          <cell r="A101">
            <v>108201</v>
          </cell>
          <cell r="B101">
            <v>100</v>
          </cell>
          <cell r="C101" t="str">
            <v>서울경기양계</v>
          </cell>
          <cell r="D101" t="str">
            <v>신촌</v>
          </cell>
          <cell r="E101">
            <v>1152984</v>
          </cell>
          <cell r="F101">
            <v>11</v>
          </cell>
        </row>
        <row r="102">
          <cell r="A102">
            <v>178302</v>
          </cell>
          <cell r="B102">
            <v>101</v>
          </cell>
          <cell r="C102" t="str">
            <v>대구경북양계</v>
          </cell>
          <cell r="D102" t="str">
            <v>범물</v>
          </cell>
          <cell r="E102">
            <v>1151023</v>
          </cell>
          <cell r="F102">
            <v>11</v>
          </cell>
        </row>
        <row r="103">
          <cell r="A103">
            <v>161500</v>
          </cell>
          <cell r="B103">
            <v>102</v>
          </cell>
          <cell r="C103" t="str">
            <v>구례</v>
          </cell>
          <cell r="D103" t="str">
            <v>본소</v>
          </cell>
          <cell r="E103">
            <v>1141460</v>
          </cell>
          <cell r="F103">
            <v>11</v>
          </cell>
        </row>
        <row r="104">
          <cell r="A104">
            <v>181800</v>
          </cell>
          <cell r="B104">
            <v>103</v>
          </cell>
          <cell r="C104" t="str">
            <v>함양</v>
          </cell>
          <cell r="D104" t="str">
            <v>본소</v>
          </cell>
          <cell r="E104">
            <v>1131498</v>
          </cell>
          <cell r="F104">
            <v>11</v>
          </cell>
        </row>
        <row r="105">
          <cell r="A105">
            <v>181201</v>
          </cell>
          <cell r="B105">
            <v>104</v>
          </cell>
          <cell r="C105" t="str">
            <v>거창</v>
          </cell>
          <cell r="D105" t="str">
            <v>종합</v>
          </cell>
          <cell r="E105">
            <v>1059590</v>
          </cell>
          <cell r="F105">
            <v>11</v>
          </cell>
        </row>
        <row r="106">
          <cell r="A106">
            <v>162201</v>
          </cell>
          <cell r="B106">
            <v>105</v>
          </cell>
          <cell r="C106" t="str">
            <v>해남</v>
          </cell>
          <cell r="D106" t="str">
            <v>고도</v>
          </cell>
          <cell r="E106">
            <v>1026097</v>
          </cell>
          <cell r="F106">
            <v>11</v>
          </cell>
        </row>
        <row r="107">
          <cell r="A107">
            <v>151200</v>
          </cell>
          <cell r="B107">
            <v>106</v>
          </cell>
          <cell r="C107" t="str">
            <v>무주</v>
          </cell>
          <cell r="D107" t="str">
            <v>본소</v>
          </cell>
          <cell r="E107">
            <v>1007344</v>
          </cell>
          <cell r="F107">
            <v>11</v>
          </cell>
        </row>
        <row r="108">
          <cell r="A108">
            <v>162303</v>
          </cell>
          <cell r="B108">
            <v>107</v>
          </cell>
          <cell r="C108" t="str">
            <v>영암</v>
          </cell>
          <cell r="D108" t="str">
            <v>학산</v>
          </cell>
          <cell r="E108">
            <v>992772</v>
          </cell>
          <cell r="F108">
            <v>11</v>
          </cell>
        </row>
        <row r="109">
          <cell r="A109">
            <v>181900</v>
          </cell>
          <cell r="B109">
            <v>108</v>
          </cell>
          <cell r="C109" t="str">
            <v>마산</v>
          </cell>
          <cell r="D109" t="str">
            <v>본소</v>
          </cell>
          <cell r="E109">
            <v>950738</v>
          </cell>
          <cell r="F109">
            <v>11</v>
          </cell>
        </row>
        <row r="110">
          <cell r="A110">
            <v>188208</v>
          </cell>
          <cell r="B110">
            <v>109</v>
          </cell>
          <cell r="C110" t="str">
            <v>경남낙농</v>
          </cell>
          <cell r="D110" t="str">
            <v>상봉</v>
          </cell>
          <cell r="E110">
            <v>921815</v>
          </cell>
          <cell r="F110">
            <v>11</v>
          </cell>
        </row>
        <row r="111">
          <cell r="A111">
            <v>181406</v>
          </cell>
          <cell r="B111">
            <v>110</v>
          </cell>
          <cell r="C111" t="str">
            <v>부산</v>
          </cell>
          <cell r="D111" t="str">
            <v>덕천</v>
          </cell>
          <cell r="E111">
            <v>918621</v>
          </cell>
          <cell r="F111">
            <v>11</v>
          </cell>
        </row>
        <row r="112">
          <cell r="A112">
            <v>151800</v>
          </cell>
          <cell r="B112">
            <v>111</v>
          </cell>
          <cell r="C112" t="str">
            <v>임실</v>
          </cell>
          <cell r="D112" t="str">
            <v>본소</v>
          </cell>
          <cell r="E112">
            <v>907350</v>
          </cell>
          <cell r="F112">
            <v>11</v>
          </cell>
        </row>
        <row r="113">
          <cell r="A113">
            <v>151400</v>
          </cell>
          <cell r="B113">
            <v>112</v>
          </cell>
          <cell r="C113" t="str">
            <v>남원</v>
          </cell>
          <cell r="D113" t="str">
            <v>본소</v>
          </cell>
          <cell r="E113">
            <v>890762</v>
          </cell>
          <cell r="F113">
            <v>11</v>
          </cell>
        </row>
        <row r="114">
          <cell r="A114">
            <v>151103</v>
          </cell>
          <cell r="B114">
            <v>113</v>
          </cell>
          <cell r="C114" t="str">
            <v>전주</v>
          </cell>
          <cell r="D114" t="str">
            <v>남부</v>
          </cell>
          <cell r="E114">
            <v>890735</v>
          </cell>
          <cell r="F114">
            <v>11</v>
          </cell>
        </row>
        <row r="115">
          <cell r="A115">
            <v>121702</v>
          </cell>
          <cell r="B115">
            <v>114</v>
          </cell>
          <cell r="C115" t="str">
            <v>속초</v>
          </cell>
          <cell r="D115" t="str">
            <v>중앙</v>
          </cell>
          <cell r="E115">
            <v>883753</v>
          </cell>
          <cell r="F115">
            <v>11</v>
          </cell>
        </row>
        <row r="116">
          <cell r="A116">
            <v>131301</v>
          </cell>
          <cell r="B116">
            <v>115</v>
          </cell>
          <cell r="C116" t="str">
            <v>영동</v>
          </cell>
          <cell r="D116" t="str">
            <v>황간</v>
          </cell>
          <cell r="E116">
            <v>879566</v>
          </cell>
          <cell r="F116">
            <v>11</v>
          </cell>
        </row>
        <row r="117">
          <cell r="A117">
            <v>141301</v>
          </cell>
          <cell r="B117">
            <v>116</v>
          </cell>
          <cell r="C117" t="str">
            <v>연기</v>
          </cell>
          <cell r="D117" t="str">
            <v>금남</v>
          </cell>
          <cell r="E117">
            <v>867006</v>
          </cell>
          <cell r="F117">
            <v>11</v>
          </cell>
        </row>
        <row r="118">
          <cell r="A118">
            <v>131101</v>
          </cell>
          <cell r="B118">
            <v>117</v>
          </cell>
          <cell r="C118" t="str">
            <v>청주</v>
          </cell>
          <cell r="D118" t="str">
            <v>사창</v>
          </cell>
          <cell r="E118">
            <v>866170</v>
          </cell>
          <cell r="F118">
            <v>11</v>
          </cell>
        </row>
        <row r="119">
          <cell r="A119">
            <v>171202</v>
          </cell>
          <cell r="B119">
            <v>118</v>
          </cell>
          <cell r="C119" t="str">
            <v>포항</v>
          </cell>
          <cell r="D119" t="str">
            <v>상도</v>
          </cell>
          <cell r="E119">
            <v>866131</v>
          </cell>
          <cell r="F119">
            <v>11</v>
          </cell>
        </row>
        <row r="120">
          <cell r="A120">
            <v>142501</v>
          </cell>
          <cell r="B120">
            <v>119</v>
          </cell>
          <cell r="C120" t="str">
            <v>천안낙농</v>
          </cell>
          <cell r="D120" t="str">
            <v>삼거리</v>
          </cell>
          <cell r="E120">
            <v>856230</v>
          </cell>
          <cell r="F120">
            <v>11</v>
          </cell>
        </row>
        <row r="121">
          <cell r="A121">
            <v>172200</v>
          </cell>
          <cell r="B121">
            <v>120</v>
          </cell>
          <cell r="C121" t="str">
            <v>상주</v>
          </cell>
          <cell r="D121" t="str">
            <v>본소</v>
          </cell>
          <cell r="E121">
            <v>832460</v>
          </cell>
          <cell r="F121">
            <v>11</v>
          </cell>
        </row>
        <row r="122">
          <cell r="A122">
            <v>151700</v>
          </cell>
          <cell r="B122">
            <v>121</v>
          </cell>
          <cell r="C122" t="str">
            <v>장수</v>
          </cell>
          <cell r="D122" t="str">
            <v>본소</v>
          </cell>
          <cell r="E122">
            <v>809454</v>
          </cell>
          <cell r="F122">
            <v>11</v>
          </cell>
        </row>
        <row r="123">
          <cell r="A123">
            <v>161303</v>
          </cell>
          <cell r="B123">
            <v>122</v>
          </cell>
          <cell r="C123" t="str">
            <v>여수여천</v>
          </cell>
          <cell r="D123" t="str">
            <v>율촌</v>
          </cell>
          <cell r="E123">
            <v>807424</v>
          </cell>
          <cell r="F123">
            <v>11</v>
          </cell>
        </row>
        <row r="124">
          <cell r="A124">
            <v>200500</v>
          </cell>
          <cell r="B124">
            <v>123</v>
          </cell>
          <cell r="C124" t="str">
            <v>사당판매장</v>
          </cell>
          <cell r="D124" t="str">
            <v>사당점</v>
          </cell>
          <cell r="E124">
            <v>797534</v>
          </cell>
          <cell r="F124">
            <v>11</v>
          </cell>
        </row>
        <row r="125">
          <cell r="A125">
            <v>171302</v>
          </cell>
          <cell r="B125">
            <v>124</v>
          </cell>
          <cell r="C125" t="str">
            <v>경주</v>
          </cell>
          <cell r="D125" t="str">
            <v>노동</v>
          </cell>
          <cell r="E125">
            <v>780327</v>
          </cell>
          <cell r="F125">
            <v>11</v>
          </cell>
        </row>
        <row r="126">
          <cell r="A126">
            <v>122400</v>
          </cell>
          <cell r="B126">
            <v>125</v>
          </cell>
          <cell r="C126" t="str">
            <v>횡성</v>
          </cell>
          <cell r="D126" t="str">
            <v>본소</v>
          </cell>
          <cell r="E126">
            <v>777185</v>
          </cell>
          <cell r="F126">
            <v>11</v>
          </cell>
        </row>
        <row r="127">
          <cell r="A127">
            <v>182300</v>
          </cell>
          <cell r="B127">
            <v>126</v>
          </cell>
          <cell r="C127" t="str">
            <v>양산</v>
          </cell>
          <cell r="D127" t="str">
            <v>본소</v>
          </cell>
          <cell r="E127">
            <v>775974</v>
          </cell>
          <cell r="F127">
            <v>11</v>
          </cell>
        </row>
        <row r="128">
          <cell r="A128">
            <v>162401</v>
          </cell>
          <cell r="B128">
            <v>127</v>
          </cell>
          <cell r="C128" t="str">
            <v>장성</v>
          </cell>
          <cell r="D128" t="str">
            <v>대창</v>
          </cell>
          <cell r="E128">
            <v>774274</v>
          </cell>
          <cell r="F128">
            <v>11</v>
          </cell>
        </row>
        <row r="129">
          <cell r="A129">
            <v>191100</v>
          </cell>
          <cell r="B129">
            <v>128</v>
          </cell>
          <cell r="C129" t="str">
            <v>제주</v>
          </cell>
          <cell r="D129" t="str">
            <v>본소</v>
          </cell>
          <cell r="E129">
            <v>768763</v>
          </cell>
          <cell r="F129">
            <v>11</v>
          </cell>
        </row>
        <row r="130">
          <cell r="A130">
            <v>161108</v>
          </cell>
          <cell r="B130">
            <v>129</v>
          </cell>
          <cell r="C130" t="str">
            <v>광주</v>
          </cell>
          <cell r="D130" t="str">
            <v>도산</v>
          </cell>
          <cell r="E130">
            <v>765006</v>
          </cell>
          <cell r="F130">
            <v>11</v>
          </cell>
        </row>
        <row r="131">
          <cell r="A131">
            <v>161106</v>
          </cell>
          <cell r="B131">
            <v>130</v>
          </cell>
          <cell r="C131" t="str">
            <v>광주</v>
          </cell>
          <cell r="D131" t="str">
            <v>무등</v>
          </cell>
          <cell r="E131">
            <v>764130</v>
          </cell>
          <cell r="F131">
            <v>11</v>
          </cell>
        </row>
        <row r="132">
          <cell r="A132">
            <v>171106</v>
          </cell>
          <cell r="B132">
            <v>131</v>
          </cell>
          <cell r="C132" t="str">
            <v>대구</v>
          </cell>
          <cell r="D132" t="str">
            <v>봉덕</v>
          </cell>
          <cell r="E132">
            <v>736374</v>
          </cell>
          <cell r="F132">
            <v>11</v>
          </cell>
        </row>
        <row r="133">
          <cell r="A133">
            <v>151601</v>
          </cell>
          <cell r="B133">
            <v>132</v>
          </cell>
          <cell r="C133" t="str">
            <v>진안</v>
          </cell>
          <cell r="D133" t="str">
            <v>물류</v>
          </cell>
          <cell r="E133">
            <v>736239</v>
          </cell>
          <cell r="F133">
            <v>11</v>
          </cell>
        </row>
        <row r="134">
          <cell r="A134">
            <v>173000</v>
          </cell>
          <cell r="B134">
            <v>133</v>
          </cell>
          <cell r="C134" t="str">
            <v>영양</v>
          </cell>
          <cell r="D134" t="str">
            <v>본소</v>
          </cell>
          <cell r="E134">
            <v>726908</v>
          </cell>
          <cell r="F134">
            <v>11</v>
          </cell>
        </row>
        <row r="135">
          <cell r="A135">
            <v>173101</v>
          </cell>
          <cell r="B135">
            <v>134</v>
          </cell>
          <cell r="C135" t="str">
            <v>문경</v>
          </cell>
          <cell r="D135" t="str">
            <v>남부</v>
          </cell>
          <cell r="E135">
            <v>720586</v>
          </cell>
          <cell r="F135">
            <v>11</v>
          </cell>
        </row>
        <row r="136">
          <cell r="A136">
            <v>151105</v>
          </cell>
          <cell r="B136">
            <v>135</v>
          </cell>
          <cell r="C136" t="str">
            <v>전주</v>
          </cell>
          <cell r="D136" t="str">
            <v>우아</v>
          </cell>
          <cell r="E136">
            <v>720440</v>
          </cell>
          <cell r="F136">
            <v>11</v>
          </cell>
        </row>
        <row r="137">
          <cell r="A137">
            <v>158200</v>
          </cell>
          <cell r="B137">
            <v>136</v>
          </cell>
          <cell r="C137" t="str">
            <v>전북양돈</v>
          </cell>
          <cell r="D137" t="str">
            <v>본소</v>
          </cell>
          <cell r="E137">
            <v>708147</v>
          </cell>
          <cell r="F137">
            <v>11</v>
          </cell>
        </row>
        <row r="138">
          <cell r="A138">
            <v>171203</v>
          </cell>
          <cell r="B138">
            <v>137</v>
          </cell>
          <cell r="C138" t="str">
            <v>포항</v>
          </cell>
          <cell r="D138" t="str">
            <v>송도</v>
          </cell>
          <cell r="E138">
            <v>707154</v>
          </cell>
          <cell r="F138">
            <v>11</v>
          </cell>
        </row>
        <row r="139">
          <cell r="A139">
            <v>168400</v>
          </cell>
          <cell r="B139">
            <v>138</v>
          </cell>
          <cell r="C139" t="str">
            <v>진도견보육</v>
          </cell>
          <cell r="D139" t="str">
            <v>본소</v>
          </cell>
          <cell r="E139">
            <v>694975</v>
          </cell>
          <cell r="F139">
            <v>11</v>
          </cell>
        </row>
        <row r="140">
          <cell r="A140">
            <v>141100</v>
          </cell>
          <cell r="B140">
            <v>139</v>
          </cell>
          <cell r="C140" t="str">
            <v>대전</v>
          </cell>
          <cell r="D140" t="str">
            <v>본소</v>
          </cell>
          <cell r="E140">
            <v>651587</v>
          </cell>
          <cell r="F140">
            <v>11</v>
          </cell>
        </row>
        <row r="141">
          <cell r="A141">
            <v>200600</v>
          </cell>
          <cell r="B141">
            <v>140</v>
          </cell>
          <cell r="C141" t="str">
            <v>목동판매장</v>
          </cell>
          <cell r="D141" t="str">
            <v>목동점</v>
          </cell>
          <cell r="E141">
            <v>645496</v>
          </cell>
          <cell r="F141">
            <v>11</v>
          </cell>
        </row>
        <row r="142">
          <cell r="A142">
            <v>161304</v>
          </cell>
          <cell r="B142">
            <v>141</v>
          </cell>
          <cell r="C142" t="str">
            <v>여수여천</v>
          </cell>
          <cell r="D142" t="str">
            <v>서강</v>
          </cell>
          <cell r="E142">
            <v>640549</v>
          </cell>
          <cell r="F142">
            <v>11</v>
          </cell>
        </row>
        <row r="143">
          <cell r="A143">
            <v>148401</v>
          </cell>
          <cell r="B143">
            <v>142</v>
          </cell>
          <cell r="C143" t="str">
            <v>대전충남우</v>
          </cell>
          <cell r="D143" t="str">
            <v>한밭</v>
          </cell>
          <cell r="E143">
            <v>629282</v>
          </cell>
          <cell r="F143">
            <v>11</v>
          </cell>
        </row>
        <row r="144">
          <cell r="A144">
            <v>122001</v>
          </cell>
          <cell r="B144">
            <v>143</v>
          </cell>
          <cell r="C144" t="str">
            <v>영월</v>
          </cell>
          <cell r="D144" t="str">
            <v>영흥</v>
          </cell>
          <cell r="E144">
            <v>628874</v>
          </cell>
          <cell r="F144">
            <v>11</v>
          </cell>
        </row>
        <row r="145">
          <cell r="A145">
            <v>171201</v>
          </cell>
          <cell r="B145">
            <v>144</v>
          </cell>
          <cell r="C145" t="str">
            <v>포항</v>
          </cell>
          <cell r="D145" t="str">
            <v>해도</v>
          </cell>
          <cell r="E145">
            <v>618446</v>
          </cell>
          <cell r="F145">
            <v>11</v>
          </cell>
        </row>
        <row r="146">
          <cell r="A146">
            <v>171304</v>
          </cell>
          <cell r="B146">
            <v>145</v>
          </cell>
          <cell r="C146" t="str">
            <v>경주</v>
          </cell>
          <cell r="D146" t="str">
            <v>외동</v>
          </cell>
          <cell r="E146">
            <v>616206</v>
          </cell>
          <cell r="F146">
            <v>11</v>
          </cell>
        </row>
        <row r="147">
          <cell r="A147">
            <v>172600</v>
          </cell>
          <cell r="B147">
            <v>146</v>
          </cell>
          <cell r="C147" t="str">
            <v>울진</v>
          </cell>
          <cell r="D147" t="str">
            <v>본소</v>
          </cell>
          <cell r="E147">
            <v>615496</v>
          </cell>
          <cell r="F147">
            <v>11</v>
          </cell>
        </row>
        <row r="148">
          <cell r="A148">
            <v>181904</v>
          </cell>
          <cell r="B148">
            <v>147</v>
          </cell>
          <cell r="C148" t="str">
            <v>마산</v>
          </cell>
          <cell r="D148" t="str">
            <v>동마산한우</v>
          </cell>
          <cell r="E148">
            <v>575397</v>
          </cell>
          <cell r="F148">
            <v>11</v>
          </cell>
        </row>
        <row r="149">
          <cell r="A149">
            <v>158102</v>
          </cell>
          <cell r="B149">
            <v>148</v>
          </cell>
          <cell r="C149" t="str">
            <v>전북양계</v>
          </cell>
          <cell r="D149" t="str">
            <v>서학</v>
          </cell>
          <cell r="E149">
            <v>566102</v>
          </cell>
          <cell r="F149">
            <v>11</v>
          </cell>
        </row>
        <row r="150">
          <cell r="A150">
            <v>158300</v>
          </cell>
          <cell r="B150">
            <v>149</v>
          </cell>
          <cell r="C150" t="str">
            <v>완산낙농</v>
          </cell>
          <cell r="D150" t="str">
            <v>본소</v>
          </cell>
          <cell r="E150">
            <v>555192</v>
          </cell>
          <cell r="F150">
            <v>11</v>
          </cell>
        </row>
        <row r="151">
          <cell r="A151">
            <v>171107</v>
          </cell>
          <cell r="B151">
            <v>150</v>
          </cell>
          <cell r="C151" t="str">
            <v>대구</v>
          </cell>
          <cell r="D151" t="str">
            <v>명동로</v>
          </cell>
          <cell r="E151">
            <v>554144</v>
          </cell>
          <cell r="F151">
            <v>11</v>
          </cell>
        </row>
        <row r="152">
          <cell r="A152">
            <v>182600</v>
          </cell>
          <cell r="B152">
            <v>151</v>
          </cell>
          <cell r="C152" t="str">
            <v>울산</v>
          </cell>
          <cell r="D152" t="str">
            <v>본소</v>
          </cell>
          <cell r="E152">
            <v>548981</v>
          </cell>
          <cell r="F152">
            <v>11</v>
          </cell>
        </row>
        <row r="153">
          <cell r="A153">
            <v>161105</v>
          </cell>
          <cell r="B153">
            <v>152</v>
          </cell>
          <cell r="C153" t="str">
            <v>광주</v>
          </cell>
          <cell r="D153" t="str">
            <v>장동</v>
          </cell>
          <cell r="E153">
            <v>548051</v>
          </cell>
          <cell r="F153">
            <v>11</v>
          </cell>
        </row>
        <row r="154">
          <cell r="A154">
            <v>121102</v>
          </cell>
          <cell r="B154">
            <v>153</v>
          </cell>
          <cell r="C154" t="str">
            <v>춘천</v>
          </cell>
          <cell r="D154" t="str">
            <v>공단</v>
          </cell>
          <cell r="E154">
            <v>533713</v>
          </cell>
          <cell r="F154">
            <v>11</v>
          </cell>
        </row>
        <row r="155">
          <cell r="A155">
            <v>171701</v>
          </cell>
          <cell r="B155">
            <v>154</v>
          </cell>
          <cell r="C155" t="str">
            <v>군위</v>
          </cell>
          <cell r="D155" t="str">
            <v>부계</v>
          </cell>
          <cell r="E155">
            <v>528272</v>
          </cell>
          <cell r="F155">
            <v>11</v>
          </cell>
        </row>
        <row r="156">
          <cell r="A156">
            <v>181901</v>
          </cell>
          <cell r="B156">
            <v>155</v>
          </cell>
          <cell r="C156" t="str">
            <v>마산</v>
          </cell>
          <cell r="D156" t="str">
            <v>진해</v>
          </cell>
          <cell r="E156">
            <v>514008</v>
          </cell>
          <cell r="F156">
            <v>11</v>
          </cell>
        </row>
        <row r="157">
          <cell r="A157">
            <v>131501</v>
          </cell>
          <cell r="B157">
            <v>156</v>
          </cell>
          <cell r="C157" t="str">
            <v>괴산</v>
          </cell>
          <cell r="D157" t="str">
            <v>증평</v>
          </cell>
          <cell r="E157">
            <v>507884</v>
          </cell>
          <cell r="F157">
            <v>11</v>
          </cell>
        </row>
        <row r="158">
          <cell r="A158">
            <v>161501</v>
          </cell>
          <cell r="B158">
            <v>157</v>
          </cell>
          <cell r="C158" t="str">
            <v>구례</v>
          </cell>
          <cell r="D158" t="str">
            <v>봉동</v>
          </cell>
          <cell r="E158">
            <v>505949</v>
          </cell>
          <cell r="F158">
            <v>11</v>
          </cell>
        </row>
        <row r="159">
          <cell r="A159">
            <v>161107</v>
          </cell>
          <cell r="B159">
            <v>158</v>
          </cell>
          <cell r="C159" t="str">
            <v>광주</v>
          </cell>
          <cell r="D159" t="str">
            <v>오치</v>
          </cell>
          <cell r="E159">
            <v>504675</v>
          </cell>
          <cell r="F159">
            <v>11</v>
          </cell>
        </row>
        <row r="160">
          <cell r="A160">
            <v>152004</v>
          </cell>
          <cell r="B160">
            <v>159</v>
          </cell>
          <cell r="C160" t="str">
            <v>익산</v>
          </cell>
          <cell r="D160" t="str">
            <v>인화</v>
          </cell>
          <cell r="E160">
            <v>470421</v>
          </cell>
          <cell r="F160">
            <v>11</v>
          </cell>
        </row>
        <row r="161">
          <cell r="A161">
            <v>148300</v>
          </cell>
          <cell r="B161">
            <v>160</v>
          </cell>
          <cell r="C161" t="str">
            <v>백제낙농</v>
          </cell>
          <cell r="D161" t="str">
            <v>본소</v>
          </cell>
          <cell r="E161">
            <v>460719</v>
          </cell>
          <cell r="F161">
            <v>11</v>
          </cell>
        </row>
        <row r="162">
          <cell r="A162">
            <v>158101</v>
          </cell>
          <cell r="B162">
            <v>161</v>
          </cell>
          <cell r="C162" t="str">
            <v>전북양계</v>
          </cell>
          <cell r="D162" t="str">
            <v>화산</v>
          </cell>
          <cell r="E162">
            <v>457905</v>
          </cell>
          <cell r="F162">
            <v>11</v>
          </cell>
        </row>
        <row r="163">
          <cell r="A163">
            <v>141201</v>
          </cell>
          <cell r="B163">
            <v>162</v>
          </cell>
          <cell r="C163" t="str">
            <v>금산</v>
          </cell>
          <cell r="D163" t="str">
            <v>중도</v>
          </cell>
          <cell r="E163">
            <v>453675</v>
          </cell>
          <cell r="F163">
            <v>11</v>
          </cell>
        </row>
        <row r="164">
          <cell r="A164">
            <v>148501</v>
          </cell>
          <cell r="B164">
            <v>163</v>
          </cell>
          <cell r="C164" t="str">
            <v>홍성낙농우</v>
          </cell>
          <cell r="D164" t="str">
            <v>육우</v>
          </cell>
          <cell r="E164">
            <v>449108</v>
          </cell>
          <cell r="F164">
            <v>11</v>
          </cell>
        </row>
        <row r="165">
          <cell r="A165">
            <v>121601</v>
          </cell>
          <cell r="B165">
            <v>164</v>
          </cell>
          <cell r="C165" t="str">
            <v>태백</v>
          </cell>
          <cell r="D165" t="str">
            <v>장성</v>
          </cell>
          <cell r="E165">
            <v>448955</v>
          </cell>
          <cell r="F165">
            <v>11</v>
          </cell>
        </row>
        <row r="166">
          <cell r="A166">
            <v>162602</v>
          </cell>
          <cell r="B166">
            <v>165</v>
          </cell>
          <cell r="C166" t="str">
            <v>보성</v>
          </cell>
          <cell r="D166" t="str">
            <v>벌교</v>
          </cell>
          <cell r="E166">
            <v>441495</v>
          </cell>
          <cell r="F166">
            <v>11</v>
          </cell>
        </row>
        <row r="167">
          <cell r="A167">
            <v>161900</v>
          </cell>
          <cell r="B167">
            <v>166</v>
          </cell>
          <cell r="C167" t="str">
            <v>목포</v>
          </cell>
          <cell r="D167" t="str">
            <v>본소</v>
          </cell>
          <cell r="E167">
            <v>439212</v>
          </cell>
          <cell r="F167">
            <v>11</v>
          </cell>
        </row>
        <row r="168">
          <cell r="A168">
            <v>100077</v>
          </cell>
          <cell r="B168">
            <v>167</v>
          </cell>
          <cell r="C168" t="str">
            <v>축협유통</v>
          </cell>
          <cell r="D168" t="str">
            <v>대림</v>
          </cell>
          <cell r="E168">
            <v>427794</v>
          </cell>
          <cell r="F168">
            <v>11</v>
          </cell>
        </row>
        <row r="169">
          <cell r="A169">
            <v>188200</v>
          </cell>
          <cell r="B169">
            <v>168</v>
          </cell>
          <cell r="C169" t="str">
            <v>경남낙농</v>
          </cell>
          <cell r="D169" t="str">
            <v>본소</v>
          </cell>
          <cell r="E169">
            <v>417204</v>
          </cell>
          <cell r="F169">
            <v>11</v>
          </cell>
        </row>
        <row r="170">
          <cell r="A170">
            <v>121501</v>
          </cell>
          <cell r="B170">
            <v>169</v>
          </cell>
          <cell r="C170" t="str">
            <v>홍천</v>
          </cell>
          <cell r="D170" t="str">
            <v>서석</v>
          </cell>
          <cell r="E170">
            <v>414823</v>
          </cell>
          <cell r="F170">
            <v>11</v>
          </cell>
        </row>
        <row r="171">
          <cell r="A171">
            <v>131400</v>
          </cell>
          <cell r="B171">
            <v>170</v>
          </cell>
          <cell r="C171" t="str">
            <v>충주</v>
          </cell>
          <cell r="D171" t="str">
            <v>문화</v>
          </cell>
          <cell r="E171">
            <v>406861</v>
          </cell>
          <cell r="F171">
            <v>11</v>
          </cell>
        </row>
        <row r="172">
          <cell r="A172">
            <v>188201</v>
          </cell>
          <cell r="B172">
            <v>171</v>
          </cell>
          <cell r="C172" t="str">
            <v>경남낙농</v>
          </cell>
          <cell r="D172" t="str">
            <v>동성</v>
          </cell>
          <cell r="E172">
            <v>390927</v>
          </cell>
          <cell r="F172">
            <v>11</v>
          </cell>
        </row>
        <row r="173">
          <cell r="A173">
            <v>161306</v>
          </cell>
          <cell r="B173">
            <v>172</v>
          </cell>
          <cell r="C173" t="str">
            <v>여수여천</v>
          </cell>
          <cell r="D173" t="str">
            <v>문수</v>
          </cell>
          <cell r="E173">
            <v>384129</v>
          </cell>
          <cell r="F173">
            <v>11</v>
          </cell>
        </row>
        <row r="174">
          <cell r="A174">
            <v>191102</v>
          </cell>
          <cell r="B174">
            <v>173</v>
          </cell>
          <cell r="C174" t="str">
            <v>제주</v>
          </cell>
          <cell r="D174" t="str">
            <v>동문</v>
          </cell>
          <cell r="E174">
            <v>357922</v>
          </cell>
          <cell r="F174">
            <v>11</v>
          </cell>
        </row>
        <row r="175">
          <cell r="A175">
            <v>171200</v>
          </cell>
          <cell r="B175">
            <v>174</v>
          </cell>
          <cell r="C175" t="str">
            <v>포항</v>
          </cell>
          <cell r="D175" t="str">
            <v>본소</v>
          </cell>
          <cell r="E175">
            <v>357764</v>
          </cell>
          <cell r="F175">
            <v>11</v>
          </cell>
        </row>
        <row r="176">
          <cell r="A176">
            <v>198200</v>
          </cell>
          <cell r="B176">
            <v>175</v>
          </cell>
          <cell r="C176" t="str">
            <v>제주양봉</v>
          </cell>
          <cell r="D176" t="str">
            <v>본소</v>
          </cell>
          <cell r="E176">
            <v>291319</v>
          </cell>
          <cell r="F176">
            <v>11</v>
          </cell>
        </row>
        <row r="177">
          <cell r="A177">
            <v>191204</v>
          </cell>
          <cell r="B177">
            <v>176</v>
          </cell>
          <cell r="C177" t="str">
            <v>남제주</v>
          </cell>
          <cell r="D177" t="str">
            <v>표선</v>
          </cell>
          <cell r="E177">
            <v>284979</v>
          </cell>
          <cell r="F177">
            <v>11</v>
          </cell>
        </row>
        <row r="178">
          <cell r="A178">
            <v>151501</v>
          </cell>
          <cell r="B178">
            <v>177</v>
          </cell>
          <cell r="C178" t="str">
            <v>순창</v>
          </cell>
          <cell r="D178" t="str">
            <v>동계</v>
          </cell>
          <cell r="E178">
            <v>283010</v>
          </cell>
          <cell r="F178">
            <v>11</v>
          </cell>
        </row>
        <row r="179">
          <cell r="A179">
            <v>171102</v>
          </cell>
          <cell r="B179">
            <v>178</v>
          </cell>
          <cell r="C179" t="str">
            <v>대구</v>
          </cell>
          <cell r="D179" t="str">
            <v>수성</v>
          </cell>
          <cell r="E179">
            <v>279886</v>
          </cell>
          <cell r="F179">
            <v>11</v>
          </cell>
        </row>
        <row r="180">
          <cell r="A180">
            <v>181600</v>
          </cell>
          <cell r="B180">
            <v>179</v>
          </cell>
          <cell r="C180" t="str">
            <v>밀양</v>
          </cell>
          <cell r="D180" t="str">
            <v>본소</v>
          </cell>
          <cell r="E180">
            <v>279698</v>
          </cell>
          <cell r="F180">
            <v>11</v>
          </cell>
        </row>
        <row r="181">
          <cell r="A181">
            <v>142402</v>
          </cell>
          <cell r="B181">
            <v>180</v>
          </cell>
          <cell r="C181" t="str">
            <v>아산</v>
          </cell>
          <cell r="D181" t="str">
            <v>둔포</v>
          </cell>
          <cell r="E181">
            <v>265042</v>
          </cell>
          <cell r="F181">
            <v>11</v>
          </cell>
        </row>
        <row r="182">
          <cell r="A182">
            <v>198101</v>
          </cell>
          <cell r="B182">
            <v>181</v>
          </cell>
          <cell r="C182" t="str">
            <v>제주양돈</v>
          </cell>
          <cell r="D182" t="str">
            <v>서사라</v>
          </cell>
          <cell r="E182">
            <v>262120</v>
          </cell>
          <cell r="F182">
            <v>11</v>
          </cell>
        </row>
        <row r="183">
          <cell r="A183">
            <v>172602</v>
          </cell>
          <cell r="B183">
            <v>182</v>
          </cell>
          <cell r="C183" t="str">
            <v>울진</v>
          </cell>
          <cell r="D183" t="str">
            <v>평해</v>
          </cell>
          <cell r="E183">
            <v>155014</v>
          </cell>
          <cell r="F183">
            <v>11</v>
          </cell>
        </row>
        <row r="184">
          <cell r="A184">
            <v>163101</v>
          </cell>
          <cell r="B184">
            <v>183</v>
          </cell>
          <cell r="C184" t="str">
            <v>진도견보육</v>
          </cell>
          <cell r="D184" t="str">
            <v>임회</v>
          </cell>
          <cell r="E184">
            <v>145008</v>
          </cell>
          <cell r="F184">
            <v>11</v>
          </cell>
        </row>
        <row r="185">
          <cell r="A185">
            <v>173201</v>
          </cell>
          <cell r="B185">
            <v>184</v>
          </cell>
          <cell r="C185" t="str">
            <v>청송</v>
          </cell>
          <cell r="D185" t="str">
            <v>진보</v>
          </cell>
          <cell r="E185">
            <v>136620</v>
          </cell>
          <cell r="F185">
            <v>11</v>
          </cell>
        </row>
        <row r="186">
          <cell r="A186">
            <v>171300</v>
          </cell>
          <cell r="B186">
            <v>185</v>
          </cell>
          <cell r="C186" t="str">
            <v>경주</v>
          </cell>
          <cell r="D186" t="str">
            <v>본소</v>
          </cell>
          <cell r="E186">
            <v>94723</v>
          </cell>
          <cell r="F186">
            <v>11</v>
          </cell>
        </row>
        <row r="187">
          <cell r="A187">
            <v>162301</v>
          </cell>
          <cell r="B187">
            <v>186</v>
          </cell>
          <cell r="C187" t="str">
            <v>영암</v>
          </cell>
          <cell r="D187" t="str">
            <v>시종</v>
          </cell>
          <cell r="E187">
            <v>34838</v>
          </cell>
          <cell r="F187">
            <v>11</v>
          </cell>
        </row>
        <row r="188">
          <cell r="A188">
            <v>188202</v>
          </cell>
          <cell r="B188">
            <v>187</v>
          </cell>
          <cell r="C188" t="str">
            <v>경남낙농</v>
          </cell>
          <cell r="D188" t="str">
            <v>수정</v>
          </cell>
          <cell r="E188">
            <v>-731166</v>
          </cell>
          <cell r="F188">
            <v>11</v>
          </cell>
        </row>
        <row r="189">
          <cell r="A189" t="str">
            <v>11월 계</v>
          </cell>
          <cell r="E189">
            <v>371679439</v>
          </cell>
        </row>
      </sheetData>
      <sheetData sheetId="2" refreshError="1">
        <row r="1">
          <cell r="A1" t="str">
            <v>CODE</v>
          </cell>
          <cell r="B1" t="str">
            <v>No.</v>
          </cell>
          <cell r="C1" t="str">
            <v>조합명</v>
          </cell>
          <cell r="D1" t="str">
            <v>판매장명</v>
          </cell>
          <cell r="E1" t="str">
            <v>매출액</v>
          </cell>
          <cell r="F1" t="str">
            <v>월</v>
          </cell>
        </row>
        <row r="2">
          <cell r="A2">
            <v>121900</v>
          </cell>
          <cell r="B2">
            <v>1</v>
          </cell>
          <cell r="C2" t="str">
            <v>평창</v>
          </cell>
          <cell r="D2" t="str">
            <v>본소</v>
          </cell>
          <cell r="E2">
            <v>8614819</v>
          </cell>
          <cell r="F2">
            <v>11</v>
          </cell>
        </row>
        <row r="3">
          <cell r="A3">
            <v>128401</v>
          </cell>
          <cell r="B3">
            <v>2</v>
          </cell>
          <cell r="C3" t="str">
            <v>영동양돈</v>
          </cell>
          <cell r="D3" t="str">
            <v>주문진</v>
          </cell>
          <cell r="E3">
            <v>7332813</v>
          </cell>
          <cell r="F3">
            <v>11</v>
          </cell>
        </row>
        <row r="4">
          <cell r="A4">
            <v>168303</v>
          </cell>
          <cell r="B4">
            <v>3</v>
          </cell>
          <cell r="C4" t="str">
            <v>광전양계</v>
          </cell>
          <cell r="D4" t="str">
            <v>하당</v>
          </cell>
          <cell r="E4">
            <v>7219933</v>
          </cell>
          <cell r="F4">
            <v>11</v>
          </cell>
        </row>
        <row r="5">
          <cell r="A5">
            <v>182400</v>
          </cell>
          <cell r="B5">
            <v>4</v>
          </cell>
          <cell r="C5" t="str">
            <v>함안</v>
          </cell>
          <cell r="D5" t="str">
            <v>본소</v>
          </cell>
          <cell r="E5">
            <v>6373607</v>
          </cell>
          <cell r="F5">
            <v>11</v>
          </cell>
        </row>
        <row r="6">
          <cell r="A6">
            <v>148602</v>
          </cell>
          <cell r="B6">
            <v>5</v>
          </cell>
          <cell r="C6" t="str">
            <v>천안낙농</v>
          </cell>
          <cell r="D6" t="str">
            <v>쌍용</v>
          </cell>
          <cell r="E6">
            <v>5312951</v>
          </cell>
          <cell r="F6">
            <v>11</v>
          </cell>
        </row>
        <row r="7">
          <cell r="A7">
            <v>128403</v>
          </cell>
          <cell r="B7">
            <v>6</v>
          </cell>
          <cell r="C7" t="str">
            <v>영동양돈</v>
          </cell>
          <cell r="D7" t="str">
            <v>성덕</v>
          </cell>
          <cell r="E7">
            <v>5147969</v>
          </cell>
          <cell r="F7">
            <v>11</v>
          </cell>
        </row>
        <row r="8">
          <cell r="A8">
            <v>181301</v>
          </cell>
          <cell r="B8">
            <v>7</v>
          </cell>
          <cell r="C8" t="str">
            <v>진주</v>
          </cell>
          <cell r="D8" t="str">
            <v>평거</v>
          </cell>
          <cell r="E8">
            <v>4916677</v>
          </cell>
          <cell r="F8">
            <v>11</v>
          </cell>
        </row>
        <row r="9">
          <cell r="A9">
            <v>128402</v>
          </cell>
          <cell r="B9">
            <v>8</v>
          </cell>
          <cell r="C9" t="str">
            <v>영동양돈</v>
          </cell>
          <cell r="D9" t="str">
            <v>송정</v>
          </cell>
          <cell r="E9">
            <v>4738678</v>
          </cell>
          <cell r="F9">
            <v>11</v>
          </cell>
        </row>
        <row r="10">
          <cell r="A10">
            <v>152002</v>
          </cell>
          <cell r="B10">
            <v>9</v>
          </cell>
          <cell r="C10" t="str">
            <v>익산</v>
          </cell>
          <cell r="D10" t="str">
            <v>공단</v>
          </cell>
          <cell r="E10">
            <v>4317189</v>
          </cell>
          <cell r="F10">
            <v>11</v>
          </cell>
        </row>
        <row r="11">
          <cell r="A11">
            <v>101103</v>
          </cell>
          <cell r="B11">
            <v>10</v>
          </cell>
          <cell r="C11" t="str">
            <v>서울</v>
          </cell>
          <cell r="D11" t="str">
            <v>잠실</v>
          </cell>
          <cell r="E11">
            <v>4135508</v>
          </cell>
          <cell r="F11">
            <v>11</v>
          </cell>
        </row>
        <row r="12">
          <cell r="A12">
            <v>182501</v>
          </cell>
          <cell r="B12">
            <v>11</v>
          </cell>
          <cell r="C12" t="str">
            <v>남해</v>
          </cell>
          <cell r="D12" t="str">
            <v>본소</v>
          </cell>
          <cell r="E12">
            <v>3942954</v>
          </cell>
          <cell r="F12">
            <v>11</v>
          </cell>
        </row>
        <row r="13">
          <cell r="A13">
            <v>182900</v>
          </cell>
          <cell r="B13">
            <v>12</v>
          </cell>
          <cell r="C13" t="str">
            <v>사천</v>
          </cell>
          <cell r="D13" t="str">
            <v>본소</v>
          </cell>
          <cell r="E13">
            <v>3620849</v>
          </cell>
          <cell r="F13">
            <v>11</v>
          </cell>
        </row>
        <row r="14">
          <cell r="A14">
            <v>171303</v>
          </cell>
          <cell r="B14">
            <v>13</v>
          </cell>
          <cell r="C14" t="str">
            <v>경주</v>
          </cell>
          <cell r="D14" t="str">
            <v>성동</v>
          </cell>
          <cell r="E14">
            <v>3550077</v>
          </cell>
          <cell r="F14">
            <v>11</v>
          </cell>
        </row>
        <row r="15">
          <cell r="A15">
            <v>161903</v>
          </cell>
          <cell r="B15">
            <v>14</v>
          </cell>
          <cell r="C15" t="str">
            <v>목포</v>
          </cell>
          <cell r="D15" t="str">
            <v>남교</v>
          </cell>
          <cell r="E15">
            <v>3325498</v>
          </cell>
          <cell r="F15">
            <v>11</v>
          </cell>
        </row>
        <row r="16">
          <cell r="A16">
            <v>158100</v>
          </cell>
          <cell r="B16">
            <v>15</v>
          </cell>
          <cell r="C16" t="str">
            <v>전북양계</v>
          </cell>
          <cell r="D16" t="str">
            <v>본소</v>
          </cell>
          <cell r="E16">
            <v>3231663</v>
          </cell>
          <cell r="F16">
            <v>11</v>
          </cell>
        </row>
        <row r="17">
          <cell r="A17">
            <v>122102</v>
          </cell>
          <cell r="B17">
            <v>16</v>
          </cell>
          <cell r="C17" t="str">
            <v>동해</v>
          </cell>
          <cell r="D17" t="str">
            <v>묵호</v>
          </cell>
          <cell r="E17">
            <v>3227715</v>
          </cell>
          <cell r="F17">
            <v>11</v>
          </cell>
        </row>
        <row r="18">
          <cell r="A18">
            <v>162302</v>
          </cell>
          <cell r="B18">
            <v>17</v>
          </cell>
          <cell r="C18" t="str">
            <v>영암</v>
          </cell>
          <cell r="D18" t="str">
            <v>한라</v>
          </cell>
          <cell r="E18">
            <v>3148873</v>
          </cell>
          <cell r="F18">
            <v>11</v>
          </cell>
        </row>
        <row r="19">
          <cell r="A19">
            <v>111801</v>
          </cell>
          <cell r="B19">
            <v>18</v>
          </cell>
          <cell r="C19" t="str">
            <v>가평</v>
          </cell>
          <cell r="D19" t="str">
            <v>청평</v>
          </cell>
          <cell r="E19">
            <v>3139019</v>
          </cell>
          <cell r="F19">
            <v>11</v>
          </cell>
        </row>
        <row r="20">
          <cell r="A20">
            <v>161202</v>
          </cell>
          <cell r="B20">
            <v>19</v>
          </cell>
          <cell r="C20" t="str">
            <v>담양</v>
          </cell>
          <cell r="D20" t="str">
            <v>제2판</v>
          </cell>
          <cell r="E20">
            <v>3072613</v>
          </cell>
          <cell r="F20">
            <v>11</v>
          </cell>
        </row>
        <row r="21">
          <cell r="A21">
            <v>161401</v>
          </cell>
          <cell r="B21">
            <v>20</v>
          </cell>
          <cell r="C21" t="str">
            <v>순천</v>
          </cell>
          <cell r="D21" t="str">
            <v>종합</v>
          </cell>
          <cell r="E21">
            <v>3057865</v>
          </cell>
          <cell r="F21">
            <v>11</v>
          </cell>
        </row>
        <row r="22">
          <cell r="A22">
            <v>122101</v>
          </cell>
          <cell r="B22">
            <v>21</v>
          </cell>
          <cell r="C22" t="str">
            <v>동해</v>
          </cell>
          <cell r="D22" t="str">
            <v>천곡</v>
          </cell>
          <cell r="E22">
            <v>2786911</v>
          </cell>
          <cell r="F22">
            <v>11</v>
          </cell>
        </row>
        <row r="23">
          <cell r="A23">
            <v>152300</v>
          </cell>
          <cell r="B23">
            <v>22</v>
          </cell>
          <cell r="C23" t="str">
            <v>부안</v>
          </cell>
          <cell r="D23" t="str">
            <v>본소</v>
          </cell>
          <cell r="E23">
            <v>2726969</v>
          </cell>
          <cell r="F23">
            <v>11</v>
          </cell>
        </row>
        <row r="24">
          <cell r="A24">
            <v>151901</v>
          </cell>
          <cell r="B24">
            <v>23</v>
          </cell>
          <cell r="C24" t="str">
            <v>김제</v>
          </cell>
          <cell r="D24" t="str">
            <v>금만</v>
          </cell>
          <cell r="E24">
            <v>2724025</v>
          </cell>
          <cell r="F24">
            <v>11</v>
          </cell>
        </row>
        <row r="25">
          <cell r="A25">
            <v>151403</v>
          </cell>
          <cell r="B25">
            <v>24</v>
          </cell>
          <cell r="C25" t="str">
            <v>남원</v>
          </cell>
          <cell r="D25" t="str">
            <v>요천</v>
          </cell>
          <cell r="E25">
            <v>2701162</v>
          </cell>
          <cell r="F25">
            <v>11</v>
          </cell>
        </row>
        <row r="26">
          <cell r="A26">
            <v>112000</v>
          </cell>
          <cell r="B26">
            <v>25</v>
          </cell>
          <cell r="C26" t="str">
            <v>이천</v>
          </cell>
          <cell r="D26" t="str">
            <v>본소</v>
          </cell>
          <cell r="E26">
            <v>2618147</v>
          </cell>
          <cell r="F26">
            <v>11</v>
          </cell>
        </row>
        <row r="27">
          <cell r="A27">
            <v>188200</v>
          </cell>
          <cell r="B27">
            <v>26</v>
          </cell>
          <cell r="C27" t="str">
            <v>경남낙농</v>
          </cell>
          <cell r="D27" t="str">
            <v>본소</v>
          </cell>
          <cell r="E27">
            <v>2426145</v>
          </cell>
          <cell r="F27">
            <v>11</v>
          </cell>
        </row>
        <row r="28">
          <cell r="A28">
            <v>142500</v>
          </cell>
          <cell r="B28">
            <v>27</v>
          </cell>
          <cell r="C28" t="str">
            <v>천안낙농</v>
          </cell>
          <cell r="D28" t="str">
            <v>본소</v>
          </cell>
          <cell r="E28">
            <v>2426070</v>
          </cell>
          <cell r="F28">
            <v>11</v>
          </cell>
        </row>
        <row r="29">
          <cell r="A29">
            <v>158501</v>
          </cell>
          <cell r="B29">
            <v>28</v>
          </cell>
          <cell r="C29" t="str">
            <v>동진강낙농</v>
          </cell>
          <cell r="D29" t="str">
            <v>군산</v>
          </cell>
          <cell r="E29">
            <v>2383521</v>
          </cell>
          <cell r="F29">
            <v>11</v>
          </cell>
        </row>
        <row r="30">
          <cell r="A30">
            <v>161304</v>
          </cell>
          <cell r="B30">
            <v>29</v>
          </cell>
          <cell r="C30" t="str">
            <v>여수여천</v>
          </cell>
          <cell r="D30" t="str">
            <v>서강</v>
          </cell>
          <cell r="E30">
            <v>2372658</v>
          </cell>
          <cell r="F30">
            <v>11</v>
          </cell>
        </row>
        <row r="31">
          <cell r="A31">
            <v>128400</v>
          </cell>
          <cell r="B31">
            <v>30</v>
          </cell>
          <cell r="C31" t="str">
            <v>영동양돈</v>
          </cell>
          <cell r="D31" t="str">
            <v>본소</v>
          </cell>
          <cell r="E31">
            <v>2360603</v>
          </cell>
          <cell r="F31">
            <v>11</v>
          </cell>
        </row>
        <row r="32">
          <cell r="A32">
            <v>181902</v>
          </cell>
          <cell r="B32">
            <v>31</v>
          </cell>
          <cell r="C32" t="str">
            <v>마산</v>
          </cell>
          <cell r="D32" t="str">
            <v>동마산</v>
          </cell>
          <cell r="E32">
            <v>2256879</v>
          </cell>
          <cell r="F32">
            <v>11</v>
          </cell>
        </row>
        <row r="33">
          <cell r="A33">
            <v>182200</v>
          </cell>
          <cell r="B33">
            <v>32</v>
          </cell>
          <cell r="C33" t="str">
            <v>거제</v>
          </cell>
          <cell r="D33" t="str">
            <v>본소</v>
          </cell>
          <cell r="E33">
            <v>2165902</v>
          </cell>
          <cell r="F33">
            <v>11</v>
          </cell>
        </row>
        <row r="34">
          <cell r="A34">
            <v>121600</v>
          </cell>
          <cell r="B34">
            <v>33</v>
          </cell>
          <cell r="C34" t="str">
            <v>태백</v>
          </cell>
          <cell r="D34" t="str">
            <v>본소</v>
          </cell>
          <cell r="E34">
            <v>2156184</v>
          </cell>
          <cell r="F34">
            <v>11</v>
          </cell>
        </row>
        <row r="35">
          <cell r="A35">
            <v>131101</v>
          </cell>
          <cell r="B35">
            <v>34</v>
          </cell>
          <cell r="C35" t="str">
            <v>청주</v>
          </cell>
          <cell r="D35" t="str">
            <v>사창</v>
          </cell>
          <cell r="E35">
            <v>2086999</v>
          </cell>
          <cell r="F35">
            <v>11</v>
          </cell>
        </row>
        <row r="36">
          <cell r="A36">
            <v>122103</v>
          </cell>
          <cell r="B36">
            <v>35</v>
          </cell>
          <cell r="C36" t="str">
            <v>동해</v>
          </cell>
          <cell r="D36" t="str">
            <v>북삼</v>
          </cell>
          <cell r="E36">
            <v>2028118</v>
          </cell>
          <cell r="F36">
            <v>11</v>
          </cell>
        </row>
        <row r="37">
          <cell r="A37">
            <v>151301</v>
          </cell>
          <cell r="B37">
            <v>36</v>
          </cell>
          <cell r="C37" t="str">
            <v>정읍</v>
          </cell>
          <cell r="D37" t="str">
            <v>시기</v>
          </cell>
          <cell r="E37">
            <v>1995434</v>
          </cell>
          <cell r="F37">
            <v>11</v>
          </cell>
        </row>
        <row r="38">
          <cell r="A38">
            <v>151102</v>
          </cell>
          <cell r="B38">
            <v>37</v>
          </cell>
          <cell r="C38" t="str">
            <v>전주</v>
          </cell>
          <cell r="D38" t="str">
            <v>서부</v>
          </cell>
          <cell r="E38">
            <v>1955828</v>
          </cell>
          <cell r="F38">
            <v>11</v>
          </cell>
        </row>
        <row r="39">
          <cell r="A39">
            <v>171100</v>
          </cell>
          <cell r="B39">
            <v>38</v>
          </cell>
          <cell r="C39" t="str">
            <v>대구</v>
          </cell>
          <cell r="D39" t="str">
            <v>본소</v>
          </cell>
          <cell r="E39">
            <v>1896292</v>
          </cell>
          <cell r="F39">
            <v>11</v>
          </cell>
        </row>
        <row r="40">
          <cell r="A40">
            <v>121901</v>
          </cell>
          <cell r="B40">
            <v>39</v>
          </cell>
          <cell r="C40" t="str">
            <v>평창</v>
          </cell>
          <cell r="D40" t="str">
            <v>대화</v>
          </cell>
          <cell r="E40">
            <v>1873723</v>
          </cell>
          <cell r="F40">
            <v>11</v>
          </cell>
        </row>
        <row r="41">
          <cell r="A41">
            <v>161901</v>
          </cell>
          <cell r="B41">
            <v>40</v>
          </cell>
          <cell r="C41" t="str">
            <v>목포</v>
          </cell>
          <cell r="D41" t="str">
            <v>용해</v>
          </cell>
          <cell r="E41">
            <v>1872767</v>
          </cell>
          <cell r="F41">
            <v>11</v>
          </cell>
        </row>
        <row r="42">
          <cell r="A42">
            <v>131700</v>
          </cell>
          <cell r="B42">
            <v>41</v>
          </cell>
          <cell r="C42" t="str">
            <v>진천</v>
          </cell>
          <cell r="D42" t="str">
            <v>본소</v>
          </cell>
          <cell r="E42">
            <v>1862125</v>
          </cell>
          <cell r="F42">
            <v>11</v>
          </cell>
        </row>
        <row r="43">
          <cell r="A43">
            <v>171108</v>
          </cell>
          <cell r="B43">
            <v>42</v>
          </cell>
          <cell r="C43" t="str">
            <v>대구</v>
          </cell>
          <cell r="D43" t="str">
            <v>지산</v>
          </cell>
          <cell r="E43">
            <v>1793884</v>
          </cell>
          <cell r="F43">
            <v>11</v>
          </cell>
        </row>
        <row r="44">
          <cell r="A44">
            <v>181100</v>
          </cell>
          <cell r="B44">
            <v>43</v>
          </cell>
          <cell r="C44" t="str">
            <v>창녕</v>
          </cell>
          <cell r="D44" t="str">
            <v>본소</v>
          </cell>
          <cell r="E44">
            <v>1789994</v>
          </cell>
          <cell r="F44">
            <v>11</v>
          </cell>
        </row>
        <row r="45">
          <cell r="A45">
            <v>161801</v>
          </cell>
          <cell r="B45">
            <v>44</v>
          </cell>
          <cell r="C45" t="str">
            <v>강진</v>
          </cell>
          <cell r="D45" t="str">
            <v>남성</v>
          </cell>
          <cell r="E45">
            <v>1764131</v>
          </cell>
          <cell r="F45">
            <v>11</v>
          </cell>
        </row>
        <row r="46">
          <cell r="A46">
            <v>158400</v>
          </cell>
          <cell r="B46">
            <v>45</v>
          </cell>
          <cell r="C46" t="str">
            <v>전북양봉</v>
          </cell>
          <cell r="D46" t="str">
            <v>본소</v>
          </cell>
          <cell r="E46">
            <v>1754100</v>
          </cell>
          <cell r="F46">
            <v>11</v>
          </cell>
        </row>
        <row r="47">
          <cell r="A47">
            <v>188208</v>
          </cell>
          <cell r="B47">
            <v>46</v>
          </cell>
          <cell r="C47" t="str">
            <v>경남낙농</v>
          </cell>
          <cell r="D47" t="str">
            <v>상봉</v>
          </cell>
          <cell r="E47">
            <v>1726591</v>
          </cell>
          <cell r="F47">
            <v>11</v>
          </cell>
        </row>
        <row r="48">
          <cell r="A48">
            <v>178401</v>
          </cell>
          <cell r="B48">
            <v>47</v>
          </cell>
          <cell r="C48" t="str">
            <v>경북중앙낙농</v>
          </cell>
          <cell r="D48" t="str">
            <v>정평</v>
          </cell>
          <cell r="E48">
            <v>1700691</v>
          </cell>
          <cell r="F48">
            <v>11</v>
          </cell>
        </row>
        <row r="49">
          <cell r="A49">
            <v>173300</v>
          </cell>
          <cell r="B49">
            <v>48</v>
          </cell>
          <cell r="C49" t="str">
            <v>영덕</v>
          </cell>
          <cell r="D49" t="str">
            <v>본소</v>
          </cell>
          <cell r="E49">
            <v>1645013</v>
          </cell>
          <cell r="F49">
            <v>11</v>
          </cell>
        </row>
        <row r="50">
          <cell r="A50">
            <v>158200</v>
          </cell>
          <cell r="B50">
            <v>49</v>
          </cell>
          <cell r="C50" t="str">
            <v>전북양돈</v>
          </cell>
          <cell r="D50" t="str">
            <v>본소</v>
          </cell>
          <cell r="E50">
            <v>1635690</v>
          </cell>
          <cell r="F50">
            <v>11</v>
          </cell>
        </row>
        <row r="51">
          <cell r="A51">
            <v>121400</v>
          </cell>
          <cell r="B51">
            <v>50</v>
          </cell>
          <cell r="C51" t="str">
            <v>강릉</v>
          </cell>
          <cell r="D51" t="str">
            <v>본소</v>
          </cell>
          <cell r="E51">
            <v>1608159</v>
          </cell>
          <cell r="F51">
            <v>11</v>
          </cell>
        </row>
        <row r="52">
          <cell r="A52">
            <v>152103</v>
          </cell>
          <cell r="B52">
            <v>51</v>
          </cell>
          <cell r="C52" t="str">
            <v>군산</v>
          </cell>
          <cell r="D52" t="str">
            <v>삼학</v>
          </cell>
          <cell r="E52">
            <v>1555446</v>
          </cell>
          <cell r="F52">
            <v>11</v>
          </cell>
        </row>
        <row r="53">
          <cell r="A53">
            <v>121800</v>
          </cell>
          <cell r="B53">
            <v>52</v>
          </cell>
          <cell r="C53" t="str">
            <v>삼척</v>
          </cell>
          <cell r="D53" t="str">
            <v>본소</v>
          </cell>
          <cell r="E53">
            <v>1549651</v>
          </cell>
          <cell r="F53">
            <v>11</v>
          </cell>
        </row>
        <row r="54">
          <cell r="A54">
            <v>142001</v>
          </cell>
          <cell r="B54">
            <v>53</v>
          </cell>
          <cell r="C54" t="str">
            <v>홍성</v>
          </cell>
          <cell r="D54" t="str">
            <v>광천</v>
          </cell>
          <cell r="E54">
            <v>1543438</v>
          </cell>
          <cell r="F54">
            <v>11</v>
          </cell>
        </row>
        <row r="55">
          <cell r="A55">
            <v>162501</v>
          </cell>
          <cell r="B55">
            <v>54</v>
          </cell>
          <cell r="C55" t="str">
            <v>광양</v>
          </cell>
          <cell r="D55" t="str">
            <v>인덕</v>
          </cell>
          <cell r="E55">
            <v>1499998</v>
          </cell>
          <cell r="F55">
            <v>11</v>
          </cell>
        </row>
        <row r="56">
          <cell r="A56">
            <v>108100</v>
          </cell>
          <cell r="B56">
            <v>55</v>
          </cell>
          <cell r="C56" t="str">
            <v>서울경기양계</v>
          </cell>
          <cell r="D56" t="str">
            <v>본소</v>
          </cell>
          <cell r="E56">
            <v>1474063</v>
          </cell>
          <cell r="F56">
            <v>11</v>
          </cell>
        </row>
        <row r="57">
          <cell r="A57">
            <v>168100</v>
          </cell>
          <cell r="B57">
            <v>56</v>
          </cell>
          <cell r="C57" t="str">
            <v>광전우유</v>
          </cell>
          <cell r="D57" t="str">
            <v>본소</v>
          </cell>
          <cell r="E57">
            <v>1446808</v>
          </cell>
          <cell r="F57">
            <v>11</v>
          </cell>
        </row>
        <row r="58">
          <cell r="A58">
            <v>161107</v>
          </cell>
          <cell r="B58">
            <v>57</v>
          </cell>
          <cell r="C58" t="str">
            <v>광주</v>
          </cell>
          <cell r="D58" t="str">
            <v>오치</v>
          </cell>
          <cell r="E58">
            <v>1430610</v>
          </cell>
          <cell r="F58">
            <v>11</v>
          </cell>
        </row>
        <row r="59">
          <cell r="A59">
            <v>171107</v>
          </cell>
          <cell r="B59">
            <v>58</v>
          </cell>
          <cell r="C59" t="str">
            <v>대구</v>
          </cell>
          <cell r="D59" t="str">
            <v>명동로</v>
          </cell>
          <cell r="E59">
            <v>1428515</v>
          </cell>
          <cell r="F59">
            <v>11</v>
          </cell>
        </row>
        <row r="60">
          <cell r="A60">
            <v>100084</v>
          </cell>
          <cell r="B60">
            <v>59</v>
          </cell>
          <cell r="C60" t="str">
            <v>축산유통</v>
          </cell>
          <cell r="D60" t="str">
            <v>광주</v>
          </cell>
          <cell r="E60">
            <v>1428448</v>
          </cell>
          <cell r="F60">
            <v>11</v>
          </cell>
        </row>
        <row r="61">
          <cell r="A61">
            <v>131301</v>
          </cell>
          <cell r="B61">
            <v>60</v>
          </cell>
          <cell r="C61" t="str">
            <v>영동양돈</v>
          </cell>
          <cell r="D61" t="str">
            <v>황간</v>
          </cell>
          <cell r="E61">
            <v>1422769</v>
          </cell>
          <cell r="F61">
            <v>11</v>
          </cell>
        </row>
        <row r="62">
          <cell r="A62">
            <v>151400</v>
          </cell>
          <cell r="B62">
            <v>61</v>
          </cell>
          <cell r="C62" t="str">
            <v>남원</v>
          </cell>
          <cell r="D62" t="str">
            <v>본소</v>
          </cell>
          <cell r="E62">
            <v>1414594</v>
          </cell>
          <cell r="F62">
            <v>11</v>
          </cell>
        </row>
        <row r="63">
          <cell r="A63">
            <v>171102</v>
          </cell>
          <cell r="B63">
            <v>62</v>
          </cell>
          <cell r="C63" t="str">
            <v>대구</v>
          </cell>
          <cell r="D63" t="str">
            <v>수성</v>
          </cell>
          <cell r="E63">
            <v>1339784</v>
          </cell>
          <cell r="F63">
            <v>11</v>
          </cell>
        </row>
        <row r="64">
          <cell r="A64">
            <v>142501</v>
          </cell>
          <cell r="B64">
            <v>63</v>
          </cell>
          <cell r="C64" t="str">
            <v>천안낙농</v>
          </cell>
          <cell r="D64" t="str">
            <v>삼거리</v>
          </cell>
          <cell r="E64">
            <v>1332538</v>
          </cell>
          <cell r="F64">
            <v>11</v>
          </cell>
        </row>
        <row r="65">
          <cell r="A65">
            <v>131501</v>
          </cell>
          <cell r="B65">
            <v>64</v>
          </cell>
          <cell r="C65" t="str">
            <v>괴산</v>
          </cell>
          <cell r="D65" t="str">
            <v>증평</v>
          </cell>
          <cell r="E65">
            <v>1274154</v>
          </cell>
          <cell r="F65">
            <v>11</v>
          </cell>
        </row>
        <row r="66">
          <cell r="A66">
            <v>181201</v>
          </cell>
          <cell r="B66">
            <v>65</v>
          </cell>
          <cell r="C66" t="str">
            <v>거창</v>
          </cell>
          <cell r="D66" t="str">
            <v>종합</v>
          </cell>
          <cell r="E66">
            <v>1239633</v>
          </cell>
          <cell r="F66">
            <v>11</v>
          </cell>
        </row>
        <row r="67">
          <cell r="A67">
            <v>161402</v>
          </cell>
          <cell r="B67">
            <v>66</v>
          </cell>
          <cell r="C67" t="str">
            <v>순천</v>
          </cell>
          <cell r="D67" t="str">
            <v>남순천</v>
          </cell>
          <cell r="E67">
            <v>1234161</v>
          </cell>
          <cell r="F67">
            <v>11</v>
          </cell>
        </row>
        <row r="68">
          <cell r="A68">
            <v>161105</v>
          </cell>
          <cell r="B68">
            <v>67</v>
          </cell>
          <cell r="C68" t="str">
            <v>광주</v>
          </cell>
          <cell r="D68" t="str">
            <v>장동</v>
          </cell>
          <cell r="E68">
            <v>1198227</v>
          </cell>
          <cell r="F68">
            <v>11</v>
          </cell>
        </row>
        <row r="69">
          <cell r="A69">
            <v>152101</v>
          </cell>
          <cell r="B69">
            <v>68</v>
          </cell>
          <cell r="C69" t="str">
            <v>군산</v>
          </cell>
          <cell r="D69" t="str">
            <v>신영</v>
          </cell>
          <cell r="E69">
            <v>1149244</v>
          </cell>
          <cell r="F69">
            <v>11</v>
          </cell>
        </row>
        <row r="70">
          <cell r="A70">
            <v>121300</v>
          </cell>
          <cell r="B70">
            <v>69</v>
          </cell>
          <cell r="C70" t="str">
            <v>화천</v>
          </cell>
          <cell r="D70" t="str">
            <v>본소</v>
          </cell>
          <cell r="E70">
            <v>1136154</v>
          </cell>
          <cell r="F70">
            <v>11</v>
          </cell>
        </row>
        <row r="71">
          <cell r="A71">
            <v>148401</v>
          </cell>
          <cell r="B71">
            <v>70</v>
          </cell>
          <cell r="C71" t="str">
            <v>대중충남우</v>
          </cell>
          <cell r="D71" t="str">
            <v>한밭</v>
          </cell>
          <cell r="E71">
            <v>1085832</v>
          </cell>
          <cell r="F71">
            <v>11</v>
          </cell>
        </row>
        <row r="72">
          <cell r="A72">
            <v>161108</v>
          </cell>
          <cell r="B72">
            <v>71</v>
          </cell>
          <cell r="C72" t="str">
            <v>광주</v>
          </cell>
          <cell r="D72" t="str">
            <v>도산</v>
          </cell>
          <cell r="E72">
            <v>1072611</v>
          </cell>
          <cell r="F72">
            <v>11</v>
          </cell>
        </row>
        <row r="73">
          <cell r="A73">
            <v>111604</v>
          </cell>
          <cell r="B73">
            <v>72</v>
          </cell>
          <cell r="C73" t="str">
            <v>경기광주</v>
          </cell>
          <cell r="D73" t="str">
            <v>분당</v>
          </cell>
          <cell r="E73">
            <v>1039036</v>
          </cell>
          <cell r="F73">
            <v>11</v>
          </cell>
        </row>
        <row r="74">
          <cell r="A74">
            <v>162600</v>
          </cell>
          <cell r="B74">
            <v>73</v>
          </cell>
          <cell r="C74" t="str">
            <v>보성</v>
          </cell>
          <cell r="D74" t="str">
            <v>본소</v>
          </cell>
          <cell r="E74">
            <v>1038331</v>
          </cell>
          <cell r="F74">
            <v>11</v>
          </cell>
        </row>
        <row r="75">
          <cell r="A75">
            <v>178200</v>
          </cell>
          <cell r="B75">
            <v>74</v>
          </cell>
          <cell r="C75" t="str">
            <v>대구경북양계</v>
          </cell>
          <cell r="D75" t="str">
            <v>본소</v>
          </cell>
          <cell r="E75">
            <v>1020250</v>
          </cell>
          <cell r="F75">
            <v>11</v>
          </cell>
        </row>
        <row r="76">
          <cell r="A76">
            <v>161104</v>
          </cell>
          <cell r="B76">
            <v>75</v>
          </cell>
          <cell r="C76" t="str">
            <v>광주</v>
          </cell>
          <cell r="D76" t="str">
            <v>광산</v>
          </cell>
          <cell r="E76">
            <v>996239</v>
          </cell>
          <cell r="F76">
            <v>11</v>
          </cell>
        </row>
        <row r="77">
          <cell r="A77">
            <v>171105</v>
          </cell>
          <cell r="B77">
            <v>76</v>
          </cell>
          <cell r="C77" t="str">
            <v>대구</v>
          </cell>
          <cell r="D77" t="str">
            <v>송현</v>
          </cell>
          <cell r="E77">
            <v>983127</v>
          </cell>
          <cell r="F77">
            <v>11</v>
          </cell>
        </row>
        <row r="78">
          <cell r="A78">
            <v>162100</v>
          </cell>
          <cell r="B78">
            <v>77</v>
          </cell>
          <cell r="C78" t="str">
            <v>영광</v>
          </cell>
          <cell r="D78" t="str">
            <v>본소</v>
          </cell>
          <cell r="E78">
            <v>979998</v>
          </cell>
          <cell r="F78">
            <v>11</v>
          </cell>
        </row>
        <row r="79">
          <cell r="A79">
            <v>162700</v>
          </cell>
          <cell r="B79">
            <v>78</v>
          </cell>
          <cell r="C79" t="str">
            <v>함평</v>
          </cell>
          <cell r="D79" t="str">
            <v>본소</v>
          </cell>
          <cell r="E79">
            <v>974986</v>
          </cell>
          <cell r="F79">
            <v>11</v>
          </cell>
        </row>
        <row r="80">
          <cell r="A80">
            <v>182201</v>
          </cell>
          <cell r="B80">
            <v>79</v>
          </cell>
          <cell r="C80" t="str">
            <v>거제</v>
          </cell>
          <cell r="D80" t="str">
            <v>옥포</v>
          </cell>
          <cell r="E80">
            <v>967835</v>
          </cell>
          <cell r="F80">
            <v>11</v>
          </cell>
        </row>
        <row r="81">
          <cell r="A81">
            <v>121802</v>
          </cell>
          <cell r="B81">
            <v>80</v>
          </cell>
          <cell r="C81" t="str">
            <v>삼척</v>
          </cell>
          <cell r="D81" t="str">
            <v>근덕</v>
          </cell>
          <cell r="E81">
            <v>962087</v>
          </cell>
          <cell r="F81">
            <v>11</v>
          </cell>
        </row>
        <row r="82">
          <cell r="A82">
            <v>121102</v>
          </cell>
          <cell r="B82">
            <v>81</v>
          </cell>
          <cell r="C82" t="str">
            <v>춘천</v>
          </cell>
          <cell r="D82" t="str">
            <v>공단</v>
          </cell>
          <cell r="E82">
            <v>918667</v>
          </cell>
          <cell r="F82">
            <v>11</v>
          </cell>
        </row>
        <row r="83">
          <cell r="A83">
            <v>168101</v>
          </cell>
          <cell r="B83">
            <v>82</v>
          </cell>
          <cell r="C83" t="str">
            <v>광전우유</v>
          </cell>
          <cell r="D83" t="str">
            <v>두암</v>
          </cell>
          <cell r="E83">
            <v>859182</v>
          </cell>
          <cell r="F83">
            <v>11</v>
          </cell>
        </row>
        <row r="84">
          <cell r="A84">
            <v>151302</v>
          </cell>
          <cell r="B84">
            <v>83</v>
          </cell>
          <cell r="C84" t="str">
            <v>정읍</v>
          </cell>
          <cell r="D84" t="str">
            <v>상동</v>
          </cell>
          <cell r="E84">
            <v>845471</v>
          </cell>
          <cell r="F84">
            <v>11</v>
          </cell>
        </row>
        <row r="85">
          <cell r="A85">
            <v>151402</v>
          </cell>
          <cell r="B85">
            <v>84</v>
          </cell>
          <cell r="C85" t="str">
            <v>남원</v>
          </cell>
          <cell r="D85" t="str">
            <v>향교</v>
          </cell>
          <cell r="E85">
            <v>826551</v>
          </cell>
          <cell r="F85">
            <v>11</v>
          </cell>
        </row>
        <row r="86">
          <cell r="A86">
            <v>171502</v>
          </cell>
          <cell r="B86">
            <v>85</v>
          </cell>
          <cell r="C86" t="str">
            <v>안동</v>
          </cell>
          <cell r="D86" t="str">
            <v>송현</v>
          </cell>
          <cell r="E86">
            <v>824681</v>
          </cell>
          <cell r="F86">
            <v>11</v>
          </cell>
        </row>
        <row r="87">
          <cell r="A87">
            <v>162300</v>
          </cell>
          <cell r="B87">
            <v>86</v>
          </cell>
          <cell r="C87" t="str">
            <v>영암</v>
          </cell>
          <cell r="D87" t="str">
            <v>본소</v>
          </cell>
          <cell r="E87">
            <v>819551</v>
          </cell>
          <cell r="F87">
            <v>11</v>
          </cell>
        </row>
        <row r="88">
          <cell r="A88">
            <v>168400</v>
          </cell>
          <cell r="B88">
            <v>87</v>
          </cell>
          <cell r="C88" t="str">
            <v>진도견보육</v>
          </cell>
          <cell r="D88" t="str">
            <v>본소</v>
          </cell>
          <cell r="E88">
            <v>809289</v>
          </cell>
          <cell r="F88">
            <v>11</v>
          </cell>
        </row>
        <row r="89">
          <cell r="A89">
            <v>182202</v>
          </cell>
          <cell r="B89">
            <v>88</v>
          </cell>
          <cell r="C89" t="str">
            <v>거제</v>
          </cell>
          <cell r="D89" t="str">
            <v>거제</v>
          </cell>
          <cell r="E89">
            <v>807980</v>
          </cell>
          <cell r="F89">
            <v>11</v>
          </cell>
        </row>
        <row r="90">
          <cell r="A90">
            <v>172600</v>
          </cell>
          <cell r="B90">
            <v>89</v>
          </cell>
          <cell r="C90" t="str">
            <v>울진</v>
          </cell>
          <cell r="D90" t="str">
            <v>본소</v>
          </cell>
          <cell r="E90">
            <v>807445</v>
          </cell>
          <cell r="F90">
            <v>11</v>
          </cell>
        </row>
        <row r="91">
          <cell r="A91">
            <v>141100</v>
          </cell>
          <cell r="B91">
            <v>90</v>
          </cell>
          <cell r="C91" t="str">
            <v>대전</v>
          </cell>
          <cell r="D91" t="str">
            <v>본소</v>
          </cell>
          <cell r="E91">
            <v>799282</v>
          </cell>
          <cell r="F91">
            <v>11</v>
          </cell>
        </row>
        <row r="92">
          <cell r="A92">
            <v>131103</v>
          </cell>
          <cell r="B92">
            <v>91</v>
          </cell>
          <cell r="C92" t="str">
            <v>청주</v>
          </cell>
          <cell r="D92" t="str">
            <v>가경</v>
          </cell>
          <cell r="E92">
            <v>739556</v>
          </cell>
          <cell r="F92">
            <v>11</v>
          </cell>
        </row>
        <row r="93">
          <cell r="A93">
            <v>161101</v>
          </cell>
          <cell r="B93">
            <v>92</v>
          </cell>
          <cell r="C93" t="str">
            <v>광주</v>
          </cell>
          <cell r="D93" t="str">
            <v>중앙로</v>
          </cell>
          <cell r="E93">
            <v>714160</v>
          </cell>
          <cell r="F93">
            <v>11</v>
          </cell>
        </row>
        <row r="94">
          <cell r="A94">
            <v>121601</v>
          </cell>
          <cell r="B94">
            <v>93</v>
          </cell>
          <cell r="C94" t="str">
            <v>태백</v>
          </cell>
          <cell r="D94" t="str">
            <v>장성</v>
          </cell>
          <cell r="E94">
            <v>675428</v>
          </cell>
          <cell r="F94">
            <v>11</v>
          </cell>
        </row>
        <row r="95">
          <cell r="A95">
            <v>158101</v>
          </cell>
          <cell r="B95">
            <v>94</v>
          </cell>
          <cell r="C95" t="str">
            <v>전북양계</v>
          </cell>
          <cell r="D95" t="str">
            <v>화산</v>
          </cell>
          <cell r="E95">
            <v>670486</v>
          </cell>
          <cell r="F95">
            <v>11</v>
          </cell>
        </row>
        <row r="96">
          <cell r="A96">
            <v>158202</v>
          </cell>
          <cell r="B96">
            <v>95</v>
          </cell>
          <cell r="C96" t="str">
            <v>전북양돈</v>
          </cell>
          <cell r="D96" t="str">
            <v>동산</v>
          </cell>
          <cell r="E96">
            <v>661401</v>
          </cell>
          <cell r="F96">
            <v>11</v>
          </cell>
        </row>
        <row r="97">
          <cell r="A97">
            <v>161501</v>
          </cell>
          <cell r="B97">
            <v>96</v>
          </cell>
          <cell r="C97" t="str">
            <v>구례</v>
          </cell>
          <cell r="D97" t="str">
            <v>봉동</v>
          </cell>
          <cell r="E97">
            <v>643974</v>
          </cell>
          <cell r="F97">
            <v>11</v>
          </cell>
        </row>
        <row r="98">
          <cell r="A98">
            <v>121801</v>
          </cell>
          <cell r="B98">
            <v>97</v>
          </cell>
          <cell r="C98" t="str">
            <v>삼척</v>
          </cell>
          <cell r="D98" t="str">
            <v>원덕</v>
          </cell>
          <cell r="E98">
            <v>638829</v>
          </cell>
          <cell r="F98">
            <v>11</v>
          </cell>
        </row>
        <row r="99">
          <cell r="A99">
            <v>181103</v>
          </cell>
          <cell r="B99">
            <v>98</v>
          </cell>
          <cell r="C99" t="str">
            <v>창녕</v>
          </cell>
          <cell r="D99" t="str">
            <v>남창녕</v>
          </cell>
          <cell r="E99">
            <v>618545</v>
          </cell>
          <cell r="F99">
            <v>11</v>
          </cell>
        </row>
        <row r="100">
          <cell r="A100">
            <v>171503</v>
          </cell>
          <cell r="B100">
            <v>99</v>
          </cell>
          <cell r="C100" t="str">
            <v>안동</v>
          </cell>
          <cell r="D100" t="str">
            <v>중앙로</v>
          </cell>
          <cell r="E100">
            <v>611457</v>
          </cell>
          <cell r="F100">
            <v>11</v>
          </cell>
        </row>
        <row r="101">
          <cell r="A101">
            <v>181101</v>
          </cell>
          <cell r="B101">
            <v>100</v>
          </cell>
          <cell r="C101" t="str">
            <v>창녕</v>
          </cell>
          <cell r="D101" t="str">
            <v>영산</v>
          </cell>
          <cell r="E101">
            <v>599286</v>
          </cell>
          <cell r="F101">
            <v>11</v>
          </cell>
        </row>
        <row r="102">
          <cell r="A102">
            <v>181800</v>
          </cell>
          <cell r="B102">
            <v>101</v>
          </cell>
          <cell r="C102" t="str">
            <v>함양</v>
          </cell>
          <cell r="D102" t="str">
            <v>본소</v>
          </cell>
          <cell r="E102">
            <v>589010</v>
          </cell>
          <cell r="F102">
            <v>11</v>
          </cell>
        </row>
        <row r="103">
          <cell r="A103">
            <v>161404</v>
          </cell>
          <cell r="B103">
            <v>102</v>
          </cell>
          <cell r="C103" t="str">
            <v>순천</v>
          </cell>
          <cell r="D103" t="str">
            <v>풍덕</v>
          </cell>
          <cell r="E103">
            <v>578557</v>
          </cell>
          <cell r="F103">
            <v>11</v>
          </cell>
        </row>
        <row r="104">
          <cell r="A104">
            <v>108103</v>
          </cell>
          <cell r="B104">
            <v>103</v>
          </cell>
          <cell r="C104" t="str">
            <v>서울경기양계</v>
          </cell>
          <cell r="D104" t="str">
            <v>답십리</v>
          </cell>
          <cell r="E104">
            <v>575853</v>
          </cell>
          <cell r="F104">
            <v>11</v>
          </cell>
        </row>
        <row r="105">
          <cell r="A105">
            <v>161500</v>
          </cell>
          <cell r="B105">
            <v>104</v>
          </cell>
          <cell r="C105" t="str">
            <v>구례</v>
          </cell>
          <cell r="D105" t="str">
            <v>본소</v>
          </cell>
          <cell r="E105">
            <v>554914</v>
          </cell>
          <cell r="F105">
            <v>11</v>
          </cell>
        </row>
        <row r="106">
          <cell r="A106">
            <v>173000</v>
          </cell>
          <cell r="B106">
            <v>105</v>
          </cell>
          <cell r="C106" t="str">
            <v>영양</v>
          </cell>
          <cell r="D106" t="str">
            <v>본소</v>
          </cell>
          <cell r="E106">
            <v>547249</v>
          </cell>
          <cell r="F106">
            <v>11</v>
          </cell>
        </row>
        <row r="107">
          <cell r="A107">
            <v>151103</v>
          </cell>
          <cell r="B107">
            <v>106</v>
          </cell>
          <cell r="C107" t="str">
            <v>전주</v>
          </cell>
          <cell r="D107" t="str">
            <v>남부</v>
          </cell>
          <cell r="E107">
            <v>516664</v>
          </cell>
          <cell r="F107">
            <v>11</v>
          </cell>
        </row>
        <row r="108">
          <cell r="A108">
            <v>191102</v>
          </cell>
          <cell r="B108">
            <v>107</v>
          </cell>
          <cell r="C108" t="str">
            <v>제주</v>
          </cell>
          <cell r="D108" t="str">
            <v>동문</v>
          </cell>
          <cell r="E108">
            <v>508373</v>
          </cell>
          <cell r="F108">
            <v>11</v>
          </cell>
        </row>
        <row r="109">
          <cell r="A109">
            <v>171501</v>
          </cell>
          <cell r="B109">
            <v>108</v>
          </cell>
          <cell r="C109" t="str">
            <v>안동</v>
          </cell>
          <cell r="D109" t="str">
            <v>풍산</v>
          </cell>
          <cell r="E109">
            <v>506348</v>
          </cell>
          <cell r="F109">
            <v>11</v>
          </cell>
        </row>
        <row r="110">
          <cell r="A110">
            <v>188201</v>
          </cell>
          <cell r="B110">
            <v>109</v>
          </cell>
          <cell r="C110" t="str">
            <v>경남낙농</v>
          </cell>
          <cell r="D110" t="str">
            <v>동성</v>
          </cell>
          <cell r="E110">
            <v>502531</v>
          </cell>
          <cell r="F110">
            <v>11</v>
          </cell>
        </row>
        <row r="111">
          <cell r="A111">
            <v>121902</v>
          </cell>
          <cell r="B111">
            <v>110</v>
          </cell>
          <cell r="C111" t="str">
            <v>평창</v>
          </cell>
          <cell r="D111" t="str">
            <v>도암</v>
          </cell>
          <cell r="E111">
            <v>489451</v>
          </cell>
          <cell r="F111">
            <v>11</v>
          </cell>
        </row>
        <row r="112">
          <cell r="A112">
            <v>162601</v>
          </cell>
          <cell r="B112">
            <v>111</v>
          </cell>
          <cell r="C112" t="str">
            <v>보성</v>
          </cell>
          <cell r="D112" t="str">
            <v>복내</v>
          </cell>
          <cell r="E112">
            <v>461560</v>
          </cell>
          <cell r="F112">
            <v>11</v>
          </cell>
        </row>
        <row r="113">
          <cell r="A113">
            <v>162602</v>
          </cell>
          <cell r="B113">
            <v>112</v>
          </cell>
          <cell r="C113" t="str">
            <v>보성</v>
          </cell>
          <cell r="D113" t="str">
            <v>벌교</v>
          </cell>
          <cell r="E113">
            <v>453358</v>
          </cell>
          <cell r="F113">
            <v>11</v>
          </cell>
        </row>
        <row r="114">
          <cell r="A114">
            <v>168302</v>
          </cell>
          <cell r="B114">
            <v>113</v>
          </cell>
          <cell r="C114" t="str">
            <v>광전양계</v>
          </cell>
          <cell r="D114" t="str">
            <v>신용해</v>
          </cell>
          <cell r="E114">
            <v>443676</v>
          </cell>
          <cell r="F114">
            <v>11</v>
          </cell>
        </row>
        <row r="115">
          <cell r="A115">
            <v>171904</v>
          </cell>
          <cell r="B115">
            <v>114</v>
          </cell>
          <cell r="C115" t="str">
            <v>경산</v>
          </cell>
          <cell r="D115" t="str">
            <v>고산</v>
          </cell>
          <cell r="E115">
            <v>441673</v>
          </cell>
          <cell r="F115">
            <v>11</v>
          </cell>
        </row>
        <row r="116">
          <cell r="A116">
            <v>151105</v>
          </cell>
          <cell r="B116">
            <v>115</v>
          </cell>
          <cell r="C116" t="str">
            <v>전주</v>
          </cell>
          <cell r="D116" t="str">
            <v>우아</v>
          </cell>
          <cell r="E116">
            <v>437505</v>
          </cell>
          <cell r="F116">
            <v>11</v>
          </cell>
        </row>
        <row r="117">
          <cell r="A117">
            <v>198100</v>
          </cell>
          <cell r="B117">
            <v>116</v>
          </cell>
          <cell r="C117" t="str">
            <v>제주양돈</v>
          </cell>
          <cell r="D117" t="str">
            <v xml:space="preserve">본소 </v>
          </cell>
          <cell r="E117">
            <v>422059</v>
          </cell>
          <cell r="F117">
            <v>11</v>
          </cell>
        </row>
        <row r="118">
          <cell r="A118">
            <v>171401</v>
          </cell>
          <cell r="B118">
            <v>117</v>
          </cell>
          <cell r="C118" t="str">
            <v>김천</v>
          </cell>
          <cell r="D118" t="str">
            <v>평화</v>
          </cell>
          <cell r="E118">
            <v>414177</v>
          </cell>
          <cell r="F118">
            <v>11</v>
          </cell>
        </row>
        <row r="119">
          <cell r="A119">
            <v>171103</v>
          </cell>
          <cell r="B119">
            <v>118</v>
          </cell>
          <cell r="C119" t="str">
            <v>대구</v>
          </cell>
          <cell r="D119" t="str">
            <v>평리</v>
          </cell>
          <cell r="E119">
            <v>399311</v>
          </cell>
          <cell r="F119">
            <v>11</v>
          </cell>
        </row>
        <row r="120">
          <cell r="A120">
            <v>151702</v>
          </cell>
          <cell r="B120">
            <v>119</v>
          </cell>
          <cell r="C120" t="str">
            <v>장수</v>
          </cell>
          <cell r="D120" t="str">
            <v>송천</v>
          </cell>
          <cell r="E120">
            <v>395692</v>
          </cell>
          <cell r="F120">
            <v>11</v>
          </cell>
        </row>
        <row r="121">
          <cell r="A121">
            <v>161900</v>
          </cell>
          <cell r="B121">
            <v>120</v>
          </cell>
          <cell r="C121" t="str">
            <v>목포</v>
          </cell>
          <cell r="D121" t="str">
            <v>본소</v>
          </cell>
          <cell r="E121">
            <v>392099</v>
          </cell>
          <cell r="F121">
            <v>11</v>
          </cell>
        </row>
        <row r="122">
          <cell r="A122">
            <v>198200</v>
          </cell>
          <cell r="B122">
            <v>121</v>
          </cell>
          <cell r="C122" t="str">
            <v>제주양봉</v>
          </cell>
          <cell r="D122" t="str">
            <v>본소</v>
          </cell>
          <cell r="E122">
            <v>358466</v>
          </cell>
          <cell r="F122">
            <v>11</v>
          </cell>
        </row>
        <row r="123">
          <cell r="A123">
            <v>163101</v>
          </cell>
          <cell r="B123">
            <v>122</v>
          </cell>
          <cell r="C123" t="str">
            <v>진도</v>
          </cell>
          <cell r="D123" t="str">
            <v>임회</v>
          </cell>
          <cell r="E123">
            <v>344641</v>
          </cell>
          <cell r="F123">
            <v>11</v>
          </cell>
        </row>
        <row r="124">
          <cell r="A124">
            <v>158102</v>
          </cell>
          <cell r="B124">
            <v>123</v>
          </cell>
          <cell r="C124" t="str">
            <v>전북양계</v>
          </cell>
          <cell r="D124" t="str">
            <v>서학</v>
          </cell>
          <cell r="E124">
            <v>337598</v>
          </cell>
          <cell r="F124">
            <v>11</v>
          </cell>
        </row>
        <row r="125">
          <cell r="A125">
            <v>161306</v>
          </cell>
          <cell r="B125">
            <v>124</v>
          </cell>
          <cell r="C125" t="str">
            <v>여수여천</v>
          </cell>
          <cell r="D125" t="str">
            <v>문수</v>
          </cell>
          <cell r="E125">
            <v>299532</v>
          </cell>
          <cell r="F125">
            <v>11</v>
          </cell>
        </row>
        <row r="126">
          <cell r="A126">
            <v>171201</v>
          </cell>
          <cell r="B126">
            <v>125</v>
          </cell>
          <cell r="C126" t="str">
            <v>포항</v>
          </cell>
          <cell r="D126" t="str">
            <v>해도</v>
          </cell>
          <cell r="E126">
            <v>295345</v>
          </cell>
          <cell r="F126">
            <v>11</v>
          </cell>
        </row>
        <row r="127">
          <cell r="A127">
            <v>171304</v>
          </cell>
          <cell r="B127">
            <v>126</v>
          </cell>
          <cell r="C127" t="str">
            <v>경주</v>
          </cell>
          <cell r="D127" t="str">
            <v>외동</v>
          </cell>
          <cell r="E127">
            <v>273364</v>
          </cell>
          <cell r="F127">
            <v>11</v>
          </cell>
        </row>
        <row r="128">
          <cell r="A128">
            <v>173101</v>
          </cell>
          <cell r="B128">
            <v>127</v>
          </cell>
          <cell r="C128" t="str">
            <v>문경</v>
          </cell>
          <cell r="D128" t="str">
            <v>남부</v>
          </cell>
          <cell r="E128">
            <v>269805</v>
          </cell>
          <cell r="F128">
            <v>11</v>
          </cell>
        </row>
        <row r="129">
          <cell r="A129">
            <v>122400</v>
          </cell>
          <cell r="B129">
            <v>128</v>
          </cell>
          <cell r="C129" t="str">
            <v>횡성</v>
          </cell>
          <cell r="D129" t="str">
            <v>본소</v>
          </cell>
          <cell r="E129">
            <v>248279</v>
          </cell>
          <cell r="F129">
            <v>11</v>
          </cell>
        </row>
        <row r="130">
          <cell r="A130">
            <v>171902</v>
          </cell>
          <cell r="B130">
            <v>129</v>
          </cell>
          <cell r="C130" t="str">
            <v>경산</v>
          </cell>
          <cell r="D130" t="str">
            <v>계양</v>
          </cell>
          <cell r="E130">
            <v>212957</v>
          </cell>
          <cell r="F130">
            <v>11</v>
          </cell>
        </row>
        <row r="131">
          <cell r="A131">
            <v>198101</v>
          </cell>
          <cell r="B131">
            <v>130</v>
          </cell>
          <cell r="C131" t="str">
            <v>제주양돈</v>
          </cell>
          <cell r="D131" t="str">
            <v>서사라</v>
          </cell>
          <cell r="E131">
            <v>211087</v>
          </cell>
          <cell r="F131">
            <v>11</v>
          </cell>
        </row>
        <row r="132">
          <cell r="A132">
            <v>141300</v>
          </cell>
          <cell r="B132">
            <v>131</v>
          </cell>
          <cell r="C132" t="str">
            <v>연기</v>
          </cell>
          <cell r="D132" t="str">
            <v>본소</v>
          </cell>
          <cell r="E132">
            <v>196389</v>
          </cell>
          <cell r="F132">
            <v>11</v>
          </cell>
        </row>
        <row r="133">
          <cell r="A133">
            <v>182301</v>
          </cell>
          <cell r="B133">
            <v>132</v>
          </cell>
          <cell r="C133" t="str">
            <v>양산</v>
          </cell>
          <cell r="D133" t="str">
            <v>종합</v>
          </cell>
          <cell r="E133">
            <v>188047</v>
          </cell>
          <cell r="F133">
            <v>11</v>
          </cell>
        </row>
        <row r="134">
          <cell r="A134">
            <v>171200</v>
          </cell>
          <cell r="B134">
            <v>133</v>
          </cell>
          <cell r="C134" t="str">
            <v>포항</v>
          </cell>
          <cell r="D134" t="str">
            <v>본소</v>
          </cell>
          <cell r="E134">
            <v>185380</v>
          </cell>
          <cell r="F134">
            <v>11</v>
          </cell>
        </row>
        <row r="135">
          <cell r="A135">
            <v>131800</v>
          </cell>
          <cell r="B135">
            <v>134</v>
          </cell>
          <cell r="C135" t="str">
            <v>단양</v>
          </cell>
          <cell r="D135" t="str">
            <v>본소</v>
          </cell>
          <cell r="E135">
            <v>184971</v>
          </cell>
          <cell r="F135">
            <v>11</v>
          </cell>
        </row>
        <row r="136">
          <cell r="A136">
            <v>171504</v>
          </cell>
          <cell r="B136">
            <v>135</v>
          </cell>
          <cell r="C136" t="str">
            <v>안동</v>
          </cell>
          <cell r="D136" t="str">
            <v>북문</v>
          </cell>
          <cell r="E136">
            <v>125532</v>
          </cell>
          <cell r="F136">
            <v>11</v>
          </cell>
        </row>
        <row r="137">
          <cell r="A137">
            <v>171901</v>
          </cell>
          <cell r="B137">
            <v>136</v>
          </cell>
          <cell r="C137" t="str">
            <v>경산</v>
          </cell>
          <cell r="D137" t="str">
            <v>반야월</v>
          </cell>
          <cell r="E137">
            <v>82896</v>
          </cell>
          <cell r="F137">
            <v>11</v>
          </cell>
        </row>
        <row r="138">
          <cell r="A138">
            <v>168500</v>
          </cell>
          <cell r="B138">
            <v>137</v>
          </cell>
          <cell r="C138" t="str">
            <v>전남동부낙농</v>
          </cell>
          <cell r="D138" t="str">
            <v>본소</v>
          </cell>
          <cell r="E138">
            <v>0</v>
          </cell>
          <cell r="F138">
            <v>11</v>
          </cell>
        </row>
        <row r="139">
          <cell r="A139">
            <v>172000</v>
          </cell>
          <cell r="B139">
            <v>138</v>
          </cell>
          <cell r="C139" t="str">
            <v>청도</v>
          </cell>
          <cell r="D139" t="str">
            <v>본소</v>
          </cell>
          <cell r="E139">
            <v>-263881</v>
          </cell>
          <cell r="F139">
            <v>11</v>
          </cell>
        </row>
        <row r="140">
          <cell r="A140">
            <v>178303</v>
          </cell>
          <cell r="B140">
            <v>139</v>
          </cell>
          <cell r="C140" t="str">
            <v>대구경북양계</v>
          </cell>
          <cell r="D140" t="str">
            <v>아양</v>
          </cell>
          <cell r="E140">
            <v>-636363</v>
          </cell>
          <cell r="F140">
            <v>11</v>
          </cell>
        </row>
        <row r="141">
          <cell r="E141">
            <v>219175878</v>
          </cell>
        </row>
      </sheetData>
      <sheetData sheetId="3" refreshError="1">
        <row r="1">
          <cell r="A1" t="str">
            <v>CODE</v>
          </cell>
          <cell r="B1" t="str">
            <v>No.</v>
          </cell>
          <cell r="C1" t="str">
            <v>조합명</v>
          </cell>
          <cell r="D1" t="str">
            <v>판매장명</v>
          </cell>
          <cell r="E1" t="str">
            <v>매출액</v>
          </cell>
          <cell r="F1" t="str">
            <v>월</v>
          </cell>
        </row>
        <row r="2">
          <cell r="A2">
            <v>128401</v>
          </cell>
          <cell r="B2">
            <v>1</v>
          </cell>
          <cell r="C2" t="str">
            <v>영동양돈</v>
          </cell>
          <cell r="D2" t="str">
            <v>주문진</v>
          </cell>
          <cell r="E2">
            <v>7413912</v>
          </cell>
          <cell r="F2">
            <v>11</v>
          </cell>
        </row>
        <row r="3">
          <cell r="A3">
            <v>142300</v>
          </cell>
          <cell r="B3">
            <v>2</v>
          </cell>
          <cell r="C3" t="str">
            <v>서산</v>
          </cell>
          <cell r="D3" t="str">
            <v>본소</v>
          </cell>
          <cell r="E3">
            <v>6411917</v>
          </cell>
          <cell r="F3">
            <v>11</v>
          </cell>
        </row>
        <row r="4">
          <cell r="A4">
            <v>142500</v>
          </cell>
          <cell r="B4">
            <v>3</v>
          </cell>
          <cell r="C4" t="str">
            <v>천안</v>
          </cell>
          <cell r="D4" t="str">
            <v>본소</v>
          </cell>
          <cell r="E4">
            <v>4877859</v>
          </cell>
          <cell r="F4">
            <v>11</v>
          </cell>
        </row>
        <row r="5">
          <cell r="A5">
            <v>182501</v>
          </cell>
          <cell r="B5">
            <v>4</v>
          </cell>
          <cell r="C5" t="str">
            <v>남해</v>
          </cell>
          <cell r="D5" t="str">
            <v>본소</v>
          </cell>
          <cell r="E5">
            <v>4805696</v>
          </cell>
          <cell r="F5">
            <v>11</v>
          </cell>
        </row>
        <row r="6">
          <cell r="A6">
            <v>161401</v>
          </cell>
          <cell r="B6">
            <v>5</v>
          </cell>
          <cell r="C6" t="str">
            <v>순천</v>
          </cell>
          <cell r="D6" t="str">
            <v>종합</v>
          </cell>
          <cell r="E6">
            <v>4797163</v>
          </cell>
          <cell r="F6">
            <v>11</v>
          </cell>
        </row>
        <row r="7">
          <cell r="A7">
            <v>172000</v>
          </cell>
          <cell r="B7">
            <v>6</v>
          </cell>
          <cell r="C7" t="str">
            <v>청도</v>
          </cell>
          <cell r="D7" t="str">
            <v>본소</v>
          </cell>
          <cell r="E7">
            <v>4706098</v>
          </cell>
          <cell r="F7">
            <v>11</v>
          </cell>
        </row>
        <row r="8">
          <cell r="A8">
            <v>131900</v>
          </cell>
          <cell r="B8">
            <v>7</v>
          </cell>
          <cell r="C8" t="str">
            <v>옥천</v>
          </cell>
          <cell r="D8" t="str">
            <v>본소</v>
          </cell>
          <cell r="E8">
            <v>4311728</v>
          </cell>
          <cell r="F8">
            <v>11</v>
          </cell>
        </row>
        <row r="9">
          <cell r="A9">
            <v>142200</v>
          </cell>
          <cell r="B9">
            <v>8</v>
          </cell>
          <cell r="C9" t="str">
            <v>당진</v>
          </cell>
          <cell r="D9" t="str">
            <v>본소</v>
          </cell>
          <cell r="E9">
            <v>4240616</v>
          </cell>
          <cell r="F9">
            <v>11</v>
          </cell>
        </row>
        <row r="10">
          <cell r="A10">
            <v>131201</v>
          </cell>
          <cell r="B10">
            <v>9</v>
          </cell>
          <cell r="C10" t="str">
            <v>음성</v>
          </cell>
          <cell r="D10" t="str">
            <v>금왕</v>
          </cell>
          <cell r="E10">
            <v>3589988</v>
          </cell>
          <cell r="F10">
            <v>11</v>
          </cell>
        </row>
        <row r="11">
          <cell r="A11">
            <v>182400</v>
          </cell>
          <cell r="B11">
            <v>10</v>
          </cell>
          <cell r="C11" t="str">
            <v>함안</v>
          </cell>
          <cell r="D11" t="str">
            <v>본소</v>
          </cell>
          <cell r="E11">
            <v>3173964</v>
          </cell>
          <cell r="F11">
            <v>11</v>
          </cell>
        </row>
        <row r="12">
          <cell r="A12">
            <v>148202</v>
          </cell>
          <cell r="B12">
            <v>11</v>
          </cell>
          <cell r="C12" t="str">
            <v>대전충남양계</v>
          </cell>
          <cell r="D12" t="str">
            <v>정림</v>
          </cell>
          <cell r="E12">
            <v>3046065</v>
          </cell>
          <cell r="F12">
            <v>11</v>
          </cell>
        </row>
        <row r="13">
          <cell r="A13">
            <v>161304</v>
          </cell>
          <cell r="B13">
            <v>12</v>
          </cell>
          <cell r="C13" t="str">
            <v>여수여천</v>
          </cell>
          <cell r="D13" t="str">
            <v>서강</v>
          </cell>
          <cell r="E13">
            <v>3006245</v>
          </cell>
          <cell r="F13">
            <v>11</v>
          </cell>
        </row>
        <row r="14">
          <cell r="A14">
            <v>128402</v>
          </cell>
          <cell r="B14">
            <v>13</v>
          </cell>
          <cell r="C14" t="str">
            <v>영동양돈</v>
          </cell>
          <cell r="D14" t="str">
            <v>송정</v>
          </cell>
          <cell r="E14">
            <v>3001465</v>
          </cell>
          <cell r="F14">
            <v>11</v>
          </cell>
        </row>
        <row r="15">
          <cell r="A15">
            <v>171800</v>
          </cell>
          <cell r="B15">
            <v>14</v>
          </cell>
          <cell r="C15" t="str">
            <v>영천</v>
          </cell>
          <cell r="D15" t="str">
            <v>본소</v>
          </cell>
          <cell r="E15">
            <v>2954015</v>
          </cell>
          <cell r="F15">
            <v>11</v>
          </cell>
        </row>
        <row r="16">
          <cell r="A16">
            <v>101103</v>
          </cell>
          <cell r="B16">
            <v>15</v>
          </cell>
          <cell r="C16" t="str">
            <v>서울</v>
          </cell>
          <cell r="D16" t="str">
            <v>잠실</v>
          </cell>
          <cell r="E16">
            <v>2885981</v>
          </cell>
          <cell r="F16">
            <v>11</v>
          </cell>
        </row>
        <row r="17">
          <cell r="A17">
            <v>141700</v>
          </cell>
          <cell r="B17">
            <v>16</v>
          </cell>
          <cell r="C17" t="str">
            <v>보령</v>
          </cell>
          <cell r="D17" t="str">
            <v>본소</v>
          </cell>
          <cell r="E17">
            <v>2763663</v>
          </cell>
          <cell r="F17">
            <v>11</v>
          </cell>
        </row>
        <row r="18">
          <cell r="A18">
            <v>162302</v>
          </cell>
          <cell r="B18">
            <v>17</v>
          </cell>
          <cell r="C18" t="str">
            <v>영암</v>
          </cell>
          <cell r="D18" t="str">
            <v>한라</v>
          </cell>
          <cell r="E18">
            <v>2595732</v>
          </cell>
          <cell r="F18">
            <v>11</v>
          </cell>
        </row>
        <row r="19">
          <cell r="A19">
            <v>182900</v>
          </cell>
          <cell r="B19">
            <v>18</v>
          </cell>
          <cell r="C19" t="str">
            <v>사천</v>
          </cell>
          <cell r="D19" t="str">
            <v>본소</v>
          </cell>
          <cell r="E19">
            <v>2504294</v>
          </cell>
          <cell r="F19">
            <v>11</v>
          </cell>
        </row>
        <row r="20">
          <cell r="A20">
            <v>181700</v>
          </cell>
          <cell r="B20">
            <v>19</v>
          </cell>
          <cell r="C20" t="str">
            <v>산청</v>
          </cell>
          <cell r="D20" t="str">
            <v>본소</v>
          </cell>
          <cell r="E20">
            <v>2486744</v>
          </cell>
          <cell r="F20">
            <v>11</v>
          </cell>
        </row>
        <row r="21">
          <cell r="A21">
            <v>131500</v>
          </cell>
          <cell r="B21">
            <v>20</v>
          </cell>
          <cell r="C21" t="str">
            <v>괴산</v>
          </cell>
          <cell r="D21" t="str">
            <v>본소</v>
          </cell>
          <cell r="E21">
            <v>2483684</v>
          </cell>
          <cell r="F21">
            <v>11</v>
          </cell>
        </row>
        <row r="22">
          <cell r="A22">
            <v>163200</v>
          </cell>
          <cell r="B22">
            <v>21</v>
          </cell>
          <cell r="C22" t="str">
            <v>화순</v>
          </cell>
          <cell r="D22" t="str">
            <v>본소</v>
          </cell>
          <cell r="E22">
            <v>2456263</v>
          </cell>
          <cell r="F22">
            <v>11</v>
          </cell>
        </row>
        <row r="23">
          <cell r="A23">
            <v>171303</v>
          </cell>
          <cell r="B23">
            <v>22</v>
          </cell>
          <cell r="C23" t="str">
            <v>경주</v>
          </cell>
          <cell r="D23" t="str">
            <v>성동</v>
          </cell>
          <cell r="E23">
            <v>2241169</v>
          </cell>
          <cell r="F23">
            <v>11</v>
          </cell>
        </row>
        <row r="24">
          <cell r="A24">
            <v>171601</v>
          </cell>
          <cell r="B24">
            <v>23</v>
          </cell>
          <cell r="C24" t="str">
            <v>의성</v>
          </cell>
          <cell r="D24" t="str">
            <v>금성</v>
          </cell>
          <cell r="E24">
            <v>2207584</v>
          </cell>
          <cell r="F24">
            <v>11</v>
          </cell>
        </row>
        <row r="25">
          <cell r="A25">
            <v>131102</v>
          </cell>
          <cell r="B25">
            <v>24</v>
          </cell>
          <cell r="C25" t="str">
            <v>청주</v>
          </cell>
          <cell r="D25" t="str">
            <v>금천</v>
          </cell>
          <cell r="E25">
            <v>2179396</v>
          </cell>
          <cell r="F25">
            <v>11</v>
          </cell>
        </row>
        <row r="26">
          <cell r="A26">
            <v>182200</v>
          </cell>
          <cell r="B26">
            <v>25</v>
          </cell>
          <cell r="C26" t="str">
            <v>거제</v>
          </cell>
          <cell r="D26" t="str">
            <v>본소</v>
          </cell>
          <cell r="E26">
            <v>2149854</v>
          </cell>
          <cell r="F26">
            <v>11</v>
          </cell>
        </row>
        <row r="27">
          <cell r="A27">
            <v>181905</v>
          </cell>
          <cell r="B27">
            <v>26</v>
          </cell>
          <cell r="C27" t="str">
            <v>마산</v>
          </cell>
          <cell r="D27" t="str">
            <v>대방</v>
          </cell>
          <cell r="E27">
            <v>2082584</v>
          </cell>
          <cell r="F27">
            <v>11</v>
          </cell>
        </row>
        <row r="28">
          <cell r="A28">
            <v>151502</v>
          </cell>
          <cell r="B28">
            <v>27</v>
          </cell>
          <cell r="C28" t="str">
            <v>순창</v>
          </cell>
          <cell r="D28" t="str">
            <v>동순창</v>
          </cell>
          <cell r="E28">
            <v>2044746</v>
          </cell>
          <cell r="F28">
            <v>11</v>
          </cell>
        </row>
        <row r="29">
          <cell r="A29">
            <v>152300</v>
          </cell>
          <cell r="B29">
            <v>28</v>
          </cell>
          <cell r="C29" t="str">
            <v>부안</v>
          </cell>
          <cell r="D29" t="str">
            <v>본소</v>
          </cell>
          <cell r="E29">
            <v>2031257</v>
          </cell>
          <cell r="F29">
            <v>11</v>
          </cell>
        </row>
        <row r="30">
          <cell r="A30">
            <v>168100</v>
          </cell>
          <cell r="B30">
            <v>29</v>
          </cell>
          <cell r="C30" t="str">
            <v>광전우유</v>
          </cell>
          <cell r="D30" t="str">
            <v>본소</v>
          </cell>
          <cell r="E30">
            <v>1965482</v>
          </cell>
          <cell r="F30">
            <v>11</v>
          </cell>
        </row>
        <row r="31">
          <cell r="A31">
            <v>158501</v>
          </cell>
          <cell r="B31">
            <v>30</v>
          </cell>
          <cell r="C31" t="str">
            <v>동진강낙농</v>
          </cell>
          <cell r="D31" t="str">
            <v>군산</v>
          </cell>
          <cell r="E31">
            <v>1791027</v>
          </cell>
          <cell r="F31">
            <v>11</v>
          </cell>
        </row>
        <row r="32">
          <cell r="A32">
            <v>121200</v>
          </cell>
          <cell r="B32">
            <v>31</v>
          </cell>
          <cell r="C32" t="str">
            <v>원주</v>
          </cell>
          <cell r="D32" t="str">
            <v>본소</v>
          </cell>
          <cell r="E32">
            <v>1782310</v>
          </cell>
          <cell r="F32">
            <v>11</v>
          </cell>
        </row>
        <row r="33">
          <cell r="A33">
            <v>181100</v>
          </cell>
          <cell r="B33">
            <v>32</v>
          </cell>
          <cell r="C33" t="str">
            <v>창녕</v>
          </cell>
          <cell r="D33" t="str">
            <v>본소</v>
          </cell>
          <cell r="E33">
            <v>1741787</v>
          </cell>
          <cell r="F33">
            <v>11</v>
          </cell>
        </row>
        <row r="34">
          <cell r="A34">
            <v>148700</v>
          </cell>
          <cell r="B34">
            <v>33</v>
          </cell>
          <cell r="C34" t="str">
            <v>서해낙농</v>
          </cell>
          <cell r="D34" t="str">
            <v>본소</v>
          </cell>
          <cell r="E34">
            <v>1702003</v>
          </cell>
          <cell r="F34">
            <v>11</v>
          </cell>
        </row>
        <row r="35">
          <cell r="A35">
            <v>151102</v>
          </cell>
          <cell r="B35">
            <v>34</v>
          </cell>
          <cell r="C35" t="str">
            <v>전주</v>
          </cell>
          <cell r="D35" t="str">
            <v>서부</v>
          </cell>
          <cell r="E35">
            <v>1594955</v>
          </cell>
          <cell r="F35">
            <v>11</v>
          </cell>
        </row>
        <row r="36">
          <cell r="A36">
            <v>112600</v>
          </cell>
          <cell r="B36">
            <v>35</v>
          </cell>
          <cell r="C36" t="str">
            <v>안성</v>
          </cell>
          <cell r="D36" t="str">
            <v>본소</v>
          </cell>
          <cell r="E36">
            <v>1574522</v>
          </cell>
          <cell r="F36">
            <v>11</v>
          </cell>
        </row>
        <row r="37">
          <cell r="A37">
            <v>128400</v>
          </cell>
          <cell r="B37">
            <v>36</v>
          </cell>
          <cell r="C37" t="str">
            <v>영동양돈</v>
          </cell>
          <cell r="D37" t="str">
            <v>본소</v>
          </cell>
          <cell r="E37">
            <v>1534712</v>
          </cell>
          <cell r="F37">
            <v>11</v>
          </cell>
        </row>
        <row r="38">
          <cell r="A38">
            <v>122300</v>
          </cell>
          <cell r="B38">
            <v>37</v>
          </cell>
          <cell r="C38" t="str">
            <v>양양</v>
          </cell>
          <cell r="D38" t="str">
            <v>본소</v>
          </cell>
          <cell r="E38">
            <v>1527644</v>
          </cell>
          <cell r="F38">
            <v>11</v>
          </cell>
        </row>
        <row r="39">
          <cell r="A39">
            <v>131101</v>
          </cell>
          <cell r="B39">
            <v>38</v>
          </cell>
          <cell r="C39" t="str">
            <v>청주</v>
          </cell>
          <cell r="D39" t="str">
            <v>사창</v>
          </cell>
          <cell r="E39">
            <v>1515461</v>
          </cell>
          <cell r="F39">
            <v>11</v>
          </cell>
        </row>
        <row r="40">
          <cell r="A40">
            <v>131401</v>
          </cell>
          <cell r="B40">
            <v>39</v>
          </cell>
          <cell r="C40" t="str">
            <v>충주</v>
          </cell>
          <cell r="D40" t="str">
            <v>본소</v>
          </cell>
          <cell r="E40">
            <v>1505703</v>
          </cell>
          <cell r="F40">
            <v>11</v>
          </cell>
        </row>
        <row r="41">
          <cell r="A41">
            <v>168303</v>
          </cell>
          <cell r="B41">
            <v>40</v>
          </cell>
          <cell r="C41" t="str">
            <v>광전양계</v>
          </cell>
          <cell r="D41" t="str">
            <v>하당</v>
          </cell>
          <cell r="E41">
            <v>1499521</v>
          </cell>
          <cell r="F41">
            <v>11</v>
          </cell>
        </row>
        <row r="42">
          <cell r="A42">
            <v>182202</v>
          </cell>
          <cell r="B42">
            <v>41</v>
          </cell>
          <cell r="C42" t="str">
            <v>거제</v>
          </cell>
          <cell r="D42" t="str">
            <v>거제</v>
          </cell>
          <cell r="E42">
            <v>1394468</v>
          </cell>
          <cell r="F42">
            <v>11</v>
          </cell>
        </row>
        <row r="43">
          <cell r="A43">
            <v>141100</v>
          </cell>
          <cell r="B43">
            <v>42</v>
          </cell>
          <cell r="C43" t="str">
            <v>대전충남양계</v>
          </cell>
          <cell r="D43" t="str">
            <v>본소</v>
          </cell>
          <cell r="E43">
            <v>1373893</v>
          </cell>
          <cell r="F43">
            <v>11</v>
          </cell>
        </row>
        <row r="44">
          <cell r="A44">
            <v>162901</v>
          </cell>
          <cell r="B44">
            <v>43</v>
          </cell>
          <cell r="C44" t="str">
            <v>완도</v>
          </cell>
          <cell r="D44" t="str">
            <v>고금</v>
          </cell>
          <cell r="E44">
            <v>1373614</v>
          </cell>
          <cell r="F44">
            <v>11</v>
          </cell>
        </row>
        <row r="45">
          <cell r="A45">
            <v>171102</v>
          </cell>
          <cell r="B45">
            <v>44</v>
          </cell>
          <cell r="C45" t="str">
            <v>대구</v>
          </cell>
          <cell r="D45" t="str">
            <v>수성</v>
          </cell>
          <cell r="E45">
            <v>1340763</v>
          </cell>
          <cell r="F45">
            <v>11</v>
          </cell>
        </row>
        <row r="46">
          <cell r="A46">
            <v>171803</v>
          </cell>
          <cell r="B46">
            <v>45</v>
          </cell>
          <cell r="C46" t="str">
            <v>영천</v>
          </cell>
          <cell r="D46" t="str">
            <v>영남</v>
          </cell>
          <cell r="E46">
            <v>1330220</v>
          </cell>
          <cell r="F46">
            <v>11</v>
          </cell>
        </row>
        <row r="47">
          <cell r="A47">
            <v>121800</v>
          </cell>
          <cell r="B47">
            <v>46</v>
          </cell>
          <cell r="C47" t="str">
            <v>삼척</v>
          </cell>
          <cell r="D47" t="str">
            <v>본소</v>
          </cell>
          <cell r="E47">
            <v>1329269</v>
          </cell>
          <cell r="F47">
            <v>11</v>
          </cell>
        </row>
        <row r="48">
          <cell r="A48">
            <v>182301</v>
          </cell>
          <cell r="B48">
            <v>47</v>
          </cell>
          <cell r="C48" t="str">
            <v>양산</v>
          </cell>
          <cell r="D48" t="str">
            <v>종합</v>
          </cell>
          <cell r="E48">
            <v>1247854</v>
          </cell>
          <cell r="F48">
            <v>11</v>
          </cell>
        </row>
        <row r="49">
          <cell r="A49">
            <v>161903</v>
          </cell>
          <cell r="B49">
            <v>48</v>
          </cell>
          <cell r="C49" t="str">
            <v>목포</v>
          </cell>
          <cell r="D49" t="str">
            <v>남교</v>
          </cell>
          <cell r="E49">
            <v>1227916</v>
          </cell>
          <cell r="F49">
            <v>11</v>
          </cell>
        </row>
        <row r="50">
          <cell r="A50">
            <v>148401</v>
          </cell>
          <cell r="B50">
            <v>49</v>
          </cell>
          <cell r="C50" t="str">
            <v>대전충남우유</v>
          </cell>
          <cell r="D50" t="str">
            <v>한밭</v>
          </cell>
          <cell r="E50">
            <v>1214056</v>
          </cell>
          <cell r="F50">
            <v>11</v>
          </cell>
        </row>
        <row r="51">
          <cell r="A51">
            <v>173300</v>
          </cell>
          <cell r="B51">
            <v>50</v>
          </cell>
          <cell r="C51" t="str">
            <v>영덕</v>
          </cell>
          <cell r="D51" t="str">
            <v>본소</v>
          </cell>
          <cell r="E51">
            <v>1210525</v>
          </cell>
          <cell r="F51">
            <v>11</v>
          </cell>
        </row>
        <row r="52">
          <cell r="A52">
            <v>128403</v>
          </cell>
          <cell r="B52">
            <v>51</v>
          </cell>
          <cell r="C52" t="str">
            <v>영동양돈</v>
          </cell>
          <cell r="D52" t="str">
            <v>성덕</v>
          </cell>
          <cell r="E52">
            <v>1160354</v>
          </cell>
          <cell r="F52">
            <v>11</v>
          </cell>
        </row>
        <row r="53">
          <cell r="A53">
            <v>161900</v>
          </cell>
          <cell r="B53">
            <v>52</v>
          </cell>
          <cell r="C53" t="str">
            <v>목포</v>
          </cell>
          <cell r="D53" t="str">
            <v>본소</v>
          </cell>
          <cell r="E53">
            <v>1157854</v>
          </cell>
          <cell r="F53">
            <v>11</v>
          </cell>
        </row>
        <row r="54">
          <cell r="A54">
            <v>151301</v>
          </cell>
          <cell r="B54">
            <v>53</v>
          </cell>
          <cell r="C54" t="str">
            <v>정읍</v>
          </cell>
          <cell r="D54" t="str">
            <v>시기</v>
          </cell>
          <cell r="E54">
            <v>1138629</v>
          </cell>
          <cell r="F54">
            <v>11</v>
          </cell>
        </row>
        <row r="55">
          <cell r="A55">
            <v>161102</v>
          </cell>
          <cell r="B55">
            <v>54</v>
          </cell>
          <cell r="C55" t="str">
            <v>광주</v>
          </cell>
          <cell r="D55" t="str">
            <v>화정</v>
          </cell>
          <cell r="E55">
            <v>1061046</v>
          </cell>
          <cell r="F55">
            <v>11</v>
          </cell>
        </row>
        <row r="56">
          <cell r="A56">
            <v>152100</v>
          </cell>
          <cell r="B56">
            <v>55</v>
          </cell>
          <cell r="C56" t="str">
            <v>군산</v>
          </cell>
          <cell r="D56" t="str">
            <v>본소</v>
          </cell>
          <cell r="E56">
            <v>1059775</v>
          </cell>
          <cell r="F56">
            <v>11</v>
          </cell>
        </row>
        <row r="57">
          <cell r="A57">
            <v>171804</v>
          </cell>
          <cell r="B57">
            <v>56</v>
          </cell>
          <cell r="C57" t="str">
            <v>영천</v>
          </cell>
          <cell r="D57" t="str">
            <v>신령</v>
          </cell>
          <cell r="E57">
            <v>1025503</v>
          </cell>
          <cell r="F57">
            <v>11</v>
          </cell>
        </row>
        <row r="58">
          <cell r="A58">
            <v>142501</v>
          </cell>
          <cell r="B58">
            <v>57</v>
          </cell>
          <cell r="C58" t="str">
            <v>천안</v>
          </cell>
          <cell r="D58" t="str">
            <v>삼거리</v>
          </cell>
          <cell r="E58">
            <v>1012836</v>
          </cell>
          <cell r="F58">
            <v>11</v>
          </cell>
        </row>
        <row r="59">
          <cell r="A59">
            <v>100071</v>
          </cell>
          <cell r="B59">
            <v>58</v>
          </cell>
          <cell r="C59" t="str">
            <v>축협유통</v>
          </cell>
          <cell r="D59" t="str">
            <v>분당</v>
          </cell>
          <cell r="E59">
            <v>999563</v>
          </cell>
          <cell r="F59">
            <v>11</v>
          </cell>
        </row>
        <row r="60">
          <cell r="A60">
            <v>181701</v>
          </cell>
          <cell r="B60">
            <v>59</v>
          </cell>
          <cell r="C60" t="str">
            <v>산청</v>
          </cell>
          <cell r="D60" t="str">
            <v>원지</v>
          </cell>
          <cell r="E60">
            <v>996988</v>
          </cell>
          <cell r="F60">
            <v>11</v>
          </cell>
        </row>
        <row r="61">
          <cell r="A61">
            <v>172200</v>
          </cell>
          <cell r="B61">
            <v>60</v>
          </cell>
          <cell r="C61" t="str">
            <v>상주</v>
          </cell>
          <cell r="D61" t="str">
            <v>본소</v>
          </cell>
          <cell r="E61">
            <v>985099</v>
          </cell>
          <cell r="F61">
            <v>11</v>
          </cell>
        </row>
        <row r="62">
          <cell r="A62">
            <v>178401</v>
          </cell>
          <cell r="B62">
            <v>61</v>
          </cell>
          <cell r="C62" t="str">
            <v>경북중앙낙농</v>
          </cell>
          <cell r="D62" t="str">
            <v>정평</v>
          </cell>
          <cell r="E62">
            <v>946045</v>
          </cell>
          <cell r="F62">
            <v>11</v>
          </cell>
        </row>
        <row r="63">
          <cell r="A63">
            <v>171107</v>
          </cell>
          <cell r="B63">
            <v>62</v>
          </cell>
          <cell r="C63" t="str">
            <v>대구</v>
          </cell>
          <cell r="D63" t="str">
            <v>명동로</v>
          </cell>
          <cell r="E63">
            <v>936221</v>
          </cell>
          <cell r="F63">
            <v>11</v>
          </cell>
        </row>
        <row r="64">
          <cell r="A64">
            <v>148100</v>
          </cell>
          <cell r="B64">
            <v>63</v>
          </cell>
          <cell r="C64" t="str">
            <v>공주낙농</v>
          </cell>
          <cell r="D64" t="str">
            <v>본소</v>
          </cell>
          <cell r="E64">
            <v>930504</v>
          </cell>
          <cell r="F64">
            <v>11</v>
          </cell>
        </row>
        <row r="65">
          <cell r="A65">
            <v>161402</v>
          </cell>
          <cell r="B65">
            <v>64</v>
          </cell>
          <cell r="C65" t="str">
            <v>순천</v>
          </cell>
          <cell r="D65" t="str">
            <v>남순천</v>
          </cell>
          <cell r="E65">
            <v>928379</v>
          </cell>
          <cell r="F65">
            <v>11</v>
          </cell>
        </row>
        <row r="66">
          <cell r="A66">
            <v>171502</v>
          </cell>
          <cell r="B66">
            <v>65</v>
          </cell>
          <cell r="C66" t="str">
            <v>안동</v>
          </cell>
          <cell r="D66" t="str">
            <v>송현</v>
          </cell>
          <cell r="E66">
            <v>904352</v>
          </cell>
          <cell r="F66">
            <v>11</v>
          </cell>
        </row>
        <row r="67">
          <cell r="A67">
            <v>161100</v>
          </cell>
          <cell r="B67">
            <v>66</v>
          </cell>
          <cell r="C67" t="str">
            <v>광주</v>
          </cell>
          <cell r="D67" t="str">
            <v>본소</v>
          </cell>
          <cell r="E67">
            <v>897043</v>
          </cell>
          <cell r="F67">
            <v>11</v>
          </cell>
        </row>
        <row r="68">
          <cell r="A68">
            <v>163100</v>
          </cell>
          <cell r="B68">
            <v>67</v>
          </cell>
          <cell r="C68" t="str">
            <v>진도</v>
          </cell>
          <cell r="D68" t="str">
            <v>본소</v>
          </cell>
          <cell r="E68">
            <v>895548</v>
          </cell>
          <cell r="F68">
            <v>11</v>
          </cell>
        </row>
        <row r="69">
          <cell r="A69">
            <v>171301</v>
          </cell>
          <cell r="B69">
            <v>68</v>
          </cell>
          <cell r="C69" t="str">
            <v>경주</v>
          </cell>
          <cell r="D69" t="str">
            <v>안강</v>
          </cell>
          <cell r="E69">
            <v>865717</v>
          </cell>
          <cell r="F69">
            <v>11</v>
          </cell>
        </row>
        <row r="70">
          <cell r="A70">
            <v>161301</v>
          </cell>
          <cell r="B70">
            <v>69</v>
          </cell>
          <cell r="C70" t="str">
            <v>여수여천</v>
          </cell>
          <cell r="D70" t="str">
            <v>여천</v>
          </cell>
          <cell r="E70">
            <v>848645</v>
          </cell>
          <cell r="F70">
            <v>11</v>
          </cell>
        </row>
        <row r="71">
          <cell r="A71">
            <v>162600</v>
          </cell>
          <cell r="B71">
            <v>70</v>
          </cell>
          <cell r="C71" t="str">
            <v>보성</v>
          </cell>
          <cell r="D71" t="str">
            <v>본소</v>
          </cell>
          <cell r="E71">
            <v>847637</v>
          </cell>
          <cell r="F71">
            <v>11</v>
          </cell>
        </row>
        <row r="72">
          <cell r="A72">
            <v>142502</v>
          </cell>
          <cell r="B72">
            <v>71</v>
          </cell>
          <cell r="C72" t="str">
            <v>천안</v>
          </cell>
          <cell r="D72" t="str">
            <v>신부</v>
          </cell>
          <cell r="E72">
            <v>842028</v>
          </cell>
          <cell r="F72">
            <v>11</v>
          </cell>
        </row>
        <row r="73">
          <cell r="A73">
            <v>161108</v>
          </cell>
          <cell r="B73">
            <v>72</v>
          </cell>
          <cell r="C73" t="str">
            <v>광주</v>
          </cell>
          <cell r="D73" t="str">
            <v>도산</v>
          </cell>
          <cell r="E73">
            <v>838745</v>
          </cell>
          <cell r="F73">
            <v>11</v>
          </cell>
        </row>
        <row r="74">
          <cell r="A74">
            <v>151800</v>
          </cell>
          <cell r="B74">
            <v>73</v>
          </cell>
          <cell r="C74" t="str">
            <v>임실</v>
          </cell>
          <cell r="D74" t="str">
            <v>본소</v>
          </cell>
          <cell r="E74">
            <v>815175</v>
          </cell>
          <cell r="F74">
            <v>11</v>
          </cell>
        </row>
        <row r="75">
          <cell r="A75">
            <v>128300</v>
          </cell>
          <cell r="B75">
            <v>74</v>
          </cell>
          <cell r="C75" t="str">
            <v>강원양돈</v>
          </cell>
          <cell r="D75" t="str">
            <v>본소</v>
          </cell>
          <cell r="E75">
            <v>803048</v>
          </cell>
          <cell r="F75">
            <v>11</v>
          </cell>
        </row>
        <row r="76">
          <cell r="A76">
            <v>168103</v>
          </cell>
          <cell r="B76">
            <v>75</v>
          </cell>
          <cell r="C76" t="str">
            <v>광전우유</v>
          </cell>
          <cell r="D76" t="str">
            <v>쌍촌</v>
          </cell>
          <cell r="E76">
            <v>794728</v>
          </cell>
          <cell r="F76">
            <v>11</v>
          </cell>
        </row>
        <row r="77">
          <cell r="A77">
            <v>173201</v>
          </cell>
          <cell r="B77">
            <v>76</v>
          </cell>
          <cell r="C77" t="str">
            <v>청송</v>
          </cell>
          <cell r="D77" t="str">
            <v>진보</v>
          </cell>
          <cell r="E77">
            <v>775279</v>
          </cell>
          <cell r="F77">
            <v>11</v>
          </cell>
        </row>
        <row r="78">
          <cell r="A78">
            <v>100084</v>
          </cell>
          <cell r="B78">
            <v>77</v>
          </cell>
          <cell r="C78" t="str">
            <v>축산유통</v>
          </cell>
          <cell r="D78" t="str">
            <v>광주</v>
          </cell>
          <cell r="E78">
            <v>758144</v>
          </cell>
          <cell r="F78">
            <v>11</v>
          </cell>
        </row>
        <row r="79">
          <cell r="A79">
            <v>128301</v>
          </cell>
          <cell r="B79">
            <v>78</v>
          </cell>
          <cell r="C79" t="str">
            <v>강원양돈</v>
          </cell>
          <cell r="D79" t="str">
            <v>후평</v>
          </cell>
          <cell r="E79">
            <v>739628</v>
          </cell>
          <cell r="F79">
            <v>11</v>
          </cell>
        </row>
        <row r="80">
          <cell r="A80">
            <v>172505</v>
          </cell>
          <cell r="B80">
            <v>79</v>
          </cell>
          <cell r="C80" t="str">
            <v>구미</v>
          </cell>
          <cell r="D80" t="str">
            <v>해평</v>
          </cell>
          <cell r="E80">
            <v>707008</v>
          </cell>
          <cell r="F80">
            <v>11</v>
          </cell>
        </row>
        <row r="81">
          <cell r="A81">
            <v>151200</v>
          </cell>
          <cell r="B81">
            <v>80</v>
          </cell>
          <cell r="C81" t="str">
            <v>무주</v>
          </cell>
          <cell r="D81" t="str">
            <v>본소</v>
          </cell>
          <cell r="E81">
            <v>698302</v>
          </cell>
          <cell r="F81">
            <v>11</v>
          </cell>
        </row>
        <row r="82">
          <cell r="A82">
            <v>121803</v>
          </cell>
          <cell r="B82">
            <v>81</v>
          </cell>
          <cell r="C82" t="str">
            <v>삼척</v>
          </cell>
          <cell r="D82" t="str">
            <v>도계</v>
          </cell>
          <cell r="E82">
            <v>671594</v>
          </cell>
          <cell r="F82">
            <v>11</v>
          </cell>
        </row>
        <row r="83">
          <cell r="A83">
            <v>121600</v>
          </cell>
          <cell r="B83">
            <v>82</v>
          </cell>
          <cell r="C83" t="str">
            <v>태백</v>
          </cell>
          <cell r="D83" t="str">
            <v>본소</v>
          </cell>
          <cell r="E83">
            <v>671004</v>
          </cell>
          <cell r="F83">
            <v>11</v>
          </cell>
        </row>
        <row r="84">
          <cell r="A84">
            <v>178302</v>
          </cell>
          <cell r="B84">
            <v>83</v>
          </cell>
          <cell r="C84" t="str">
            <v>대구경북양계</v>
          </cell>
          <cell r="D84" t="str">
            <v>범물</v>
          </cell>
          <cell r="E84">
            <v>670956</v>
          </cell>
          <cell r="F84">
            <v>11</v>
          </cell>
        </row>
        <row r="85">
          <cell r="A85">
            <v>142402</v>
          </cell>
          <cell r="B85">
            <v>84</v>
          </cell>
          <cell r="C85" t="str">
            <v>아산</v>
          </cell>
          <cell r="D85" t="str">
            <v>둔포</v>
          </cell>
          <cell r="E85">
            <v>660178</v>
          </cell>
          <cell r="F85">
            <v>11</v>
          </cell>
        </row>
        <row r="86">
          <cell r="A86">
            <v>171302</v>
          </cell>
          <cell r="B86">
            <v>85</v>
          </cell>
          <cell r="C86" t="str">
            <v>경주</v>
          </cell>
          <cell r="D86" t="str">
            <v>노동</v>
          </cell>
          <cell r="E86">
            <v>654075</v>
          </cell>
          <cell r="F86">
            <v>11</v>
          </cell>
        </row>
        <row r="87">
          <cell r="A87">
            <v>168101</v>
          </cell>
          <cell r="B87">
            <v>86</v>
          </cell>
          <cell r="C87" t="str">
            <v>광전우유</v>
          </cell>
          <cell r="D87" t="str">
            <v>두암</v>
          </cell>
          <cell r="E87">
            <v>650841</v>
          </cell>
          <cell r="F87">
            <v>11</v>
          </cell>
        </row>
        <row r="88">
          <cell r="A88">
            <v>162303</v>
          </cell>
          <cell r="B88">
            <v>87</v>
          </cell>
          <cell r="C88" t="str">
            <v>영암</v>
          </cell>
          <cell r="D88" t="str">
            <v>학산</v>
          </cell>
          <cell r="E88">
            <v>638502</v>
          </cell>
          <cell r="F88">
            <v>11</v>
          </cell>
        </row>
        <row r="89">
          <cell r="A89">
            <v>182300</v>
          </cell>
          <cell r="B89">
            <v>88</v>
          </cell>
          <cell r="C89" t="str">
            <v>양산</v>
          </cell>
          <cell r="D89" t="str">
            <v>본소</v>
          </cell>
          <cell r="E89">
            <v>634704</v>
          </cell>
          <cell r="F89">
            <v>11</v>
          </cell>
        </row>
        <row r="90">
          <cell r="A90">
            <v>161201</v>
          </cell>
          <cell r="B90">
            <v>89</v>
          </cell>
          <cell r="C90" t="str">
            <v>담양</v>
          </cell>
          <cell r="D90" t="str">
            <v>창평</v>
          </cell>
          <cell r="E90">
            <v>629970</v>
          </cell>
          <cell r="F90">
            <v>11</v>
          </cell>
        </row>
        <row r="91">
          <cell r="A91">
            <v>172100</v>
          </cell>
          <cell r="B91">
            <v>90</v>
          </cell>
          <cell r="C91" t="str">
            <v>성주</v>
          </cell>
          <cell r="D91" t="str">
            <v>본소</v>
          </cell>
          <cell r="E91">
            <v>628452</v>
          </cell>
          <cell r="F91">
            <v>11</v>
          </cell>
        </row>
        <row r="92">
          <cell r="A92">
            <v>168400</v>
          </cell>
          <cell r="B92">
            <v>91</v>
          </cell>
          <cell r="C92" t="str">
            <v>진도견보육</v>
          </cell>
          <cell r="D92" t="str">
            <v>본소</v>
          </cell>
          <cell r="E92">
            <v>599118</v>
          </cell>
          <cell r="F92">
            <v>11</v>
          </cell>
        </row>
        <row r="93">
          <cell r="A93">
            <v>181103</v>
          </cell>
          <cell r="B93">
            <v>92</v>
          </cell>
          <cell r="C93" t="str">
            <v>창녕</v>
          </cell>
          <cell r="D93" t="str">
            <v>남창녕</v>
          </cell>
          <cell r="E93">
            <v>596304</v>
          </cell>
          <cell r="F93">
            <v>11</v>
          </cell>
        </row>
        <row r="94">
          <cell r="A94">
            <v>162801</v>
          </cell>
          <cell r="B94">
            <v>93</v>
          </cell>
          <cell r="C94" t="str">
            <v>곡성</v>
          </cell>
          <cell r="D94" t="str">
            <v>옥과</v>
          </cell>
          <cell r="E94">
            <v>591226</v>
          </cell>
          <cell r="F94">
            <v>11</v>
          </cell>
        </row>
        <row r="95">
          <cell r="A95">
            <v>171801</v>
          </cell>
          <cell r="B95">
            <v>94</v>
          </cell>
          <cell r="C95" t="str">
            <v>영천</v>
          </cell>
          <cell r="D95" t="str">
            <v>금호</v>
          </cell>
          <cell r="E95">
            <v>587701</v>
          </cell>
          <cell r="F95">
            <v>11</v>
          </cell>
        </row>
        <row r="96">
          <cell r="A96">
            <v>151901</v>
          </cell>
          <cell r="B96">
            <v>95</v>
          </cell>
          <cell r="C96" t="str">
            <v>김제</v>
          </cell>
          <cell r="D96" t="str">
            <v>금만</v>
          </cell>
          <cell r="E96">
            <v>564669</v>
          </cell>
          <cell r="F96">
            <v>11</v>
          </cell>
        </row>
        <row r="97">
          <cell r="A97">
            <v>151403</v>
          </cell>
          <cell r="B97">
            <v>96</v>
          </cell>
          <cell r="C97" t="str">
            <v>남원</v>
          </cell>
          <cell r="D97" t="str">
            <v>요천</v>
          </cell>
          <cell r="E97">
            <v>562973</v>
          </cell>
          <cell r="F97">
            <v>11</v>
          </cell>
        </row>
        <row r="98">
          <cell r="A98">
            <v>181201</v>
          </cell>
          <cell r="B98">
            <v>97</v>
          </cell>
          <cell r="C98" t="str">
            <v>거창</v>
          </cell>
          <cell r="D98" t="str">
            <v>종합</v>
          </cell>
          <cell r="E98">
            <v>554394</v>
          </cell>
          <cell r="F98">
            <v>11</v>
          </cell>
        </row>
        <row r="99">
          <cell r="A99">
            <v>191102</v>
          </cell>
          <cell r="B99">
            <v>98</v>
          </cell>
          <cell r="C99" t="str">
            <v>제주</v>
          </cell>
          <cell r="D99" t="str">
            <v>동문</v>
          </cell>
          <cell r="E99">
            <v>542185</v>
          </cell>
          <cell r="F99">
            <v>11</v>
          </cell>
        </row>
        <row r="100">
          <cell r="A100">
            <v>181800</v>
          </cell>
          <cell r="B100">
            <v>99</v>
          </cell>
          <cell r="C100" t="str">
            <v>함양</v>
          </cell>
          <cell r="D100" t="str">
            <v>본소</v>
          </cell>
          <cell r="E100">
            <v>530673</v>
          </cell>
          <cell r="F100">
            <v>11</v>
          </cell>
        </row>
        <row r="101">
          <cell r="A101">
            <v>161104</v>
          </cell>
          <cell r="B101">
            <v>100</v>
          </cell>
          <cell r="C101" t="str">
            <v>광주</v>
          </cell>
          <cell r="D101" t="str">
            <v>광산</v>
          </cell>
          <cell r="E101">
            <v>518949</v>
          </cell>
          <cell r="F101">
            <v>11</v>
          </cell>
        </row>
        <row r="102">
          <cell r="A102">
            <v>171101</v>
          </cell>
          <cell r="B102">
            <v>101</v>
          </cell>
          <cell r="C102" t="str">
            <v>대구</v>
          </cell>
          <cell r="D102" t="str">
            <v>달서</v>
          </cell>
          <cell r="E102">
            <v>515537</v>
          </cell>
          <cell r="F102">
            <v>11</v>
          </cell>
        </row>
        <row r="103">
          <cell r="A103">
            <v>131103</v>
          </cell>
          <cell r="B103">
            <v>102</v>
          </cell>
          <cell r="C103" t="str">
            <v>청주</v>
          </cell>
          <cell r="D103" t="str">
            <v>가경</v>
          </cell>
          <cell r="E103">
            <v>485674</v>
          </cell>
          <cell r="F103">
            <v>11</v>
          </cell>
        </row>
        <row r="104">
          <cell r="A104">
            <v>108101</v>
          </cell>
          <cell r="B104">
            <v>103</v>
          </cell>
          <cell r="C104" t="str">
            <v>서울경기양계</v>
          </cell>
          <cell r="D104" t="str">
            <v>천호</v>
          </cell>
          <cell r="E104">
            <v>483511</v>
          </cell>
          <cell r="F104">
            <v>11</v>
          </cell>
        </row>
        <row r="105">
          <cell r="A105">
            <v>161302</v>
          </cell>
          <cell r="B105">
            <v>104</v>
          </cell>
          <cell r="C105" t="str">
            <v>여수여천</v>
          </cell>
          <cell r="D105" t="str">
            <v>공화</v>
          </cell>
          <cell r="E105">
            <v>472242</v>
          </cell>
          <cell r="F105">
            <v>11</v>
          </cell>
        </row>
        <row r="106">
          <cell r="A106">
            <v>161303</v>
          </cell>
          <cell r="B106">
            <v>105</v>
          </cell>
          <cell r="C106" t="str">
            <v>여수여천</v>
          </cell>
          <cell r="D106" t="str">
            <v>율촌</v>
          </cell>
          <cell r="E106">
            <v>469596</v>
          </cell>
          <cell r="F106">
            <v>11</v>
          </cell>
        </row>
        <row r="107">
          <cell r="A107">
            <v>161106</v>
          </cell>
          <cell r="B107">
            <v>106</v>
          </cell>
          <cell r="C107" t="str">
            <v>광주</v>
          </cell>
          <cell r="D107" t="str">
            <v>무등</v>
          </cell>
          <cell r="E107">
            <v>461308</v>
          </cell>
          <cell r="F107">
            <v>11</v>
          </cell>
        </row>
        <row r="108">
          <cell r="A108">
            <v>162301</v>
          </cell>
          <cell r="B108">
            <v>107</v>
          </cell>
          <cell r="C108" t="str">
            <v>영암</v>
          </cell>
          <cell r="D108" t="str">
            <v>시종</v>
          </cell>
          <cell r="E108">
            <v>457656</v>
          </cell>
          <cell r="F108">
            <v>11</v>
          </cell>
        </row>
        <row r="109">
          <cell r="A109">
            <v>163202</v>
          </cell>
          <cell r="B109">
            <v>108</v>
          </cell>
          <cell r="C109" t="str">
            <v>화순</v>
          </cell>
          <cell r="D109" t="str">
            <v>향청</v>
          </cell>
          <cell r="E109">
            <v>391966</v>
          </cell>
          <cell r="F109">
            <v>11</v>
          </cell>
        </row>
        <row r="110">
          <cell r="A110">
            <v>122101</v>
          </cell>
          <cell r="B110">
            <v>109</v>
          </cell>
          <cell r="C110" t="str">
            <v>동해</v>
          </cell>
          <cell r="D110" t="str">
            <v>천곡</v>
          </cell>
          <cell r="E110">
            <v>382998</v>
          </cell>
          <cell r="F110">
            <v>11</v>
          </cell>
        </row>
        <row r="111">
          <cell r="A111">
            <v>122103</v>
          </cell>
          <cell r="B111">
            <v>110</v>
          </cell>
          <cell r="C111" t="str">
            <v>동해</v>
          </cell>
          <cell r="D111" t="str">
            <v>북삼</v>
          </cell>
          <cell r="E111">
            <v>382998</v>
          </cell>
          <cell r="F111">
            <v>11</v>
          </cell>
        </row>
        <row r="112">
          <cell r="A112">
            <v>122102</v>
          </cell>
          <cell r="B112">
            <v>111</v>
          </cell>
          <cell r="C112" t="str">
            <v>동해</v>
          </cell>
          <cell r="D112" t="str">
            <v>묵호</v>
          </cell>
          <cell r="E112">
            <v>382998</v>
          </cell>
          <cell r="F112">
            <v>11</v>
          </cell>
        </row>
        <row r="113">
          <cell r="A113">
            <v>182201</v>
          </cell>
          <cell r="B113">
            <v>112</v>
          </cell>
          <cell r="C113" t="str">
            <v>거제</v>
          </cell>
          <cell r="D113" t="str">
            <v>옥포</v>
          </cell>
          <cell r="E113">
            <v>367834</v>
          </cell>
          <cell r="F113">
            <v>11</v>
          </cell>
        </row>
        <row r="114">
          <cell r="A114">
            <v>162402</v>
          </cell>
          <cell r="B114">
            <v>113</v>
          </cell>
          <cell r="C114" t="str">
            <v>장성</v>
          </cell>
          <cell r="D114" t="str">
            <v>한우</v>
          </cell>
          <cell r="E114">
            <v>336857</v>
          </cell>
          <cell r="F114">
            <v>11</v>
          </cell>
        </row>
        <row r="115">
          <cell r="A115">
            <v>161601</v>
          </cell>
          <cell r="B115">
            <v>114</v>
          </cell>
          <cell r="C115" t="str">
            <v>고흥</v>
          </cell>
          <cell r="D115" t="str">
            <v>도양</v>
          </cell>
          <cell r="E115">
            <v>324588</v>
          </cell>
          <cell r="F115">
            <v>11</v>
          </cell>
        </row>
        <row r="116">
          <cell r="A116">
            <v>171602</v>
          </cell>
          <cell r="B116">
            <v>115</v>
          </cell>
          <cell r="C116" t="str">
            <v>의성</v>
          </cell>
          <cell r="D116" t="str">
            <v>안계</v>
          </cell>
          <cell r="E116">
            <v>294333</v>
          </cell>
          <cell r="F116">
            <v>11</v>
          </cell>
        </row>
        <row r="117">
          <cell r="A117">
            <v>142401</v>
          </cell>
          <cell r="B117">
            <v>116</v>
          </cell>
          <cell r="C117" t="str">
            <v>아산</v>
          </cell>
          <cell r="D117" t="str">
            <v>온천</v>
          </cell>
          <cell r="E117">
            <v>270978</v>
          </cell>
          <cell r="F117">
            <v>11</v>
          </cell>
        </row>
        <row r="118">
          <cell r="A118">
            <v>162602</v>
          </cell>
          <cell r="B118">
            <v>117</v>
          </cell>
          <cell r="C118" t="str">
            <v>보성</v>
          </cell>
          <cell r="D118" t="str">
            <v>벌교</v>
          </cell>
          <cell r="E118">
            <v>263813</v>
          </cell>
          <cell r="F118">
            <v>11</v>
          </cell>
        </row>
        <row r="119">
          <cell r="A119">
            <v>171501</v>
          </cell>
          <cell r="B119">
            <v>118</v>
          </cell>
          <cell r="C119" t="str">
            <v>안동</v>
          </cell>
          <cell r="D119" t="str">
            <v>풍산</v>
          </cell>
          <cell r="E119">
            <v>239253</v>
          </cell>
          <cell r="F119">
            <v>11</v>
          </cell>
        </row>
        <row r="120">
          <cell r="A120">
            <v>168102</v>
          </cell>
          <cell r="B120">
            <v>119</v>
          </cell>
          <cell r="C120" t="str">
            <v>광전우유</v>
          </cell>
          <cell r="D120" t="str">
            <v>서광</v>
          </cell>
          <cell r="E120">
            <v>215679</v>
          </cell>
          <cell r="F120">
            <v>11</v>
          </cell>
        </row>
        <row r="121">
          <cell r="A121">
            <v>152101</v>
          </cell>
          <cell r="B121">
            <v>120</v>
          </cell>
          <cell r="C121" t="str">
            <v>군산</v>
          </cell>
          <cell r="D121" t="str">
            <v>신영</v>
          </cell>
          <cell r="E121">
            <v>196380</v>
          </cell>
          <cell r="F121">
            <v>11</v>
          </cell>
        </row>
        <row r="122">
          <cell r="A122">
            <v>122400</v>
          </cell>
          <cell r="B122">
            <v>121</v>
          </cell>
          <cell r="C122" t="str">
            <v>횡성</v>
          </cell>
          <cell r="D122" t="str">
            <v>본소</v>
          </cell>
          <cell r="E122">
            <v>179883</v>
          </cell>
          <cell r="F122">
            <v>11</v>
          </cell>
        </row>
        <row r="123">
          <cell r="A123">
            <v>163101</v>
          </cell>
          <cell r="B123">
            <v>122</v>
          </cell>
          <cell r="C123" t="str">
            <v>진도</v>
          </cell>
          <cell r="D123" t="str">
            <v>임회</v>
          </cell>
          <cell r="E123">
            <v>176908</v>
          </cell>
          <cell r="F123">
            <v>11</v>
          </cell>
        </row>
        <row r="124">
          <cell r="A124">
            <v>181600</v>
          </cell>
          <cell r="B124">
            <v>123</v>
          </cell>
          <cell r="C124" t="str">
            <v>밀양</v>
          </cell>
          <cell r="D124" t="str">
            <v>본소</v>
          </cell>
          <cell r="E124">
            <v>176847</v>
          </cell>
          <cell r="F124">
            <v>11</v>
          </cell>
        </row>
        <row r="125">
          <cell r="A125">
            <v>198200</v>
          </cell>
          <cell r="B125">
            <v>124</v>
          </cell>
          <cell r="C125" t="str">
            <v>제주양봉</v>
          </cell>
          <cell r="D125" t="str">
            <v>본소</v>
          </cell>
          <cell r="E125">
            <v>175916</v>
          </cell>
          <cell r="F125">
            <v>11</v>
          </cell>
        </row>
        <row r="126">
          <cell r="A126">
            <v>121702</v>
          </cell>
          <cell r="B126">
            <v>125</v>
          </cell>
          <cell r="C126" t="str">
            <v>속초</v>
          </cell>
          <cell r="D126" t="str">
            <v>중앙</v>
          </cell>
          <cell r="E126">
            <v>174143</v>
          </cell>
          <cell r="F126">
            <v>11</v>
          </cell>
        </row>
        <row r="127">
          <cell r="A127">
            <v>181602</v>
          </cell>
          <cell r="B127">
            <v>126</v>
          </cell>
          <cell r="C127" t="str">
            <v>밀양</v>
          </cell>
          <cell r="D127" t="str">
            <v>신무안</v>
          </cell>
          <cell r="E127">
            <v>172672</v>
          </cell>
          <cell r="F127">
            <v>11</v>
          </cell>
        </row>
        <row r="128">
          <cell r="A128">
            <v>198100</v>
          </cell>
          <cell r="B128">
            <v>127</v>
          </cell>
          <cell r="C128" t="str">
            <v>제주양돈</v>
          </cell>
          <cell r="D128" t="str">
            <v>본소</v>
          </cell>
          <cell r="E128">
            <v>170090</v>
          </cell>
          <cell r="F128">
            <v>11</v>
          </cell>
        </row>
        <row r="129">
          <cell r="A129">
            <v>152004</v>
          </cell>
          <cell r="B129">
            <v>128</v>
          </cell>
          <cell r="C129" t="str">
            <v>익산</v>
          </cell>
          <cell r="D129" t="str">
            <v>인화</v>
          </cell>
          <cell r="E129">
            <v>158615</v>
          </cell>
          <cell r="F129">
            <v>11</v>
          </cell>
        </row>
        <row r="130">
          <cell r="A130">
            <v>141200</v>
          </cell>
          <cell r="B130">
            <v>129</v>
          </cell>
          <cell r="C130" t="str">
            <v>금산</v>
          </cell>
          <cell r="D130" t="str">
            <v>본소</v>
          </cell>
          <cell r="E130">
            <v>151456</v>
          </cell>
          <cell r="F130">
            <v>11</v>
          </cell>
        </row>
        <row r="131">
          <cell r="A131">
            <v>182800</v>
          </cell>
          <cell r="B131">
            <v>130</v>
          </cell>
          <cell r="C131" t="str">
            <v>합천</v>
          </cell>
          <cell r="D131" t="str">
            <v>본소</v>
          </cell>
          <cell r="E131">
            <v>150156</v>
          </cell>
          <cell r="F131">
            <v>11</v>
          </cell>
        </row>
        <row r="132">
          <cell r="A132">
            <v>181903</v>
          </cell>
          <cell r="B132">
            <v>131</v>
          </cell>
          <cell r="C132" t="str">
            <v>마산</v>
          </cell>
          <cell r="D132" t="str">
            <v>신마산</v>
          </cell>
          <cell r="E132">
            <v>146451</v>
          </cell>
          <cell r="F132">
            <v>11</v>
          </cell>
        </row>
        <row r="133">
          <cell r="A133">
            <v>131701</v>
          </cell>
          <cell r="B133">
            <v>132</v>
          </cell>
          <cell r="C133" t="str">
            <v>진천</v>
          </cell>
          <cell r="D133" t="str">
            <v>만승</v>
          </cell>
          <cell r="E133">
            <v>-835738</v>
          </cell>
          <cell r="F133">
            <v>11</v>
          </cell>
        </row>
        <row r="134">
          <cell r="E134">
            <v>174149276</v>
          </cell>
        </row>
      </sheetData>
      <sheetData sheetId="4" refreshError="1">
        <row r="1">
          <cell r="A1" t="str">
            <v>CODE</v>
          </cell>
          <cell r="B1" t="str">
            <v>No.</v>
          </cell>
          <cell r="C1" t="str">
            <v>조합명</v>
          </cell>
          <cell r="D1" t="str">
            <v>판매장명</v>
          </cell>
          <cell r="E1" t="str">
            <v>매출액</v>
          </cell>
          <cell r="F1" t="str">
            <v>월</v>
          </cell>
        </row>
        <row r="2">
          <cell r="A2">
            <v>171803</v>
          </cell>
          <cell r="B2">
            <v>1</v>
          </cell>
          <cell r="C2" t="str">
            <v>영천</v>
          </cell>
          <cell r="D2" t="str">
            <v>영남</v>
          </cell>
          <cell r="E2">
            <v>9068327</v>
          </cell>
        </row>
        <row r="3">
          <cell r="A3">
            <v>141400</v>
          </cell>
          <cell r="B3">
            <v>2</v>
          </cell>
          <cell r="C3" t="str">
            <v>부여</v>
          </cell>
          <cell r="D3" t="str">
            <v>본소</v>
          </cell>
          <cell r="E3">
            <v>8885118</v>
          </cell>
        </row>
        <row r="4">
          <cell r="A4">
            <v>128402</v>
          </cell>
          <cell r="B4">
            <v>3</v>
          </cell>
          <cell r="C4" t="str">
            <v>영동양돈</v>
          </cell>
          <cell r="D4" t="str">
            <v>송정</v>
          </cell>
          <cell r="E4">
            <v>7300598</v>
          </cell>
        </row>
        <row r="5">
          <cell r="A5">
            <v>182100</v>
          </cell>
          <cell r="B5">
            <v>4</v>
          </cell>
          <cell r="C5" t="str">
            <v>김해</v>
          </cell>
          <cell r="D5" t="str">
            <v>본소</v>
          </cell>
          <cell r="E5">
            <v>6541479</v>
          </cell>
        </row>
        <row r="6">
          <cell r="A6">
            <v>171802</v>
          </cell>
          <cell r="B6">
            <v>5</v>
          </cell>
          <cell r="C6" t="str">
            <v>영천</v>
          </cell>
          <cell r="D6" t="str">
            <v>서문</v>
          </cell>
          <cell r="E6">
            <v>6182540</v>
          </cell>
        </row>
        <row r="7">
          <cell r="A7">
            <v>171502</v>
          </cell>
          <cell r="B7">
            <v>6</v>
          </cell>
          <cell r="C7" t="str">
            <v>안동</v>
          </cell>
          <cell r="D7" t="str">
            <v>송현</v>
          </cell>
          <cell r="E7">
            <v>6052315</v>
          </cell>
        </row>
        <row r="8">
          <cell r="A8">
            <v>131401</v>
          </cell>
          <cell r="B8">
            <v>7</v>
          </cell>
          <cell r="C8" t="str">
            <v>충주</v>
          </cell>
          <cell r="D8" t="str">
            <v>본소</v>
          </cell>
          <cell r="E8">
            <v>5999609</v>
          </cell>
        </row>
        <row r="9">
          <cell r="A9">
            <v>128400</v>
          </cell>
          <cell r="B9">
            <v>8</v>
          </cell>
          <cell r="C9" t="str">
            <v>영동양돈</v>
          </cell>
          <cell r="D9" t="str">
            <v>본소</v>
          </cell>
          <cell r="E9">
            <v>5986389</v>
          </cell>
        </row>
        <row r="10">
          <cell r="A10">
            <v>148300</v>
          </cell>
          <cell r="B10">
            <v>9</v>
          </cell>
          <cell r="C10" t="str">
            <v>백제낙농</v>
          </cell>
          <cell r="D10" t="str">
            <v>본소</v>
          </cell>
          <cell r="E10">
            <v>5722101</v>
          </cell>
        </row>
        <row r="11">
          <cell r="A11">
            <v>112100</v>
          </cell>
          <cell r="B11">
            <v>10</v>
          </cell>
          <cell r="C11" t="str">
            <v>평택</v>
          </cell>
          <cell r="D11" t="str">
            <v>본소</v>
          </cell>
          <cell r="E11">
            <v>5412715</v>
          </cell>
        </row>
        <row r="12">
          <cell r="A12">
            <v>131800</v>
          </cell>
          <cell r="B12">
            <v>11</v>
          </cell>
          <cell r="C12" t="str">
            <v>단양</v>
          </cell>
          <cell r="D12" t="str">
            <v>본소</v>
          </cell>
          <cell r="E12">
            <v>5134878</v>
          </cell>
        </row>
        <row r="13">
          <cell r="A13">
            <v>122101</v>
          </cell>
          <cell r="B13">
            <v>12</v>
          </cell>
          <cell r="C13" t="str">
            <v>동해</v>
          </cell>
          <cell r="D13" t="str">
            <v>천곡</v>
          </cell>
          <cell r="E13">
            <v>5087416</v>
          </cell>
        </row>
        <row r="14">
          <cell r="A14">
            <v>182200</v>
          </cell>
          <cell r="B14">
            <v>13</v>
          </cell>
          <cell r="C14" t="str">
            <v>거제</v>
          </cell>
          <cell r="D14" t="str">
            <v>본소</v>
          </cell>
          <cell r="E14">
            <v>5044965</v>
          </cell>
        </row>
        <row r="15">
          <cell r="A15">
            <v>181403</v>
          </cell>
          <cell r="B15">
            <v>14</v>
          </cell>
          <cell r="C15" t="str">
            <v>부산</v>
          </cell>
          <cell r="D15" t="str">
            <v>영도</v>
          </cell>
          <cell r="E15">
            <v>5002828</v>
          </cell>
        </row>
        <row r="16">
          <cell r="A16">
            <v>181301</v>
          </cell>
          <cell r="B16">
            <v>15</v>
          </cell>
          <cell r="C16" t="str">
            <v>진주</v>
          </cell>
          <cell r="D16" t="str">
            <v>평거</v>
          </cell>
          <cell r="E16">
            <v>4929424</v>
          </cell>
        </row>
        <row r="17">
          <cell r="A17">
            <v>182501</v>
          </cell>
          <cell r="B17">
            <v>16</v>
          </cell>
          <cell r="C17" t="str">
            <v>남해</v>
          </cell>
          <cell r="D17" t="str">
            <v>본소</v>
          </cell>
          <cell r="E17">
            <v>4890710</v>
          </cell>
        </row>
        <row r="18">
          <cell r="A18">
            <v>122201</v>
          </cell>
          <cell r="B18">
            <v>17</v>
          </cell>
          <cell r="C18" t="str">
            <v>양구</v>
          </cell>
          <cell r="D18" t="str">
            <v>상리</v>
          </cell>
          <cell r="E18">
            <v>4801284</v>
          </cell>
        </row>
        <row r="19">
          <cell r="A19">
            <v>128403</v>
          </cell>
          <cell r="B19">
            <v>18</v>
          </cell>
          <cell r="C19" t="str">
            <v>영동양돈</v>
          </cell>
          <cell r="D19" t="str">
            <v>성덕</v>
          </cell>
          <cell r="E19">
            <v>4453886</v>
          </cell>
        </row>
        <row r="20">
          <cell r="A20">
            <v>182300</v>
          </cell>
          <cell r="B20">
            <v>19</v>
          </cell>
          <cell r="C20" t="str">
            <v>양산</v>
          </cell>
          <cell r="D20" t="str">
            <v>본소</v>
          </cell>
          <cell r="E20">
            <v>4373458</v>
          </cell>
        </row>
        <row r="21">
          <cell r="A21">
            <v>121701</v>
          </cell>
          <cell r="B21">
            <v>20</v>
          </cell>
          <cell r="C21" t="str">
            <v>속초</v>
          </cell>
          <cell r="D21" t="str">
            <v>교동</v>
          </cell>
          <cell r="E21">
            <v>4251745</v>
          </cell>
        </row>
        <row r="22">
          <cell r="A22">
            <v>171800</v>
          </cell>
          <cell r="B22">
            <v>21</v>
          </cell>
          <cell r="C22" t="str">
            <v>영천</v>
          </cell>
          <cell r="D22" t="str">
            <v>본소</v>
          </cell>
          <cell r="E22">
            <v>4194550</v>
          </cell>
        </row>
        <row r="23">
          <cell r="A23">
            <v>142200</v>
          </cell>
          <cell r="B23">
            <v>22</v>
          </cell>
          <cell r="C23" t="str">
            <v>당진</v>
          </cell>
          <cell r="D23" t="str">
            <v>본소</v>
          </cell>
          <cell r="E23">
            <v>4192586</v>
          </cell>
        </row>
        <row r="24">
          <cell r="A24">
            <v>181100</v>
          </cell>
          <cell r="B24">
            <v>23</v>
          </cell>
          <cell r="C24" t="str">
            <v>창녕</v>
          </cell>
          <cell r="D24" t="str">
            <v>본소</v>
          </cell>
          <cell r="E24">
            <v>4059859</v>
          </cell>
        </row>
        <row r="25">
          <cell r="A25">
            <v>148100</v>
          </cell>
          <cell r="B25">
            <v>24</v>
          </cell>
          <cell r="C25" t="str">
            <v>공주낙농</v>
          </cell>
          <cell r="D25" t="str">
            <v>본소</v>
          </cell>
          <cell r="E25">
            <v>3948960</v>
          </cell>
        </row>
        <row r="26">
          <cell r="A26">
            <v>121401</v>
          </cell>
          <cell r="B26">
            <v>25</v>
          </cell>
          <cell r="C26" t="str">
            <v>강릉</v>
          </cell>
          <cell r="D26" t="str">
            <v>성내</v>
          </cell>
          <cell r="E26">
            <v>3904738</v>
          </cell>
        </row>
        <row r="27">
          <cell r="A27">
            <v>122102</v>
          </cell>
          <cell r="B27">
            <v>26</v>
          </cell>
          <cell r="C27" t="str">
            <v>동해</v>
          </cell>
          <cell r="D27" t="str">
            <v>묵호</v>
          </cell>
          <cell r="E27">
            <v>3893647</v>
          </cell>
        </row>
        <row r="28">
          <cell r="A28">
            <v>161900</v>
          </cell>
          <cell r="B28">
            <v>27</v>
          </cell>
          <cell r="C28" t="str">
            <v>목포</v>
          </cell>
          <cell r="D28" t="str">
            <v>본소</v>
          </cell>
          <cell r="E28">
            <v>3872984</v>
          </cell>
        </row>
        <row r="29">
          <cell r="A29">
            <v>142600</v>
          </cell>
          <cell r="B29">
            <v>28</v>
          </cell>
          <cell r="C29" t="str">
            <v>청양</v>
          </cell>
          <cell r="D29" t="str">
            <v>본소</v>
          </cell>
          <cell r="E29">
            <v>3847864</v>
          </cell>
        </row>
        <row r="30">
          <cell r="A30">
            <v>182101</v>
          </cell>
          <cell r="B30">
            <v>29</v>
          </cell>
          <cell r="C30" t="str">
            <v>김해</v>
          </cell>
          <cell r="D30" t="str">
            <v>내외동</v>
          </cell>
          <cell r="E30">
            <v>3829193</v>
          </cell>
        </row>
        <row r="31">
          <cell r="A31">
            <v>152300</v>
          </cell>
          <cell r="B31">
            <v>30</v>
          </cell>
          <cell r="C31" t="str">
            <v>부안</v>
          </cell>
          <cell r="D31" t="str">
            <v>본소</v>
          </cell>
          <cell r="E31">
            <v>3622874</v>
          </cell>
        </row>
        <row r="32">
          <cell r="A32">
            <v>171303</v>
          </cell>
          <cell r="B32">
            <v>31</v>
          </cell>
          <cell r="C32" t="str">
            <v>경주</v>
          </cell>
          <cell r="D32" t="str">
            <v>성동</v>
          </cell>
          <cell r="E32">
            <v>3583717</v>
          </cell>
        </row>
        <row r="33">
          <cell r="A33">
            <v>188124</v>
          </cell>
          <cell r="B33">
            <v>32</v>
          </cell>
          <cell r="C33" t="str">
            <v>부산경남양계</v>
          </cell>
          <cell r="D33" t="str">
            <v>서동점</v>
          </cell>
          <cell r="E33">
            <v>3394691</v>
          </cell>
        </row>
        <row r="34">
          <cell r="A34">
            <v>122300</v>
          </cell>
          <cell r="B34">
            <v>33</v>
          </cell>
          <cell r="C34" t="str">
            <v>양양</v>
          </cell>
          <cell r="D34" t="str">
            <v>본소</v>
          </cell>
          <cell r="E34">
            <v>3379566</v>
          </cell>
        </row>
        <row r="35">
          <cell r="A35">
            <v>151102</v>
          </cell>
          <cell r="B35">
            <v>34</v>
          </cell>
          <cell r="C35" t="str">
            <v>전주</v>
          </cell>
          <cell r="D35" t="str">
            <v>서부</v>
          </cell>
          <cell r="E35">
            <v>3260311</v>
          </cell>
        </row>
        <row r="36">
          <cell r="A36">
            <v>182302</v>
          </cell>
          <cell r="B36">
            <v>35</v>
          </cell>
          <cell r="C36" t="str">
            <v>양산</v>
          </cell>
          <cell r="D36" t="str">
            <v>기장</v>
          </cell>
          <cell r="E36">
            <v>3251829</v>
          </cell>
        </row>
        <row r="37">
          <cell r="A37">
            <v>181402</v>
          </cell>
          <cell r="B37">
            <v>36</v>
          </cell>
          <cell r="C37" t="str">
            <v>부산</v>
          </cell>
          <cell r="D37" t="str">
            <v>미남</v>
          </cell>
          <cell r="E37">
            <v>3198044</v>
          </cell>
        </row>
        <row r="38">
          <cell r="A38">
            <v>162302</v>
          </cell>
          <cell r="B38">
            <v>37</v>
          </cell>
          <cell r="C38" t="str">
            <v>영암</v>
          </cell>
          <cell r="D38" t="str">
            <v>한라</v>
          </cell>
          <cell r="E38">
            <v>3147570</v>
          </cell>
        </row>
        <row r="39">
          <cell r="A39">
            <v>142300</v>
          </cell>
          <cell r="B39">
            <v>38</v>
          </cell>
          <cell r="C39" t="str">
            <v>서산</v>
          </cell>
          <cell r="D39" t="str">
            <v>본소</v>
          </cell>
          <cell r="E39">
            <v>3092146</v>
          </cell>
        </row>
        <row r="40">
          <cell r="A40">
            <v>121800</v>
          </cell>
          <cell r="B40">
            <v>39</v>
          </cell>
          <cell r="C40" t="str">
            <v>삼척</v>
          </cell>
          <cell r="D40" t="str">
            <v>본소</v>
          </cell>
          <cell r="E40">
            <v>3045061</v>
          </cell>
        </row>
        <row r="41">
          <cell r="A41">
            <v>152102</v>
          </cell>
          <cell r="B41">
            <v>40</v>
          </cell>
          <cell r="C41" t="str">
            <v>군산</v>
          </cell>
          <cell r="D41" t="str">
            <v>나운</v>
          </cell>
          <cell r="E41">
            <v>2954464</v>
          </cell>
        </row>
        <row r="42">
          <cell r="A42">
            <v>168302</v>
          </cell>
          <cell r="B42">
            <v>41</v>
          </cell>
          <cell r="C42" t="str">
            <v>광전양계</v>
          </cell>
          <cell r="D42" t="str">
            <v>신용해</v>
          </cell>
          <cell r="E42">
            <v>2948469</v>
          </cell>
        </row>
        <row r="43">
          <cell r="A43">
            <v>158100</v>
          </cell>
          <cell r="B43">
            <v>42</v>
          </cell>
          <cell r="C43" t="str">
            <v>전북양계</v>
          </cell>
          <cell r="D43" t="str">
            <v>본소</v>
          </cell>
          <cell r="E43">
            <v>2888741</v>
          </cell>
        </row>
        <row r="44">
          <cell r="A44">
            <v>151401</v>
          </cell>
          <cell r="B44">
            <v>43</v>
          </cell>
          <cell r="C44" t="str">
            <v>남원</v>
          </cell>
          <cell r="D44" t="str">
            <v>도통</v>
          </cell>
          <cell r="E44">
            <v>2809449</v>
          </cell>
        </row>
        <row r="45">
          <cell r="A45">
            <v>171904</v>
          </cell>
          <cell r="B45">
            <v>44</v>
          </cell>
          <cell r="C45" t="str">
            <v>경산</v>
          </cell>
          <cell r="D45" t="str">
            <v>고산</v>
          </cell>
          <cell r="E45">
            <v>2787341</v>
          </cell>
        </row>
        <row r="46">
          <cell r="A46">
            <v>121900</v>
          </cell>
          <cell r="B46">
            <v>45</v>
          </cell>
          <cell r="C46" t="str">
            <v>평창</v>
          </cell>
          <cell r="D46" t="str">
            <v>본소</v>
          </cell>
          <cell r="E46">
            <v>2734229</v>
          </cell>
        </row>
        <row r="47">
          <cell r="A47">
            <v>162900</v>
          </cell>
          <cell r="B47">
            <v>46</v>
          </cell>
          <cell r="C47" t="str">
            <v>완도</v>
          </cell>
          <cell r="D47" t="str">
            <v>본소</v>
          </cell>
          <cell r="E47">
            <v>2638319</v>
          </cell>
        </row>
        <row r="48">
          <cell r="A48">
            <v>182900</v>
          </cell>
          <cell r="B48">
            <v>47</v>
          </cell>
          <cell r="C48" t="str">
            <v>사천</v>
          </cell>
          <cell r="D48" t="str">
            <v>본소</v>
          </cell>
          <cell r="E48">
            <v>2586441</v>
          </cell>
        </row>
        <row r="49">
          <cell r="A49">
            <v>181905</v>
          </cell>
          <cell r="B49">
            <v>48</v>
          </cell>
          <cell r="C49" t="str">
            <v>마산</v>
          </cell>
          <cell r="D49" t="str">
            <v>대방</v>
          </cell>
          <cell r="E49">
            <v>2571471</v>
          </cell>
        </row>
        <row r="50">
          <cell r="A50">
            <v>161403</v>
          </cell>
          <cell r="B50">
            <v>49</v>
          </cell>
          <cell r="C50" t="str">
            <v>순천</v>
          </cell>
          <cell r="D50" t="str">
            <v>북순천</v>
          </cell>
          <cell r="E50">
            <v>2559304</v>
          </cell>
        </row>
        <row r="51">
          <cell r="A51">
            <v>138103</v>
          </cell>
          <cell r="B51">
            <v>50</v>
          </cell>
          <cell r="C51" t="str">
            <v>청주우유</v>
          </cell>
          <cell r="D51" t="str">
            <v>수곡</v>
          </cell>
          <cell r="E51">
            <v>2545846</v>
          </cell>
        </row>
        <row r="52">
          <cell r="A52">
            <v>131700</v>
          </cell>
          <cell r="B52">
            <v>51</v>
          </cell>
          <cell r="C52" t="str">
            <v>진천</v>
          </cell>
          <cell r="D52" t="str">
            <v>본소</v>
          </cell>
          <cell r="E52">
            <v>2502077</v>
          </cell>
        </row>
        <row r="53">
          <cell r="A53">
            <v>131400</v>
          </cell>
          <cell r="B53">
            <v>52</v>
          </cell>
          <cell r="C53" t="str">
            <v>충주</v>
          </cell>
          <cell r="D53" t="str">
            <v>문화</v>
          </cell>
          <cell r="E53">
            <v>2477921</v>
          </cell>
        </row>
        <row r="54">
          <cell r="A54">
            <v>181700</v>
          </cell>
          <cell r="B54">
            <v>53</v>
          </cell>
          <cell r="C54" t="str">
            <v>산청</v>
          </cell>
          <cell r="D54" t="str">
            <v>본소</v>
          </cell>
          <cell r="E54">
            <v>2477661</v>
          </cell>
        </row>
        <row r="55">
          <cell r="A55">
            <v>148700</v>
          </cell>
          <cell r="B55">
            <v>54</v>
          </cell>
          <cell r="C55" t="str">
            <v>서해낙농</v>
          </cell>
          <cell r="D55" t="str">
            <v>본소</v>
          </cell>
          <cell r="E55">
            <v>2471863</v>
          </cell>
        </row>
        <row r="56">
          <cell r="A56">
            <v>151106</v>
          </cell>
          <cell r="B56">
            <v>55</v>
          </cell>
          <cell r="C56" t="str">
            <v>전주</v>
          </cell>
          <cell r="D56" t="str">
            <v>효자</v>
          </cell>
          <cell r="E56">
            <v>2470128</v>
          </cell>
        </row>
        <row r="57">
          <cell r="A57">
            <v>141700</v>
          </cell>
          <cell r="B57">
            <v>56</v>
          </cell>
          <cell r="C57" t="str">
            <v>보령</v>
          </cell>
          <cell r="D57" t="str">
            <v>본소</v>
          </cell>
          <cell r="E57">
            <v>2443865</v>
          </cell>
        </row>
        <row r="58">
          <cell r="A58">
            <v>141800</v>
          </cell>
          <cell r="B58">
            <v>57</v>
          </cell>
          <cell r="C58" t="str">
            <v>공주낙농</v>
          </cell>
          <cell r="D58" t="str">
            <v>본소</v>
          </cell>
          <cell r="E58">
            <v>2430311</v>
          </cell>
        </row>
        <row r="59">
          <cell r="A59">
            <v>101101</v>
          </cell>
          <cell r="B59">
            <v>58</v>
          </cell>
          <cell r="C59" t="str">
            <v>서울</v>
          </cell>
          <cell r="D59" t="str">
            <v>하월곡</v>
          </cell>
          <cell r="E59">
            <v>2411587</v>
          </cell>
        </row>
        <row r="60">
          <cell r="A60">
            <v>131900</v>
          </cell>
          <cell r="B60">
            <v>59</v>
          </cell>
          <cell r="C60" t="str">
            <v>옥천</v>
          </cell>
          <cell r="D60" t="str">
            <v>본소</v>
          </cell>
          <cell r="E60">
            <v>2374015</v>
          </cell>
        </row>
        <row r="61">
          <cell r="A61">
            <v>182400</v>
          </cell>
          <cell r="B61">
            <v>60</v>
          </cell>
          <cell r="C61" t="str">
            <v>함안</v>
          </cell>
          <cell r="D61" t="str">
            <v>본소</v>
          </cell>
          <cell r="E61">
            <v>2271300</v>
          </cell>
        </row>
        <row r="62">
          <cell r="A62">
            <v>142100</v>
          </cell>
          <cell r="B62">
            <v>61</v>
          </cell>
          <cell r="C62" t="str">
            <v>예산</v>
          </cell>
          <cell r="D62" t="str">
            <v>본소</v>
          </cell>
          <cell r="E62">
            <v>2264585</v>
          </cell>
        </row>
        <row r="63">
          <cell r="A63">
            <v>181901</v>
          </cell>
          <cell r="B63">
            <v>62</v>
          </cell>
          <cell r="C63" t="str">
            <v>마산</v>
          </cell>
          <cell r="D63" t="str">
            <v>진해</v>
          </cell>
          <cell r="E63">
            <v>2259348</v>
          </cell>
        </row>
        <row r="64">
          <cell r="A64">
            <v>131200</v>
          </cell>
          <cell r="B64">
            <v>63</v>
          </cell>
          <cell r="C64" t="str">
            <v>음성</v>
          </cell>
          <cell r="D64" t="str">
            <v>본소</v>
          </cell>
          <cell r="E64">
            <v>2256758</v>
          </cell>
        </row>
        <row r="65">
          <cell r="A65">
            <v>128401</v>
          </cell>
          <cell r="B65">
            <v>64</v>
          </cell>
          <cell r="C65" t="str">
            <v>영동양돈</v>
          </cell>
          <cell r="D65" t="str">
            <v>주문진</v>
          </cell>
          <cell r="E65">
            <v>2235785</v>
          </cell>
        </row>
        <row r="66">
          <cell r="A66">
            <v>151800</v>
          </cell>
          <cell r="B66">
            <v>65</v>
          </cell>
          <cell r="C66" t="str">
            <v>임실</v>
          </cell>
          <cell r="D66" t="str">
            <v>본소</v>
          </cell>
          <cell r="E66">
            <v>2234121</v>
          </cell>
        </row>
        <row r="67">
          <cell r="A67">
            <v>122400</v>
          </cell>
          <cell r="B67">
            <v>66</v>
          </cell>
          <cell r="C67" t="str">
            <v>횡성</v>
          </cell>
          <cell r="D67" t="str">
            <v>본소</v>
          </cell>
          <cell r="E67">
            <v>2188568</v>
          </cell>
        </row>
        <row r="68">
          <cell r="A68">
            <v>151600</v>
          </cell>
          <cell r="B68">
            <v>67</v>
          </cell>
          <cell r="C68" t="str">
            <v>진안</v>
          </cell>
          <cell r="D68" t="str">
            <v>본소</v>
          </cell>
          <cell r="E68">
            <v>2185392</v>
          </cell>
        </row>
        <row r="69">
          <cell r="A69">
            <v>172504</v>
          </cell>
          <cell r="B69">
            <v>68</v>
          </cell>
          <cell r="C69" t="str">
            <v>구미</v>
          </cell>
          <cell r="D69" t="str">
            <v>선산</v>
          </cell>
          <cell r="E69">
            <v>2185007</v>
          </cell>
        </row>
        <row r="70">
          <cell r="A70">
            <v>151403</v>
          </cell>
          <cell r="B70">
            <v>69</v>
          </cell>
          <cell r="C70" t="str">
            <v>남원</v>
          </cell>
          <cell r="D70" t="str">
            <v>요천</v>
          </cell>
          <cell r="E70">
            <v>2131734</v>
          </cell>
        </row>
        <row r="71">
          <cell r="A71">
            <v>112500</v>
          </cell>
          <cell r="B71">
            <v>70</v>
          </cell>
          <cell r="C71" t="str">
            <v>여주</v>
          </cell>
          <cell r="D71" t="str">
            <v>본소</v>
          </cell>
          <cell r="E71">
            <v>2098137</v>
          </cell>
        </row>
        <row r="72">
          <cell r="A72">
            <v>172800</v>
          </cell>
          <cell r="B72">
            <v>71</v>
          </cell>
          <cell r="C72" t="str">
            <v>칠곡</v>
          </cell>
          <cell r="D72" t="str">
            <v>본소</v>
          </cell>
          <cell r="E72">
            <v>2082081</v>
          </cell>
        </row>
        <row r="73">
          <cell r="A73">
            <v>121400</v>
          </cell>
          <cell r="B73">
            <v>72</v>
          </cell>
          <cell r="C73" t="str">
            <v>강릉</v>
          </cell>
          <cell r="D73" t="str">
            <v>본소</v>
          </cell>
          <cell r="E73">
            <v>2072803</v>
          </cell>
        </row>
        <row r="74">
          <cell r="A74">
            <v>162501</v>
          </cell>
          <cell r="B74">
            <v>73</v>
          </cell>
          <cell r="C74" t="str">
            <v>광양</v>
          </cell>
          <cell r="D74" t="str">
            <v>인덕</v>
          </cell>
          <cell r="E74">
            <v>1959130</v>
          </cell>
        </row>
        <row r="75">
          <cell r="A75">
            <v>122103</v>
          </cell>
          <cell r="B75">
            <v>74</v>
          </cell>
          <cell r="C75" t="str">
            <v>동해</v>
          </cell>
          <cell r="D75" t="str">
            <v>북삼</v>
          </cell>
          <cell r="E75">
            <v>1955658</v>
          </cell>
        </row>
        <row r="76">
          <cell r="A76">
            <v>142201</v>
          </cell>
          <cell r="B76">
            <v>75</v>
          </cell>
          <cell r="C76" t="str">
            <v>당진</v>
          </cell>
          <cell r="D76" t="str">
            <v>합덕</v>
          </cell>
          <cell r="E76">
            <v>1943925</v>
          </cell>
        </row>
        <row r="77">
          <cell r="A77">
            <v>182000</v>
          </cell>
          <cell r="B77">
            <v>76</v>
          </cell>
          <cell r="C77" t="str">
            <v>의령</v>
          </cell>
          <cell r="D77" t="str">
            <v>본소</v>
          </cell>
          <cell r="E77">
            <v>1912132</v>
          </cell>
        </row>
        <row r="78">
          <cell r="A78">
            <v>172502</v>
          </cell>
          <cell r="B78">
            <v>77</v>
          </cell>
          <cell r="C78" t="str">
            <v>구미</v>
          </cell>
          <cell r="D78" t="str">
            <v>황상</v>
          </cell>
          <cell r="E78">
            <v>1872558</v>
          </cell>
        </row>
        <row r="79">
          <cell r="A79">
            <v>171801</v>
          </cell>
          <cell r="B79">
            <v>78</v>
          </cell>
          <cell r="C79" t="str">
            <v>영천</v>
          </cell>
          <cell r="D79" t="str">
            <v>금호</v>
          </cell>
          <cell r="E79">
            <v>1846226</v>
          </cell>
        </row>
        <row r="80">
          <cell r="A80">
            <v>121802</v>
          </cell>
          <cell r="B80">
            <v>79</v>
          </cell>
          <cell r="C80" t="str">
            <v>삼척</v>
          </cell>
          <cell r="D80" t="str">
            <v>근덕</v>
          </cell>
          <cell r="E80">
            <v>1706610</v>
          </cell>
        </row>
        <row r="81">
          <cell r="A81">
            <v>100080</v>
          </cell>
          <cell r="B81">
            <v>80</v>
          </cell>
          <cell r="C81" t="str">
            <v>축협유통</v>
          </cell>
          <cell r="D81" t="str">
            <v>신림</v>
          </cell>
          <cell r="E81">
            <v>1664743</v>
          </cell>
        </row>
        <row r="82">
          <cell r="A82">
            <v>162200</v>
          </cell>
          <cell r="B82">
            <v>81</v>
          </cell>
          <cell r="C82" t="str">
            <v>해남</v>
          </cell>
          <cell r="D82" t="str">
            <v>본소</v>
          </cell>
          <cell r="E82">
            <v>1628435</v>
          </cell>
        </row>
        <row r="83">
          <cell r="A83">
            <v>151101</v>
          </cell>
          <cell r="B83">
            <v>82</v>
          </cell>
          <cell r="C83" t="str">
            <v>전주</v>
          </cell>
          <cell r="D83" t="str">
            <v>충경로</v>
          </cell>
          <cell r="E83">
            <v>1626999</v>
          </cell>
        </row>
        <row r="84">
          <cell r="A84">
            <v>151100</v>
          </cell>
          <cell r="B84">
            <v>83</v>
          </cell>
          <cell r="C84" t="str">
            <v>전주</v>
          </cell>
          <cell r="D84" t="str">
            <v>본소</v>
          </cell>
          <cell r="E84">
            <v>1626953</v>
          </cell>
        </row>
        <row r="85">
          <cell r="A85">
            <v>161501</v>
          </cell>
          <cell r="B85">
            <v>84</v>
          </cell>
          <cell r="C85" t="str">
            <v>구례</v>
          </cell>
          <cell r="D85" t="str">
            <v>봉동</v>
          </cell>
          <cell r="E85">
            <v>1614391</v>
          </cell>
        </row>
        <row r="86">
          <cell r="A86">
            <v>151502</v>
          </cell>
          <cell r="B86">
            <v>85</v>
          </cell>
          <cell r="C86" t="str">
            <v>순창</v>
          </cell>
          <cell r="D86" t="str">
            <v>동순창</v>
          </cell>
          <cell r="E86">
            <v>1594713</v>
          </cell>
        </row>
        <row r="87">
          <cell r="A87">
            <v>181201</v>
          </cell>
          <cell r="B87">
            <v>86</v>
          </cell>
          <cell r="C87" t="str">
            <v>거창</v>
          </cell>
          <cell r="D87" t="str">
            <v>종합</v>
          </cell>
          <cell r="E87">
            <v>1592048</v>
          </cell>
        </row>
        <row r="88">
          <cell r="A88">
            <v>121600</v>
          </cell>
          <cell r="B88">
            <v>87</v>
          </cell>
          <cell r="C88" t="str">
            <v>태백</v>
          </cell>
          <cell r="D88" t="str">
            <v>본소</v>
          </cell>
          <cell r="E88">
            <v>1585511</v>
          </cell>
        </row>
        <row r="89">
          <cell r="A89">
            <v>200200</v>
          </cell>
          <cell r="B89">
            <v>88</v>
          </cell>
          <cell r="C89" t="str">
            <v>서초판매장</v>
          </cell>
          <cell r="D89" t="str">
            <v>서초점</v>
          </cell>
          <cell r="E89">
            <v>1582868</v>
          </cell>
        </row>
        <row r="90">
          <cell r="A90">
            <v>181800</v>
          </cell>
          <cell r="B90">
            <v>89</v>
          </cell>
          <cell r="C90" t="str">
            <v>함양</v>
          </cell>
          <cell r="D90" t="str">
            <v>본소</v>
          </cell>
          <cell r="E90">
            <v>1523574</v>
          </cell>
        </row>
        <row r="91">
          <cell r="A91">
            <v>151901</v>
          </cell>
          <cell r="B91">
            <v>90</v>
          </cell>
          <cell r="C91" t="str">
            <v>김제</v>
          </cell>
          <cell r="D91" t="str">
            <v>금만</v>
          </cell>
          <cell r="E91">
            <v>1516801</v>
          </cell>
        </row>
        <row r="92">
          <cell r="A92">
            <v>161107</v>
          </cell>
          <cell r="B92">
            <v>91</v>
          </cell>
          <cell r="C92" t="str">
            <v>광주</v>
          </cell>
          <cell r="D92" t="str">
            <v>오치</v>
          </cell>
          <cell r="E92">
            <v>1488583</v>
          </cell>
        </row>
        <row r="93">
          <cell r="A93">
            <v>111704</v>
          </cell>
          <cell r="B93">
            <v>92</v>
          </cell>
          <cell r="C93" t="str">
            <v>남양주</v>
          </cell>
          <cell r="D93" t="str">
            <v>망우</v>
          </cell>
          <cell r="E93">
            <v>1469239</v>
          </cell>
        </row>
        <row r="94">
          <cell r="A94">
            <v>171102</v>
          </cell>
          <cell r="B94">
            <v>93</v>
          </cell>
          <cell r="C94" t="str">
            <v>대구</v>
          </cell>
          <cell r="D94" t="str">
            <v>수성</v>
          </cell>
          <cell r="E94">
            <v>1448402</v>
          </cell>
        </row>
        <row r="95">
          <cell r="A95">
            <v>178401</v>
          </cell>
          <cell r="B95">
            <v>94</v>
          </cell>
          <cell r="C95" t="str">
            <v>경북중앙낙농</v>
          </cell>
          <cell r="D95" t="str">
            <v>정평</v>
          </cell>
          <cell r="E95">
            <v>1434188</v>
          </cell>
        </row>
        <row r="96">
          <cell r="A96">
            <v>168100</v>
          </cell>
          <cell r="B96">
            <v>95</v>
          </cell>
          <cell r="C96" t="str">
            <v>광전우유</v>
          </cell>
          <cell r="D96" t="str">
            <v>본소</v>
          </cell>
          <cell r="E96">
            <v>1425079</v>
          </cell>
        </row>
        <row r="97">
          <cell r="A97">
            <v>171100</v>
          </cell>
          <cell r="B97">
            <v>96</v>
          </cell>
          <cell r="C97" t="str">
            <v>대구</v>
          </cell>
          <cell r="D97" t="str">
            <v>본소</v>
          </cell>
          <cell r="E97">
            <v>1399044</v>
          </cell>
        </row>
        <row r="98">
          <cell r="A98">
            <v>128301</v>
          </cell>
          <cell r="B98">
            <v>97</v>
          </cell>
          <cell r="C98" t="str">
            <v>강원양돈</v>
          </cell>
          <cell r="D98" t="str">
            <v>후평</v>
          </cell>
          <cell r="E98">
            <v>1388872</v>
          </cell>
        </row>
        <row r="99">
          <cell r="A99">
            <v>121702</v>
          </cell>
          <cell r="B99">
            <v>98</v>
          </cell>
          <cell r="C99" t="str">
            <v>속초</v>
          </cell>
          <cell r="D99" t="str">
            <v>중앙</v>
          </cell>
          <cell r="E99">
            <v>1373966</v>
          </cell>
        </row>
        <row r="100">
          <cell r="A100">
            <v>161401</v>
          </cell>
          <cell r="B100">
            <v>99</v>
          </cell>
          <cell r="C100" t="str">
            <v>순천</v>
          </cell>
          <cell r="D100" t="str">
            <v>종합</v>
          </cell>
          <cell r="E100">
            <v>1348714</v>
          </cell>
        </row>
        <row r="101">
          <cell r="A101">
            <v>152005</v>
          </cell>
          <cell r="B101">
            <v>100</v>
          </cell>
          <cell r="C101" t="str">
            <v>익산</v>
          </cell>
          <cell r="D101" t="str">
            <v>모현</v>
          </cell>
          <cell r="E101">
            <v>1338849</v>
          </cell>
        </row>
        <row r="102">
          <cell r="A102">
            <v>171804</v>
          </cell>
          <cell r="B102">
            <v>101</v>
          </cell>
          <cell r="C102" t="str">
            <v>영천</v>
          </cell>
          <cell r="D102" t="str">
            <v>신령</v>
          </cell>
          <cell r="E102">
            <v>1337903</v>
          </cell>
        </row>
        <row r="103">
          <cell r="A103">
            <v>108103</v>
          </cell>
          <cell r="B103">
            <v>102</v>
          </cell>
          <cell r="C103" t="str">
            <v>서울경기양계</v>
          </cell>
          <cell r="D103" t="str">
            <v>답십리</v>
          </cell>
          <cell r="E103">
            <v>1332269</v>
          </cell>
        </row>
        <row r="104">
          <cell r="A104">
            <v>121700</v>
          </cell>
          <cell r="B104">
            <v>103</v>
          </cell>
          <cell r="C104" t="str">
            <v>속초</v>
          </cell>
          <cell r="D104" t="str">
            <v>본소</v>
          </cell>
          <cell r="E104">
            <v>1322965</v>
          </cell>
        </row>
        <row r="105">
          <cell r="A105">
            <v>182600</v>
          </cell>
          <cell r="B105">
            <v>104</v>
          </cell>
          <cell r="C105" t="str">
            <v>울산</v>
          </cell>
          <cell r="D105" t="str">
            <v>본소</v>
          </cell>
          <cell r="E105">
            <v>1297138</v>
          </cell>
        </row>
        <row r="106">
          <cell r="A106">
            <v>161102</v>
          </cell>
          <cell r="B106">
            <v>105</v>
          </cell>
          <cell r="C106" t="str">
            <v>광주</v>
          </cell>
          <cell r="D106" t="str">
            <v>화정</v>
          </cell>
          <cell r="E106">
            <v>1291965</v>
          </cell>
        </row>
        <row r="107">
          <cell r="A107">
            <v>181902</v>
          </cell>
          <cell r="B107">
            <v>106</v>
          </cell>
          <cell r="C107" t="str">
            <v>마산</v>
          </cell>
          <cell r="D107" t="str">
            <v>동마산</v>
          </cell>
          <cell r="E107">
            <v>1280338</v>
          </cell>
        </row>
        <row r="108">
          <cell r="A108">
            <v>131801</v>
          </cell>
          <cell r="B108">
            <v>107</v>
          </cell>
          <cell r="C108" t="str">
            <v>단양</v>
          </cell>
          <cell r="D108" t="str">
            <v>별곡</v>
          </cell>
          <cell r="E108">
            <v>1278394</v>
          </cell>
        </row>
        <row r="109">
          <cell r="A109">
            <v>188200</v>
          </cell>
          <cell r="B109">
            <v>108</v>
          </cell>
          <cell r="C109" t="str">
            <v>경남낙농</v>
          </cell>
          <cell r="D109" t="str">
            <v>본소</v>
          </cell>
          <cell r="E109">
            <v>1276349</v>
          </cell>
        </row>
        <row r="110">
          <cell r="A110">
            <v>162700</v>
          </cell>
          <cell r="B110">
            <v>109</v>
          </cell>
          <cell r="C110" t="str">
            <v>함평</v>
          </cell>
          <cell r="D110" t="str">
            <v>본소</v>
          </cell>
          <cell r="E110">
            <v>1271154</v>
          </cell>
        </row>
        <row r="111">
          <cell r="A111">
            <v>148401</v>
          </cell>
          <cell r="B111">
            <v>110</v>
          </cell>
          <cell r="C111" t="str">
            <v>대전충남우유</v>
          </cell>
          <cell r="D111" t="str">
            <v>한밭</v>
          </cell>
          <cell r="E111">
            <v>1254394</v>
          </cell>
        </row>
        <row r="112">
          <cell r="A112">
            <v>151200</v>
          </cell>
          <cell r="B112">
            <v>111</v>
          </cell>
          <cell r="C112" t="str">
            <v>무주</v>
          </cell>
          <cell r="D112" t="str">
            <v>본소</v>
          </cell>
          <cell r="E112">
            <v>1251438</v>
          </cell>
        </row>
        <row r="113">
          <cell r="A113">
            <v>121102</v>
          </cell>
          <cell r="B113">
            <v>112</v>
          </cell>
          <cell r="C113" t="str">
            <v>춘천</v>
          </cell>
          <cell r="D113" t="str">
            <v>공단</v>
          </cell>
          <cell r="E113">
            <v>1225423</v>
          </cell>
        </row>
        <row r="114">
          <cell r="A114">
            <v>181404</v>
          </cell>
          <cell r="B114">
            <v>113</v>
          </cell>
          <cell r="C114" t="str">
            <v>부산</v>
          </cell>
          <cell r="D114" t="str">
            <v>당감</v>
          </cell>
          <cell r="E114">
            <v>1205912</v>
          </cell>
        </row>
        <row r="115">
          <cell r="A115">
            <v>142400</v>
          </cell>
          <cell r="B115">
            <v>114</v>
          </cell>
          <cell r="C115" t="str">
            <v>아산</v>
          </cell>
          <cell r="D115" t="str">
            <v>본소</v>
          </cell>
          <cell r="E115">
            <v>1193631</v>
          </cell>
        </row>
        <row r="116">
          <cell r="A116">
            <v>171105</v>
          </cell>
          <cell r="B116">
            <v>115</v>
          </cell>
          <cell r="C116" t="str">
            <v>대구</v>
          </cell>
          <cell r="D116" t="str">
            <v>송현</v>
          </cell>
          <cell r="E116">
            <v>1180770</v>
          </cell>
        </row>
        <row r="117">
          <cell r="A117">
            <v>148501</v>
          </cell>
          <cell r="B117">
            <v>116</v>
          </cell>
          <cell r="C117" t="str">
            <v>홍성낙농</v>
          </cell>
          <cell r="D117" t="str">
            <v>육우</v>
          </cell>
          <cell r="E117">
            <v>1167146</v>
          </cell>
        </row>
        <row r="118">
          <cell r="A118">
            <v>152103</v>
          </cell>
          <cell r="B118">
            <v>117</v>
          </cell>
          <cell r="C118" t="str">
            <v>군산</v>
          </cell>
          <cell r="D118" t="str">
            <v>삼학</v>
          </cell>
          <cell r="E118">
            <v>1133738</v>
          </cell>
        </row>
        <row r="119">
          <cell r="A119">
            <v>171202</v>
          </cell>
          <cell r="B119">
            <v>118</v>
          </cell>
          <cell r="C119" t="str">
            <v>포항</v>
          </cell>
          <cell r="D119" t="str">
            <v>상도</v>
          </cell>
          <cell r="E119">
            <v>1122448</v>
          </cell>
        </row>
        <row r="120">
          <cell r="A120">
            <v>171106</v>
          </cell>
          <cell r="B120">
            <v>119</v>
          </cell>
          <cell r="C120" t="str">
            <v>대구</v>
          </cell>
          <cell r="D120" t="str">
            <v>봉덕</v>
          </cell>
          <cell r="E120">
            <v>1115919</v>
          </cell>
        </row>
        <row r="121">
          <cell r="A121">
            <v>172505</v>
          </cell>
          <cell r="B121">
            <v>120</v>
          </cell>
          <cell r="C121" t="str">
            <v>구미</v>
          </cell>
          <cell r="D121" t="str">
            <v>해평</v>
          </cell>
          <cell r="E121">
            <v>1104252</v>
          </cell>
        </row>
        <row r="122">
          <cell r="A122">
            <v>161500</v>
          </cell>
          <cell r="B122">
            <v>121</v>
          </cell>
          <cell r="C122" t="str">
            <v>구례</v>
          </cell>
          <cell r="D122" t="str">
            <v>본소</v>
          </cell>
          <cell r="E122">
            <v>1103432</v>
          </cell>
        </row>
        <row r="123">
          <cell r="A123">
            <v>161100</v>
          </cell>
          <cell r="B123">
            <v>122</v>
          </cell>
          <cell r="C123" t="str">
            <v>광주</v>
          </cell>
          <cell r="D123" t="str">
            <v>본소</v>
          </cell>
          <cell r="E123">
            <v>1102853</v>
          </cell>
        </row>
        <row r="124">
          <cell r="A124">
            <v>151702</v>
          </cell>
          <cell r="B124">
            <v>123</v>
          </cell>
          <cell r="C124" t="str">
            <v>장수</v>
          </cell>
          <cell r="D124" t="str">
            <v>송천</v>
          </cell>
          <cell r="E124">
            <v>1067081</v>
          </cell>
        </row>
        <row r="125">
          <cell r="A125">
            <v>161303</v>
          </cell>
          <cell r="B125">
            <v>124</v>
          </cell>
          <cell r="C125" t="str">
            <v>여수여천</v>
          </cell>
          <cell r="D125" t="str">
            <v>율촌</v>
          </cell>
          <cell r="E125">
            <v>1058161</v>
          </cell>
        </row>
        <row r="126">
          <cell r="A126">
            <v>163100</v>
          </cell>
          <cell r="B126">
            <v>125</v>
          </cell>
          <cell r="C126" t="str">
            <v>진도</v>
          </cell>
          <cell r="D126" t="str">
            <v>본소</v>
          </cell>
          <cell r="E126">
            <v>1047168</v>
          </cell>
        </row>
        <row r="127">
          <cell r="A127">
            <v>152101</v>
          </cell>
          <cell r="B127">
            <v>126</v>
          </cell>
          <cell r="C127" t="str">
            <v>군산</v>
          </cell>
          <cell r="D127" t="str">
            <v>신영</v>
          </cell>
          <cell r="E127">
            <v>1045595</v>
          </cell>
        </row>
        <row r="128">
          <cell r="A128">
            <v>151302</v>
          </cell>
          <cell r="B128">
            <v>127</v>
          </cell>
          <cell r="C128" t="str">
            <v>정읍</v>
          </cell>
          <cell r="D128" t="str">
            <v>상동</v>
          </cell>
          <cell r="E128">
            <v>1018294</v>
          </cell>
        </row>
        <row r="129">
          <cell r="A129">
            <v>171107</v>
          </cell>
          <cell r="B129">
            <v>128</v>
          </cell>
          <cell r="C129" t="str">
            <v>대구</v>
          </cell>
          <cell r="D129" t="str">
            <v>명동로</v>
          </cell>
          <cell r="E129">
            <v>1010649</v>
          </cell>
        </row>
        <row r="130">
          <cell r="A130">
            <v>158400</v>
          </cell>
          <cell r="B130">
            <v>129</v>
          </cell>
          <cell r="C130" t="str">
            <v>전북양봉</v>
          </cell>
          <cell r="D130" t="str">
            <v>본소</v>
          </cell>
          <cell r="E130">
            <v>995616</v>
          </cell>
        </row>
        <row r="131">
          <cell r="A131">
            <v>158200</v>
          </cell>
          <cell r="B131">
            <v>130</v>
          </cell>
          <cell r="C131" t="str">
            <v>전북양돈</v>
          </cell>
          <cell r="D131" t="str">
            <v>본소</v>
          </cell>
          <cell r="E131">
            <v>991044</v>
          </cell>
        </row>
        <row r="132">
          <cell r="A132">
            <v>163201</v>
          </cell>
          <cell r="B132">
            <v>131</v>
          </cell>
          <cell r="C132" t="str">
            <v>화순</v>
          </cell>
          <cell r="D132" t="str">
            <v>능주</v>
          </cell>
          <cell r="E132">
            <v>979960</v>
          </cell>
        </row>
        <row r="133">
          <cell r="A133">
            <v>168303</v>
          </cell>
          <cell r="B133">
            <v>132</v>
          </cell>
          <cell r="C133" t="str">
            <v>광전양계</v>
          </cell>
          <cell r="D133" t="str">
            <v>하당</v>
          </cell>
          <cell r="E133">
            <v>978832</v>
          </cell>
        </row>
        <row r="134">
          <cell r="A134">
            <v>162000</v>
          </cell>
          <cell r="B134">
            <v>133</v>
          </cell>
          <cell r="C134" t="str">
            <v>나주</v>
          </cell>
          <cell r="D134" t="str">
            <v>본소</v>
          </cell>
          <cell r="E134">
            <v>972334</v>
          </cell>
        </row>
        <row r="135">
          <cell r="A135">
            <v>142402</v>
          </cell>
          <cell r="B135">
            <v>134</v>
          </cell>
          <cell r="C135" t="str">
            <v>아산</v>
          </cell>
          <cell r="D135" t="str">
            <v>둔포</v>
          </cell>
          <cell r="E135">
            <v>970589</v>
          </cell>
        </row>
        <row r="136">
          <cell r="A136">
            <v>121300</v>
          </cell>
          <cell r="B136">
            <v>135</v>
          </cell>
          <cell r="C136" t="str">
            <v>화천</v>
          </cell>
          <cell r="D136" t="str">
            <v>본소</v>
          </cell>
          <cell r="E136">
            <v>951330</v>
          </cell>
        </row>
        <row r="137">
          <cell r="A137">
            <v>158101</v>
          </cell>
          <cell r="B137">
            <v>136</v>
          </cell>
          <cell r="C137" t="str">
            <v>전북양계</v>
          </cell>
          <cell r="D137" t="str">
            <v>화산</v>
          </cell>
          <cell r="E137">
            <v>950334</v>
          </cell>
        </row>
        <row r="138">
          <cell r="A138">
            <v>111603</v>
          </cell>
          <cell r="B138">
            <v>137</v>
          </cell>
          <cell r="C138" t="str">
            <v>경기광주</v>
          </cell>
          <cell r="D138" t="str">
            <v>하남</v>
          </cell>
          <cell r="E138">
            <v>949062</v>
          </cell>
        </row>
        <row r="139">
          <cell r="A139">
            <v>152000</v>
          </cell>
          <cell r="B139">
            <v>138</v>
          </cell>
          <cell r="C139" t="str">
            <v>익산</v>
          </cell>
          <cell r="D139" t="str">
            <v>본소</v>
          </cell>
          <cell r="E139">
            <v>936129</v>
          </cell>
        </row>
        <row r="140">
          <cell r="A140">
            <v>173100</v>
          </cell>
          <cell r="B140">
            <v>139</v>
          </cell>
          <cell r="C140" t="str">
            <v>문경</v>
          </cell>
          <cell r="D140" t="str">
            <v>본소</v>
          </cell>
          <cell r="E140">
            <v>919528</v>
          </cell>
        </row>
        <row r="141">
          <cell r="A141">
            <v>121601</v>
          </cell>
          <cell r="B141">
            <v>140</v>
          </cell>
          <cell r="C141" t="str">
            <v>태백</v>
          </cell>
          <cell r="D141" t="str">
            <v>장성</v>
          </cell>
          <cell r="E141">
            <v>916778</v>
          </cell>
        </row>
        <row r="142">
          <cell r="A142">
            <v>182800</v>
          </cell>
          <cell r="B142">
            <v>141</v>
          </cell>
          <cell r="C142" t="str">
            <v>합천</v>
          </cell>
          <cell r="D142" t="str">
            <v>본소</v>
          </cell>
          <cell r="E142">
            <v>891314</v>
          </cell>
        </row>
        <row r="143">
          <cell r="A143">
            <v>158201</v>
          </cell>
          <cell r="B143">
            <v>142</v>
          </cell>
          <cell r="C143" t="str">
            <v>전북양돈</v>
          </cell>
          <cell r="D143" t="str">
            <v>안골</v>
          </cell>
          <cell r="E143">
            <v>881199</v>
          </cell>
        </row>
        <row r="144">
          <cell r="A144">
            <v>151700</v>
          </cell>
          <cell r="B144">
            <v>143</v>
          </cell>
          <cell r="C144" t="str">
            <v>장수</v>
          </cell>
          <cell r="D144" t="str">
            <v>본소</v>
          </cell>
          <cell r="E144">
            <v>873016</v>
          </cell>
        </row>
        <row r="145">
          <cell r="A145">
            <v>172403</v>
          </cell>
          <cell r="B145">
            <v>144</v>
          </cell>
          <cell r="C145" t="str">
            <v>영주</v>
          </cell>
          <cell r="D145" t="str">
            <v>휴천</v>
          </cell>
          <cell r="E145">
            <v>863581</v>
          </cell>
        </row>
        <row r="146">
          <cell r="A146">
            <v>121500</v>
          </cell>
          <cell r="B146">
            <v>145</v>
          </cell>
          <cell r="C146" t="str">
            <v>홍천</v>
          </cell>
          <cell r="D146" t="str">
            <v>본소</v>
          </cell>
          <cell r="E146">
            <v>851249</v>
          </cell>
        </row>
        <row r="147">
          <cell r="A147">
            <v>171902</v>
          </cell>
          <cell r="B147">
            <v>146</v>
          </cell>
          <cell r="C147" t="str">
            <v>경산</v>
          </cell>
          <cell r="D147" t="str">
            <v>계양</v>
          </cell>
          <cell r="E147">
            <v>848535</v>
          </cell>
        </row>
        <row r="148">
          <cell r="A148">
            <v>121901</v>
          </cell>
          <cell r="B148">
            <v>147</v>
          </cell>
          <cell r="C148" t="str">
            <v>평창</v>
          </cell>
          <cell r="D148" t="str">
            <v>대화</v>
          </cell>
          <cell r="E148">
            <v>841126</v>
          </cell>
        </row>
        <row r="149">
          <cell r="A149">
            <v>181600</v>
          </cell>
          <cell r="B149">
            <v>148</v>
          </cell>
          <cell r="C149" t="str">
            <v>밀양</v>
          </cell>
          <cell r="D149" t="str">
            <v>본소</v>
          </cell>
          <cell r="E149">
            <v>839357</v>
          </cell>
        </row>
        <row r="150">
          <cell r="A150">
            <v>172503</v>
          </cell>
          <cell r="B150">
            <v>149</v>
          </cell>
          <cell r="C150" t="str">
            <v>구미</v>
          </cell>
          <cell r="D150" t="str">
            <v>형곡</v>
          </cell>
          <cell r="E150">
            <v>829221</v>
          </cell>
        </row>
        <row r="151">
          <cell r="A151">
            <v>162202</v>
          </cell>
          <cell r="B151">
            <v>150</v>
          </cell>
          <cell r="C151" t="str">
            <v>해남</v>
          </cell>
          <cell r="D151" t="str">
            <v>수성</v>
          </cell>
          <cell r="E151">
            <v>824802</v>
          </cell>
        </row>
        <row r="152">
          <cell r="A152">
            <v>161901</v>
          </cell>
          <cell r="B152">
            <v>151</v>
          </cell>
          <cell r="C152" t="str">
            <v>목표</v>
          </cell>
          <cell r="D152" t="str">
            <v>용해</v>
          </cell>
          <cell r="E152">
            <v>820295</v>
          </cell>
        </row>
        <row r="153">
          <cell r="A153">
            <v>172500</v>
          </cell>
          <cell r="B153">
            <v>152</v>
          </cell>
          <cell r="C153" t="str">
            <v>구미</v>
          </cell>
          <cell r="D153" t="str">
            <v>본소</v>
          </cell>
          <cell r="E153">
            <v>818875</v>
          </cell>
        </row>
        <row r="154">
          <cell r="A154">
            <v>181701</v>
          </cell>
          <cell r="B154">
            <v>153</v>
          </cell>
          <cell r="C154" t="str">
            <v>산청</v>
          </cell>
          <cell r="D154" t="str">
            <v>원지</v>
          </cell>
          <cell r="E154">
            <v>797633</v>
          </cell>
        </row>
        <row r="155">
          <cell r="A155">
            <v>171103</v>
          </cell>
          <cell r="B155">
            <v>154</v>
          </cell>
          <cell r="C155" t="str">
            <v>대구</v>
          </cell>
          <cell r="D155" t="str">
            <v>평리</v>
          </cell>
          <cell r="E155">
            <v>773816</v>
          </cell>
        </row>
        <row r="156">
          <cell r="A156">
            <v>181900</v>
          </cell>
          <cell r="B156">
            <v>155</v>
          </cell>
          <cell r="C156" t="str">
            <v>마산</v>
          </cell>
          <cell r="D156" t="str">
            <v>본소</v>
          </cell>
          <cell r="E156">
            <v>755507</v>
          </cell>
        </row>
        <row r="157">
          <cell r="A157">
            <v>151103</v>
          </cell>
          <cell r="B157">
            <v>156</v>
          </cell>
          <cell r="C157" t="str">
            <v>전주</v>
          </cell>
          <cell r="D157" t="str">
            <v>남부</v>
          </cell>
          <cell r="E157">
            <v>747656</v>
          </cell>
        </row>
        <row r="158">
          <cell r="A158">
            <v>152003</v>
          </cell>
          <cell r="B158">
            <v>157</v>
          </cell>
          <cell r="C158" t="str">
            <v>익산</v>
          </cell>
          <cell r="D158" t="str">
            <v>마동</v>
          </cell>
          <cell r="E158">
            <v>734248</v>
          </cell>
        </row>
        <row r="159">
          <cell r="A159">
            <v>163202</v>
          </cell>
          <cell r="B159">
            <v>158</v>
          </cell>
          <cell r="C159" t="str">
            <v>화순</v>
          </cell>
          <cell r="D159" t="str">
            <v>향청</v>
          </cell>
          <cell r="E159">
            <v>731147</v>
          </cell>
        </row>
        <row r="160">
          <cell r="A160">
            <v>111501</v>
          </cell>
          <cell r="B160">
            <v>159</v>
          </cell>
          <cell r="C160" t="str">
            <v>김포</v>
          </cell>
          <cell r="D160" t="str">
            <v>통진</v>
          </cell>
          <cell r="E160">
            <v>726458</v>
          </cell>
        </row>
        <row r="161">
          <cell r="A161">
            <v>162201</v>
          </cell>
          <cell r="B161">
            <v>160</v>
          </cell>
          <cell r="C161" t="str">
            <v>해남</v>
          </cell>
          <cell r="D161" t="str">
            <v>고도</v>
          </cell>
          <cell r="E161">
            <v>724017</v>
          </cell>
        </row>
        <row r="162">
          <cell r="A162">
            <v>171200</v>
          </cell>
          <cell r="B162">
            <v>161</v>
          </cell>
          <cell r="C162" t="str">
            <v>포항</v>
          </cell>
          <cell r="D162" t="str">
            <v>본소</v>
          </cell>
          <cell r="E162">
            <v>723360</v>
          </cell>
        </row>
        <row r="163">
          <cell r="A163">
            <v>162801</v>
          </cell>
          <cell r="B163">
            <v>162</v>
          </cell>
          <cell r="C163" t="str">
            <v>곡성</v>
          </cell>
          <cell r="D163" t="str">
            <v>옥과</v>
          </cell>
          <cell r="E163">
            <v>721941</v>
          </cell>
        </row>
        <row r="164">
          <cell r="A164">
            <v>161306</v>
          </cell>
          <cell r="B164">
            <v>163</v>
          </cell>
          <cell r="C164" t="str">
            <v>여수여천</v>
          </cell>
          <cell r="D164" t="str">
            <v>문수</v>
          </cell>
          <cell r="E164">
            <v>714004</v>
          </cell>
        </row>
        <row r="165">
          <cell r="A165">
            <v>182202</v>
          </cell>
          <cell r="B165">
            <v>164</v>
          </cell>
          <cell r="C165" t="str">
            <v>거제</v>
          </cell>
          <cell r="D165" t="str">
            <v>거제</v>
          </cell>
          <cell r="E165">
            <v>700942</v>
          </cell>
        </row>
        <row r="166">
          <cell r="A166">
            <v>178302</v>
          </cell>
          <cell r="B166">
            <v>165</v>
          </cell>
          <cell r="C166" t="str">
            <v>대구경북양계</v>
          </cell>
          <cell r="D166" t="str">
            <v>범물</v>
          </cell>
          <cell r="E166">
            <v>694589</v>
          </cell>
        </row>
        <row r="167">
          <cell r="A167">
            <v>131601</v>
          </cell>
          <cell r="B167">
            <v>166</v>
          </cell>
          <cell r="C167" t="str">
            <v>제천</v>
          </cell>
          <cell r="D167" t="str">
            <v>청전</v>
          </cell>
          <cell r="E167">
            <v>689357</v>
          </cell>
        </row>
        <row r="168">
          <cell r="A168">
            <v>191202</v>
          </cell>
          <cell r="B168">
            <v>167</v>
          </cell>
          <cell r="C168" t="str">
            <v>남제주</v>
          </cell>
          <cell r="D168" t="str">
            <v>중문</v>
          </cell>
          <cell r="E168">
            <v>685538</v>
          </cell>
        </row>
        <row r="169">
          <cell r="A169">
            <v>111801</v>
          </cell>
          <cell r="B169">
            <v>168</v>
          </cell>
          <cell r="C169" t="str">
            <v>가평</v>
          </cell>
          <cell r="D169" t="str">
            <v>청평</v>
          </cell>
          <cell r="E169">
            <v>675813</v>
          </cell>
        </row>
        <row r="170">
          <cell r="A170">
            <v>141301</v>
          </cell>
          <cell r="B170">
            <v>169</v>
          </cell>
          <cell r="C170" t="str">
            <v>연기</v>
          </cell>
          <cell r="D170" t="str">
            <v>금남</v>
          </cell>
          <cell r="E170">
            <v>664200</v>
          </cell>
        </row>
        <row r="171">
          <cell r="A171">
            <v>181601</v>
          </cell>
          <cell r="B171">
            <v>170</v>
          </cell>
          <cell r="C171" t="str">
            <v>밀양</v>
          </cell>
          <cell r="D171" t="str">
            <v>삼량진</v>
          </cell>
          <cell r="E171">
            <v>611810</v>
          </cell>
        </row>
        <row r="172">
          <cell r="A172">
            <v>198100</v>
          </cell>
          <cell r="B172">
            <v>171</v>
          </cell>
          <cell r="C172" t="str">
            <v>제주양돈</v>
          </cell>
          <cell r="D172" t="str">
            <v>본소</v>
          </cell>
          <cell r="E172">
            <v>571516</v>
          </cell>
        </row>
        <row r="173">
          <cell r="A173">
            <v>121903</v>
          </cell>
          <cell r="B173">
            <v>172</v>
          </cell>
          <cell r="C173" t="str">
            <v>평창</v>
          </cell>
          <cell r="D173" t="str">
            <v>봉평</v>
          </cell>
          <cell r="E173">
            <v>548529</v>
          </cell>
        </row>
        <row r="174">
          <cell r="A174">
            <v>163200</v>
          </cell>
          <cell r="B174">
            <v>173</v>
          </cell>
          <cell r="C174" t="str">
            <v>화순</v>
          </cell>
          <cell r="D174" t="str">
            <v>본소</v>
          </cell>
          <cell r="E174">
            <v>546557</v>
          </cell>
        </row>
        <row r="175">
          <cell r="A175">
            <v>151301</v>
          </cell>
          <cell r="B175">
            <v>174</v>
          </cell>
          <cell r="C175" t="str">
            <v>정읍</v>
          </cell>
          <cell r="D175" t="str">
            <v>시기</v>
          </cell>
          <cell r="E175">
            <v>534362</v>
          </cell>
        </row>
        <row r="176">
          <cell r="A176">
            <v>121801</v>
          </cell>
          <cell r="B176">
            <v>175</v>
          </cell>
          <cell r="C176" t="str">
            <v>삼척</v>
          </cell>
          <cell r="D176" t="str">
            <v>원덕</v>
          </cell>
          <cell r="E176">
            <v>523970</v>
          </cell>
        </row>
        <row r="177">
          <cell r="A177">
            <v>172001</v>
          </cell>
          <cell r="B177">
            <v>176</v>
          </cell>
          <cell r="C177" t="str">
            <v>청도</v>
          </cell>
          <cell r="D177" t="str">
            <v>금천</v>
          </cell>
          <cell r="E177">
            <v>513653</v>
          </cell>
        </row>
        <row r="178">
          <cell r="A178">
            <v>112102</v>
          </cell>
          <cell r="B178">
            <v>177</v>
          </cell>
          <cell r="C178" t="str">
            <v>평택</v>
          </cell>
          <cell r="D178" t="str">
            <v>안중</v>
          </cell>
          <cell r="E178">
            <v>510539</v>
          </cell>
        </row>
        <row r="179">
          <cell r="A179">
            <v>128201</v>
          </cell>
          <cell r="B179">
            <v>178</v>
          </cell>
          <cell r="C179" t="str">
            <v>강원낙농</v>
          </cell>
          <cell r="D179" t="str">
            <v>홍천</v>
          </cell>
          <cell r="E179">
            <v>489942</v>
          </cell>
        </row>
        <row r="180">
          <cell r="A180">
            <v>171304</v>
          </cell>
          <cell r="B180">
            <v>179</v>
          </cell>
          <cell r="C180" t="str">
            <v>경주</v>
          </cell>
          <cell r="D180" t="str">
            <v>외동</v>
          </cell>
          <cell r="E180">
            <v>479836</v>
          </cell>
        </row>
        <row r="181">
          <cell r="A181">
            <v>172900</v>
          </cell>
          <cell r="B181">
            <v>180</v>
          </cell>
          <cell r="C181" t="str">
            <v>달성</v>
          </cell>
          <cell r="D181" t="str">
            <v>본소</v>
          </cell>
          <cell r="E181">
            <v>479556</v>
          </cell>
        </row>
        <row r="182">
          <cell r="A182">
            <v>108100</v>
          </cell>
          <cell r="B182">
            <v>181</v>
          </cell>
          <cell r="C182" t="str">
            <v>서울경기양계</v>
          </cell>
          <cell r="D182" t="str">
            <v>본소</v>
          </cell>
          <cell r="E182">
            <v>479325</v>
          </cell>
        </row>
        <row r="183">
          <cell r="A183">
            <v>178300</v>
          </cell>
          <cell r="B183">
            <v>182</v>
          </cell>
          <cell r="C183" t="str">
            <v>대구경북양계</v>
          </cell>
          <cell r="D183" t="str">
            <v>본소</v>
          </cell>
          <cell r="E183">
            <v>464712</v>
          </cell>
        </row>
        <row r="184">
          <cell r="A184">
            <v>171401</v>
          </cell>
          <cell r="B184">
            <v>183</v>
          </cell>
          <cell r="C184" t="str">
            <v>김천</v>
          </cell>
          <cell r="D184" t="str">
            <v>평화</v>
          </cell>
          <cell r="E184">
            <v>459764</v>
          </cell>
        </row>
        <row r="185">
          <cell r="A185">
            <v>161903</v>
          </cell>
          <cell r="B185">
            <v>184</v>
          </cell>
          <cell r="C185" t="str">
            <v>목포</v>
          </cell>
          <cell r="D185" t="str">
            <v>남교</v>
          </cell>
          <cell r="E185">
            <v>447584</v>
          </cell>
        </row>
        <row r="186">
          <cell r="A186">
            <v>171504</v>
          </cell>
          <cell r="B186">
            <v>185</v>
          </cell>
          <cell r="C186" t="str">
            <v>안동</v>
          </cell>
          <cell r="D186" t="str">
            <v>북문</v>
          </cell>
          <cell r="E186">
            <v>436928</v>
          </cell>
        </row>
        <row r="187">
          <cell r="A187">
            <v>158102</v>
          </cell>
          <cell r="B187">
            <v>186</v>
          </cell>
          <cell r="C187" t="str">
            <v>전북양계</v>
          </cell>
          <cell r="D187" t="str">
            <v>서학</v>
          </cell>
          <cell r="E187">
            <v>422744</v>
          </cell>
        </row>
        <row r="188">
          <cell r="A188">
            <v>162602</v>
          </cell>
          <cell r="B188">
            <v>187</v>
          </cell>
          <cell r="C188" t="str">
            <v>보성</v>
          </cell>
          <cell r="D188" t="str">
            <v>벌교</v>
          </cell>
          <cell r="E188">
            <v>374257</v>
          </cell>
        </row>
        <row r="189">
          <cell r="A189">
            <v>162300</v>
          </cell>
          <cell r="B189">
            <v>188</v>
          </cell>
          <cell r="C189" t="str">
            <v>영암</v>
          </cell>
          <cell r="D189" t="str">
            <v>본소</v>
          </cell>
          <cell r="E189">
            <v>373873</v>
          </cell>
        </row>
        <row r="190">
          <cell r="A190">
            <v>188201</v>
          </cell>
          <cell r="B190">
            <v>189</v>
          </cell>
          <cell r="C190" t="str">
            <v>경남낙농</v>
          </cell>
          <cell r="D190" t="str">
            <v>동성</v>
          </cell>
          <cell r="E190">
            <v>373872</v>
          </cell>
        </row>
        <row r="191">
          <cell r="A191">
            <v>191200</v>
          </cell>
          <cell r="B191">
            <v>190</v>
          </cell>
          <cell r="C191" t="str">
            <v>남제주</v>
          </cell>
          <cell r="D191" t="str">
            <v>본소</v>
          </cell>
          <cell r="E191">
            <v>354559</v>
          </cell>
        </row>
        <row r="192">
          <cell r="A192">
            <v>191203</v>
          </cell>
          <cell r="B192">
            <v>191</v>
          </cell>
          <cell r="C192" t="str">
            <v>남제주</v>
          </cell>
          <cell r="D192" t="str">
            <v>대정</v>
          </cell>
          <cell r="E192">
            <v>341563</v>
          </cell>
        </row>
        <row r="193">
          <cell r="A193">
            <v>191102</v>
          </cell>
          <cell r="B193">
            <v>192</v>
          </cell>
          <cell r="C193" t="str">
            <v>제주양돈</v>
          </cell>
          <cell r="D193" t="str">
            <v>동문</v>
          </cell>
          <cell r="E193">
            <v>336572</v>
          </cell>
        </row>
        <row r="194">
          <cell r="A194">
            <v>178200</v>
          </cell>
          <cell r="B194">
            <v>193</v>
          </cell>
          <cell r="C194" t="str">
            <v>대구경북양계</v>
          </cell>
          <cell r="D194" t="str">
            <v>본소</v>
          </cell>
          <cell r="E194">
            <v>310582</v>
          </cell>
        </row>
        <row r="195">
          <cell r="A195">
            <v>158300</v>
          </cell>
          <cell r="B195">
            <v>194</v>
          </cell>
          <cell r="C195" t="str">
            <v>완산낙농</v>
          </cell>
          <cell r="D195" t="str">
            <v>본소</v>
          </cell>
          <cell r="E195">
            <v>289212</v>
          </cell>
        </row>
        <row r="196">
          <cell r="A196">
            <v>171501</v>
          </cell>
          <cell r="B196">
            <v>195</v>
          </cell>
          <cell r="C196" t="str">
            <v>안동</v>
          </cell>
          <cell r="D196" t="str">
            <v>풍산</v>
          </cell>
          <cell r="E196">
            <v>284308</v>
          </cell>
        </row>
        <row r="197">
          <cell r="A197">
            <v>181603</v>
          </cell>
          <cell r="B197">
            <v>196</v>
          </cell>
          <cell r="C197" t="str">
            <v>밀양</v>
          </cell>
          <cell r="D197" t="str">
            <v>삼문동</v>
          </cell>
          <cell r="E197">
            <v>283927</v>
          </cell>
        </row>
        <row r="198">
          <cell r="A198">
            <v>152004</v>
          </cell>
          <cell r="B198">
            <v>197</v>
          </cell>
          <cell r="C198" t="str">
            <v>익산</v>
          </cell>
          <cell r="D198" t="str">
            <v>인화</v>
          </cell>
          <cell r="E198">
            <v>282760</v>
          </cell>
        </row>
        <row r="199">
          <cell r="A199">
            <v>161300</v>
          </cell>
          <cell r="B199">
            <v>198</v>
          </cell>
          <cell r="C199" t="str">
            <v>여수여천</v>
          </cell>
          <cell r="D199" t="str">
            <v>본소</v>
          </cell>
          <cell r="E199">
            <v>250674</v>
          </cell>
        </row>
        <row r="200">
          <cell r="A200">
            <v>158202</v>
          </cell>
          <cell r="B200">
            <v>199</v>
          </cell>
          <cell r="C200" t="str">
            <v>전북양돈</v>
          </cell>
          <cell r="D200" t="str">
            <v>동산</v>
          </cell>
          <cell r="E200">
            <v>246655</v>
          </cell>
        </row>
        <row r="201">
          <cell r="A201">
            <v>162303</v>
          </cell>
          <cell r="B201">
            <v>200</v>
          </cell>
          <cell r="C201" t="str">
            <v>영암</v>
          </cell>
          <cell r="D201" t="str">
            <v>학산</v>
          </cell>
          <cell r="E201">
            <v>245088</v>
          </cell>
        </row>
        <row r="202">
          <cell r="A202">
            <v>151400</v>
          </cell>
          <cell r="B202">
            <v>201</v>
          </cell>
          <cell r="C202" t="str">
            <v>남원</v>
          </cell>
          <cell r="D202" t="str">
            <v>본소</v>
          </cell>
          <cell r="E202">
            <v>242796</v>
          </cell>
        </row>
        <row r="203">
          <cell r="A203">
            <v>152001</v>
          </cell>
          <cell r="B203">
            <v>202</v>
          </cell>
          <cell r="C203" t="str">
            <v>익산</v>
          </cell>
          <cell r="D203" t="str">
            <v>함열</v>
          </cell>
          <cell r="E203">
            <v>241120</v>
          </cell>
        </row>
        <row r="204">
          <cell r="A204">
            <v>173201</v>
          </cell>
          <cell r="B204">
            <v>203</v>
          </cell>
          <cell r="C204" t="str">
            <v>청송</v>
          </cell>
          <cell r="D204" t="str">
            <v>진보</v>
          </cell>
          <cell r="E204">
            <v>241120</v>
          </cell>
        </row>
        <row r="205">
          <cell r="A205">
            <v>172700</v>
          </cell>
          <cell r="B205">
            <v>204</v>
          </cell>
          <cell r="C205" t="str">
            <v>고령</v>
          </cell>
          <cell r="D205" t="str">
            <v>본소</v>
          </cell>
          <cell r="E205">
            <v>240906</v>
          </cell>
        </row>
        <row r="206">
          <cell r="A206">
            <v>198101</v>
          </cell>
          <cell r="B206">
            <v>205</v>
          </cell>
          <cell r="C206" t="str">
            <v>제주양돈</v>
          </cell>
          <cell r="D206" t="str">
            <v>서사라</v>
          </cell>
          <cell r="E206">
            <v>234414</v>
          </cell>
        </row>
        <row r="207">
          <cell r="A207">
            <v>142401</v>
          </cell>
          <cell r="B207">
            <v>206</v>
          </cell>
          <cell r="C207" t="str">
            <v>아산</v>
          </cell>
          <cell r="D207" t="str">
            <v>온천</v>
          </cell>
          <cell r="E207">
            <v>229933</v>
          </cell>
        </row>
        <row r="208">
          <cell r="A208">
            <v>161201</v>
          </cell>
          <cell r="B208">
            <v>207</v>
          </cell>
          <cell r="C208" t="str">
            <v>담양</v>
          </cell>
          <cell r="D208" t="str">
            <v>창평</v>
          </cell>
          <cell r="E208">
            <v>180840</v>
          </cell>
        </row>
        <row r="209">
          <cell r="A209">
            <v>162402</v>
          </cell>
          <cell r="B209">
            <v>208</v>
          </cell>
          <cell r="C209" t="str">
            <v>장성</v>
          </cell>
          <cell r="D209" t="str">
            <v>한우</v>
          </cell>
          <cell r="E209">
            <v>154154</v>
          </cell>
        </row>
        <row r="210">
          <cell r="A210">
            <v>148400</v>
          </cell>
          <cell r="B210">
            <v>209</v>
          </cell>
          <cell r="C210" t="str">
            <v>대전충남우유</v>
          </cell>
          <cell r="D210" t="str">
            <v>본소</v>
          </cell>
          <cell r="E210">
            <v>149195</v>
          </cell>
        </row>
        <row r="211">
          <cell r="A211">
            <v>151105</v>
          </cell>
          <cell r="B211">
            <v>210</v>
          </cell>
          <cell r="C211" t="str">
            <v>전주</v>
          </cell>
          <cell r="D211" t="str">
            <v>우아</v>
          </cell>
          <cell r="E211">
            <v>133936</v>
          </cell>
        </row>
        <row r="212">
          <cell r="A212">
            <v>200800</v>
          </cell>
          <cell r="B212">
            <v>211</v>
          </cell>
          <cell r="C212" t="str">
            <v>중랑판매장</v>
          </cell>
          <cell r="D212" t="str">
            <v>중랑점</v>
          </cell>
          <cell r="E212">
            <v>133200</v>
          </cell>
        </row>
        <row r="213">
          <cell r="A213">
            <v>172600</v>
          </cell>
          <cell r="B213">
            <v>212</v>
          </cell>
          <cell r="C213" t="str">
            <v>울진</v>
          </cell>
          <cell r="D213" t="str">
            <v>본소</v>
          </cell>
          <cell r="E213">
            <v>120560</v>
          </cell>
        </row>
        <row r="214">
          <cell r="A214">
            <v>101102</v>
          </cell>
          <cell r="B214">
            <v>213</v>
          </cell>
          <cell r="C214" t="str">
            <v>서울</v>
          </cell>
          <cell r="D214" t="str">
            <v>대치</v>
          </cell>
          <cell r="E214">
            <v>29346</v>
          </cell>
        </row>
        <row r="215">
          <cell r="E215">
            <v>391511167</v>
          </cell>
        </row>
      </sheetData>
      <sheetData sheetId="5" refreshError="1">
        <row r="1">
          <cell r="A1" t="str">
            <v>CODE</v>
          </cell>
          <cell r="B1" t="str">
            <v>No.</v>
          </cell>
          <cell r="C1" t="str">
            <v>조합명</v>
          </cell>
          <cell r="D1" t="str">
            <v>판매장명</v>
          </cell>
          <cell r="E1" t="str">
            <v>매출액</v>
          </cell>
          <cell r="F1" t="str">
            <v>월</v>
          </cell>
        </row>
        <row r="2">
          <cell r="A2">
            <v>112100</v>
          </cell>
          <cell r="B2">
            <v>1</v>
          </cell>
          <cell r="C2" t="str">
            <v>평택</v>
          </cell>
          <cell r="D2" t="str">
            <v>본소</v>
          </cell>
          <cell r="E2">
            <v>17676010</v>
          </cell>
          <cell r="F2">
            <v>12</v>
          </cell>
        </row>
        <row r="3">
          <cell r="A3">
            <v>131401</v>
          </cell>
          <cell r="B3">
            <v>2</v>
          </cell>
          <cell r="C3" t="str">
            <v>충주</v>
          </cell>
          <cell r="D3" t="str">
            <v>본소</v>
          </cell>
          <cell r="E3">
            <v>12021250</v>
          </cell>
          <cell r="F3">
            <v>12</v>
          </cell>
        </row>
        <row r="4">
          <cell r="A4">
            <v>128402</v>
          </cell>
          <cell r="B4">
            <v>3</v>
          </cell>
          <cell r="C4" t="str">
            <v>영동양돈</v>
          </cell>
          <cell r="D4" t="str">
            <v>송정</v>
          </cell>
          <cell r="E4">
            <v>9712317</v>
          </cell>
          <cell r="F4">
            <v>12</v>
          </cell>
        </row>
        <row r="5">
          <cell r="A5">
            <v>141400</v>
          </cell>
          <cell r="B5">
            <v>4</v>
          </cell>
          <cell r="C5" t="str">
            <v>부여</v>
          </cell>
          <cell r="D5" t="str">
            <v>본소</v>
          </cell>
          <cell r="E5">
            <v>8524153</v>
          </cell>
          <cell r="F5">
            <v>12</v>
          </cell>
        </row>
        <row r="6">
          <cell r="A6">
            <v>101103</v>
          </cell>
          <cell r="B6">
            <v>5</v>
          </cell>
          <cell r="C6" t="str">
            <v>서울</v>
          </cell>
          <cell r="D6" t="str">
            <v>잠실</v>
          </cell>
          <cell r="E6">
            <v>7894359</v>
          </cell>
          <cell r="F6">
            <v>12</v>
          </cell>
        </row>
        <row r="7">
          <cell r="A7">
            <v>111602</v>
          </cell>
          <cell r="B7">
            <v>6</v>
          </cell>
          <cell r="C7" t="str">
            <v>경기광주</v>
          </cell>
          <cell r="D7" t="str">
            <v>경안</v>
          </cell>
          <cell r="E7">
            <v>7246626</v>
          </cell>
          <cell r="F7">
            <v>12</v>
          </cell>
        </row>
        <row r="8">
          <cell r="A8">
            <v>181401</v>
          </cell>
          <cell r="B8">
            <v>7</v>
          </cell>
          <cell r="C8" t="str">
            <v>부산</v>
          </cell>
          <cell r="D8" t="str">
            <v>당리</v>
          </cell>
          <cell r="E8">
            <v>6956108</v>
          </cell>
          <cell r="F8">
            <v>12</v>
          </cell>
        </row>
        <row r="9">
          <cell r="A9">
            <v>141801</v>
          </cell>
          <cell r="B9">
            <v>8</v>
          </cell>
          <cell r="C9" t="str">
            <v>공주</v>
          </cell>
          <cell r="D9" t="str">
            <v>웅진</v>
          </cell>
          <cell r="E9">
            <v>6912338</v>
          </cell>
          <cell r="F9">
            <v>12</v>
          </cell>
        </row>
        <row r="10">
          <cell r="A10">
            <v>141200</v>
          </cell>
          <cell r="B10">
            <v>9</v>
          </cell>
          <cell r="C10" t="str">
            <v>금산</v>
          </cell>
          <cell r="D10" t="str">
            <v>본소</v>
          </cell>
          <cell r="E10">
            <v>6517609</v>
          </cell>
          <cell r="F10">
            <v>12</v>
          </cell>
        </row>
        <row r="11">
          <cell r="A11">
            <v>220100</v>
          </cell>
          <cell r="B11">
            <v>10</v>
          </cell>
          <cell r="C11" t="str">
            <v>춘천판매장</v>
          </cell>
          <cell r="D11" t="str">
            <v>춘점점</v>
          </cell>
          <cell r="E11">
            <v>6033090</v>
          </cell>
          <cell r="F11">
            <v>12</v>
          </cell>
        </row>
        <row r="12">
          <cell r="A12">
            <v>121701</v>
          </cell>
          <cell r="B12">
            <v>11</v>
          </cell>
          <cell r="C12" t="str">
            <v>속초</v>
          </cell>
          <cell r="D12" t="str">
            <v>교동</v>
          </cell>
          <cell r="E12">
            <v>5981126</v>
          </cell>
          <cell r="F12">
            <v>12</v>
          </cell>
        </row>
        <row r="13">
          <cell r="A13">
            <v>182100</v>
          </cell>
          <cell r="B13">
            <v>12</v>
          </cell>
          <cell r="C13" t="str">
            <v>김해</v>
          </cell>
          <cell r="D13" t="str">
            <v>본소</v>
          </cell>
          <cell r="E13">
            <v>5828155</v>
          </cell>
          <cell r="F13">
            <v>12</v>
          </cell>
        </row>
        <row r="14">
          <cell r="A14">
            <v>121401</v>
          </cell>
          <cell r="B14">
            <v>13</v>
          </cell>
          <cell r="C14" t="str">
            <v>강릉</v>
          </cell>
          <cell r="D14" t="str">
            <v>성내</v>
          </cell>
          <cell r="E14">
            <v>5527146</v>
          </cell>
          <cell r="F14">
            <v>12</v>
          </cell>
        </row>
        <row r="15">
          <cell r="A15">
            <v>172800</v>
          </cell>
          <cell r="B15">
            <v>14</v>
          </cell>
          <cell r="C15" t="str">
            <v>칠곡</v>
          </cell>
          <cell r="D15" t="str">
            <v>본소</v>
          </cell>
          <cell r="E15">
            <v>5403741</v>
          </cell>
          <cell r="F15">
            <v>12</v>
          </cell>
        </row>
        <row r="16">
          <cell r="A16">
            <v>101102</v>
          </cell>
          <cell r="B16">
            <v>15</v>
          </cell>
          <cell r="C16" t="str">
            <v>서울</v>
          </cell>
          <cell r="D16" t="str">
            <v>대치</v>
          </cell>
          <cell r="E16">
            <v>4963856</v>
          </cell>
          <cell r="F16">
            <v>12</v>
          </cell>
        </row>
        <row r="17">
          <cell r="A17">
            <v>111601</v>
          </cell>
          <cell r="B17">
            <v>16</v>
          </cell>
          <cell r="C17" t="str">
            <v>경기광주</v>
          </cell>
          <cell r="D17" t="str">
            <v>금광</v>
          </cell>
          <cell r="E17">
            <v>4886141</v>
          </cell>
          <cell r="F17">
            <v>12</v>
          </cell>
        </row>
        <row r="18">
          <cell r="A18">
            <v>138200</v>
          </cell>
          <cell r="B18">
            <v>17</v>
          </cell>
          <cell r="C18" t="str">
            <v>충북양계</v>
          </cell>
          <cell r="D18" t="str">
            <v>한아름</v>
          </cell>
          <cell r="E18">
            <v>4842672</v>
          </cell>
          <cell r="F18">
            <v>12</v>
          </cell>
        </row>
        <row r="19">
          <cell r="A19">
            <v>171502</v>
          </cell>
          <cell r="B19">
            <v>18</v>
          </cell>
          <cell r="C19" t="str">
            <v>안동</v>
          </cell>
          <cell r="D19" t="str">
            <v>송현</v>
          </cell>
          <cell r="E19">
            <v>4263092</v>
          </cell>
          <cell r="F19">
            <v>12</v>
          </cell>
        </row>
        <row r="20">
          <cell r="A20">
            <v>128400</v>
          </cell>
          <cell r="B20">
            <v>19</v>
          </cell>
          <cell r="C20" t="str">
            <v>영동양돈</v>
          </cell>
          <cell r="D20" t="str">
            <v>본소</v>
          </cell>
          <cell r="E20">
            <v>4259294</v>
          </cell>
          <cell r="F20">
            <v>12</v>
          </cell>
        </row>
        <row r="21">
          <cell r="A21">
            <v>182400</v>
          </cell>
          <cell r="B21">
            <v>20</v>
          </cell>
          <cell r="C21" t="str">
            <v>함안</v>
          </cell>
          <cell r="D21" t="str">
            <v>본소</v>
          </cell>
          <cell r="E21">
            <v>4148495</v>
          </cell>
          <cell r="F21">
            <v>12</v>
          </cell>
        </row>
        <row r="22">
          <cell r="A22">
            <v>141501</v>
          </cell>
          <cell r="B22">
            <v>21</v>
          </cell>
          <cell r="C22" t="str">
            <v>논산</v>
          </cell>
          <cell r="D22" t="str">
            <v>중부</v>
          </cell>
          <cell r="E22">
            <v>3962187</v>
          </cell>
          <cell r="F22">
            <v>12</v>
          </cell>
        </row>
        <row r="23">
          <cell r="A23">
            <v>171800</v>
          </cell>
          <cell r="B23">
            <v>22</v>
          </cell>
          <cell r="C23" t="str">
            <v>영천</v>
          </cell>
          <cell r="D23" t="str">
            <v>본소</v>
          </cell>
          <cell r="E23">
            <v>3698074</v>
          </cell>
          <cell r="F23">
            <v>12</v>
          </cell>
        </row>
        <row r="24">
          <cell r="A24">
            <v>171402</v>
          </cell>
          <cell r="B24">
            <v>23</v>
          </cell>
          <cell r="C24" t="str">
            <v>김천</v>
          </cell>
          <cell r="D24" t="str">
            <v>황금</v>
          </cell>
          <cell r="E24">
            <v>3671495</v>
          </cell>
          <cell r="F24">
            <v>12</v>
          </cell>
        </row>
        <row r="25">
          <cell r="A25">
            <v>162302</v>
          </cell>
          <cell r="B25">
            <v>24</v>
          </cell>
          <cell r="C25" t="str">
            <v>영암</v>
          </cell>
          <cell r="D25" t="str">
            <v>한라</v>
          </cell>
          <cell r="E25">
            <v>3642213</v>
          </cell>
          <cell r="F25">
            <v>12</v>
          </cell>
        </row>
        <row r="26">
          <cell r="A26">
            <v>121400</v>
          </cell>
          <cell r="B26">
            <v>25</v>
          </cell>
          <cell r="C26" t="str">
            <v>강릉</v>
          </cell>
          <cell r="D26" t="str">
            <v>본소</v>
          </cell>
          <cell r="E26">
            <v>3591251</v>
          </cell>
          <cell r="F26">
            <v>12</v>
          </cell>
        </row>
        <row r="27">
          <cell r="A27">
            <v>100075</v>
          </cell>
          <cell r="B27">
            <v>26</v>
          </cell>
          <cell r="C27" t="str">
            <v>축협유통</v>
          </cell>
          <cell r="D27" t="str">
            <v>도봉</v>
          </cell>
          <cell r="E27">
            <v>3541969</v>
          </cell>
          <cell r="F27">
            <v>12</v>
          </cell>
        </row>
        <row r="28">
          <cell r="A28">
            <v>158100</v>
          </cell>
          <cell r="B28">
            <v>27</v>
          </cell>
          <cell r="C28" t="str">
            <v>전북양계</v>
          </cell>
          <cell r="D28" t="str">
            <v>본소</v>
          </cell>
          <cell r="E28">
            <v>3505142</v>
          </cell>
          <cell r="F28">
            <v>12</v>
          </cell>
        </row>
        <row r="29">
          <cell r="A29">
            <v>128403</v>
          </cell>
          <cell r="B29">
            <v>28</v>
          </cell>
          <cell r="C29" t="str">
            <v>영동양돈</v>
          </cell>
          <cell r="D29" t="str">
            <v>성덕</v>
          </cell>
          <cell r="E29">
            <v>3388060</v>
          </cell>
          <cell r="F29">
            <v>12</v>
          </cell>
        </row>
        <row r="30">
          <cell r="A30">
            <v>182501</v>
          </cell>
          <cell r="B30">
            <v>29</v>
          </cell>
          <cell r="C30" t="str">
            <v>남해</v>
          </cell>
          <cell r="D30" t="str">
            <v>본소</v>
          </cell>
          <cell r="E30">
            <v>3370974</v>
          </cell>
          <cell r="F30">
            <v>12</v>
          </cell>
        </row>
        <row r="31">
          <cell r="A31">
            <v>108102</v>
          </cell>
          <cell r="B31">
            <v>30</v>
          </cell>
          <cell r="C31" t="str">
            <v>서울경기양계</v>
          </cell>
          <cell r="D31" t="str">
            <v>이문</v>
          </cell>
          <cell r="E31">
            <v>3366785</v>
          </cell>
          <cell r="F31">
            <v>12</v>
          </cell>
        </row>
        <row r="32">
          <cell r="A32">
            <v>172400</v>
          </cell>
          <cell r="B32">
            <v>31</v>
          </cell>
          <cell r="C32" t="str">
            <v>영주</v>
          </cell>
          <cell r="D32" t="str">
            <v>본소</v>
          </cell>
          <cell r="E32">
            <v>3234117</v>
          </cell>
          <cell r="F32">
            <v>12</v>
          </cell>
        </row>
        <row r="33">
          <cell r="A33">
            <v>171600</v>
          </cell>
          <cell r="B33">
            <v>32</v>
          </cell>
          <cell r="C33" t="str">
            <v>의성</v>
          </cell>
          <cell r="D33" t="str">
            <v>본소</v>
          </cell>
          <cell r="E33">
            <v>3168837</v>
          </cell>
          <cell r="F33">
            <v>12</v>
          </cell>
        </row>
        <row r="34">
          <cell r="A34">
            <v>182900</v>
          </cell>
          <cell r="B34">
            <v>33</v>
          </cell>
          <cell r="C34" t="str">
            <v>사천</v>
          </cell>
          <cell r="D34" t="str">
            <v>본소</v>
          </cell>
          <cell r="E34">
            <v>3144558</v>
          </cell>
          <cell r="F34">
            <v>12</v>
          </cell>
        </row>
        <row r="35">
          <cell r="A35">
            <v>112103</v>
          </cell>
          <cell r="B35">
            <v>34</v>
          </cell>
          <cell r="C35" t="str">
            <v>평택</v>
          </cell>
          <cell r="D35" t="str">
            <v>송복</v>
          </cell>
          <cell r="E35">
            <v>3103168</v>
          </cell>
          <cell r="F35">
            <v>12</v>
          </cell>
        </row>
        <row r="36">
          <cell r="A36">
            <v>122101</v>
          </cell>
          <cell r="B36">
            <v>35</v>
          </cell>
          <cell r="C36" t="str">
            <v>동해</v>
          </cell>
          <cell r="D36" t="str">
            <v>천곡</v>
          </cell>
          <cell r="E36">
            <v>3003183</v>
          </cell>
          <cell r="F36">
            <v>12</v>
          </cell>
        </row>
        <row r="37">
          <cell r="A37">
            <v>172300</v>
          </cell>
          <cell r="B37">
            <v>36</v>
          </cell>
          <cell r="C37" t="str">
            <v>예천</v>
          </cell>
          <cell r="D37" t="str">
            <v>본소</v>
          </cell>
          <cell r="E37">
            <v>2972230</v>
          </cell>
          <cell r="F37">
            <v>12</v>
          </cell>
        </row>
        <row r="38">
          <cell r="A38">
            <v>200300</v>
          </cell>
          <cell r="B38">
            <v>37</v>
          </cell>
          <cell r="C38" t="str">
            <v>상계판매장</v>
          </cell>
          <cell r="D38" t="str">
            <v>상계점</v>
          </cell>
          <cell r="E38">
            <v>2946937</v>
          </cell>
          <cell r="F38">
            <v>12</v>
          </cell>
        </row>
        <row r="39">
          <cell r="A39">
            <v>182101</v>
          </cell>
          <cell r="B39">
            <v>38</v>
          </cell>
          <cell r="C39" t="str">
            <v>김해</v>
          </cell>
          <cell r="D39" t="str">
            <v>내외동</v>
          </cell>
          <cell r="E39">
            <v>2909306</v>
          </cell>
          <cell r="F39">
            <v>12</v>
          </cell>
        </row>
        <row r="40">
          <cell r="A40">
            <v>171802</v>
          </cell>
          <cell r="B40">
            <v>39</v>
          </cell>
          <cell r="C40" t="str">
            <v>영천</v>
          </cell>
          <cell r="D40" t="str">
            <v>서문</v>
          </cell>
          <cell r="E40">
            <v>2817072</v>
          </cell>
          <cell r="F40">
            <v>12</v>
          </cell>
        </row>
        <row r="41">
          <cell r="A41">
            <v>162800</v>
          </cell>
          <cell r="B41">
            <v>40</v>
          </cell>
          <cell r="C41" t="str">
            <v>곡성</v>
          </cell>
          <cell r="D41" t="str">
            <v>본소</v>
          </cell>
          <cell r="E41">
            <v>2685513</v>
          </cell>
          <cell r="F41">
            <v>12</v>
          </cell>
        </row>
        <row r="42">
          <cell r="A42">
            <v>141500</v>
          </cell>
          <cell r="B42">
            <v>41</v>
          </cell>
          <cell r="C42" t="str">
            <v>논산</v>
          </cell>
          <cell r="D42" t="str">
            <v>본소</v>
          </cell>
          <cell r="E42">
            <v>2675997</v>
          </cell>
          <cell r="F42">
            <v>12</v>
          </cell>
        </row>
        <row r="43">
          <cell r="A43">
            <v>131601</v>
          </cell>
          <cell r="B43">
            <v>42</v>
          </cell>
          <cell r="C43" t="str">
            <v>제천</v>
          </cell>
          <cell r="D43" t="str">
            <v>청전</v>
          </cell>
          <cell r="E43">
            <v>2642550</v>
          </cell>
          <cell r="F43">
            <v>12</v>
          </cell>
        </row>
        <row r="44">
          <cell r="A44">
            <v>151600</v>
          </cell>
          <cell r="B44">
            <v>43</v>
          </cell>
          <cell r="C44" t="str">
            <v>진안</v>
          </cell>
          <cell r="D44" t="str">
            <v>본소</v>
          </cell>
          <cell r="E44">
            <v>2606925</v>
          </cell>
          <cell r="F44">
            <v>12</v>
          </cell>
        </row>
        <row r="45">
          <cell r="A45">
            <v>111300</v>
          </cell>
          <cell r="B45">
            <v>44</v>
          </cell>
          <cell r="C45" t="str">
            <v>안양</v>
          </cell>
          <cell r="D45" t="str">
            <v>본소</v>
          </cell>
          <cell r="E45">
            <v>2499890</v>
          </cell>
          <cell r="F45">
            <v>12</v>
          </cell>
        </row>
        <row r="46">
          <cell r="A46">
            <v>182200</v>
          </cell>
          <cell r="B46">
            <v>45</v>
          </cell>
          <cell r="C46" t="str">
            <v>거제</v>
          </cell>
          <cell r="D46" t="str">
            <v>본소</v>
          </cell>
          <cell r="E46">
            <v>2494830</v>
          </cell>
          <cell r="F46">
            <v>12</v>
          </cell>
        </row>
        <row r="47">
          <cell r="A47">
            <v>111404</v>
          </cell>
          <cell r="B47">
            <v>46</v>
          </cell>
          <cell r="C47" t="str">
            <v>양주</v>
          </cell>
          <cell r="D47" t="str">
            <v>회천</v>
          </cell>
          <cell r="E47">
            <v>2446601</v>
          </cell>
          <cell r="F47">
            <v>12</v>
          </cell>
        </row>
        <row r="48">
          <cell r="A48">
            <v>182301</v>
          </cell>
          <cell r="B48">
            <v>47</v>
          </cell>
          <cell r="C48" t="str">
            <v>양산</v>
          </cell>
          <cell r="D48" t="str">
            <v>두배로마트</v>
          </cell>
          <cell r="E48">
            <v>2438731</v>
          </cell>
          <cell r="F48">
            <v>12</v>
          </cell>
        </row>
        <row r="49">
          <cell r="A49">
            <v>121801</v>
          </cell>
          <cell r="B49">
            <v>48</v>
          </cell>
          <cell r="C49" t="str">
            <v>삼척</v>
          </cell>
          <cell r="D49" t="str">
            <v>원덕</v>
          </cell>
          <cell r="E49">
            <v>2434315</v>
          </cell>
          <cell r="F49">
            <v>12</v>
          </cell>
        </row>
        <row r="50">
          <cell r="A50">
            <v>151302</v>
          </cell>
          <cell r="B50">
            <v>49</v>
          </cell>
          <cell r="C50" t="str">
            <v>정읍</v>
          </cell>
          <cell r="D50" t="str">
            <v>상동</v>
          </cell>
          <cell r="E50">
            <v>2418464</v>
          </cell>
          <cell r="F50">
            <v>12</v>
          </cell>
        </row>
        <row r="51">
          <cell r="A51">
            <v>171503</v>
          </cell>
          <cell r="B51">
            <v>50</v>
          </cell>
          <cell r="C51" t="str">
            <v>안동</v>
          </cell>
          <cell r="D51" t="str">
            <v>중앙</v>
          </cell>
          <cell r="E51">
            <v>2330426</v>
          </cell>
          <cell r="F51">
            <v>12</v>
          </cell>
        </row>
        <row r="52">
          <cell r="A52">
            <v>171602</v>
          </cell>
          <cell r="B52">
            <v>51</v>
          </cell>
          <cell r="C52" t="str">
            <v>의성</v>
          </cell>
          <cell r="D52" t="str">
            <v>안계</v>
          </cell>
          <cell r="E52">
            <v>2305798</v>
          </cell>
          <cell r="F52">
            <v>12</v>
          </cell>
        </row>
        <row r="53">
          <cell r="A53">
            <v>142400</v>
          </cell>
          <cell r="B53">
            <v>52</v>
          </cell>
          <cell r="C53" t="str">
            <v>아산</v>
          </cell>
          <cell r="D53" t="str">
            <v>본소</v>
          </cell>
          <cell r="E53">
            <v>2304551</v>
          </cell>
          <cell r="F53">
            <v>12</v>
          </cell>
        </row>
        <row r="54">
          <cell r="A54">
            <v>142100</v>
          </cell>
          <cell r="B54">
            <v>53</v>
          </cell>
          <cell r="C54" t="str">
            <v>예산</v>
          </cell>
          <cell r="D54" t="str">
            <v>본소</v>
          </cell>
          <cell r="E54">
            <v>2110777</v>
          </cell>
          <cell r="F54">
            <v>12</v>
          </cell>
        </row>
        <row r="55">
          <cell r="A55">
            <v>111700</v>
          </cell>
          <cell r="B55">
            <v>54</v>
          </cell>
          <cell r="C55" t="str">
            <v>남양주</v>
          </cell>
          <cell r="D55" t="str">
            <v>본소</v>
          </cell>
          <cell r="E55">
            <v>2080428</v>
          </cell>
          <cell r="F55">
            <v>12</v>
          </cell>
        </row>
        <row r="56">
          <cell r="A56">
            <v>173300</v>
          </cell>
          <cell r="B56">
            <v>55</v>
          </cell>
          <cell r="C56" t="str">
            <v>영덕</v>
          </cell>
          <cell r="D56" t="str">
            <v>본소</v>
          </cell>
          <cell r="E56">
            <v>1998236</v>
          </cell>
          <cell r="F56">
            <v>12</v>
          </cell>
        </row>
        <row r="57">
          <cell r="A57">
            <v>122300</v>
          </cell>
          <cell r="B57">
            <v>56</v>
          </cell>
          <cell r="C57" t="str">
            <v>양양</v>
          </cell>
          <cell r="D57" t="str">
            <v>본소</v>
          </cell>
          <cell r="E57">
            <v>1948264</v>
          </cell>
          <cell r="F57">
            <v>12</v>
          </cell>
        </row>
        <row r="58">
          <cell r="A58">
            <v>182000</v>
          </cell>
          <cell r="B58">
            <v>57</v>
          </cell>
          <cell r="C58" t="str">
            <v>의령</v>
          </cell>
          <cell r="D58" t="str">
            <v>본소</v>
          </cell>
          <cell r="E58">
            <v>1946917</v>
          </cell>
          <cell r="F58">
            <v>12</v>
          </cell>
        </row>
        <row r="59">
          <cell r="A59">
            <v>148602</v>
          </cell>
          <cell r="B59">
            <v>58</v>
          </cell>
          <cell r="C59" t="str">
            <v>천안낙농</v>
          </cell>
          <cell r="D59" t="str">
            <v>쌍용</v>
          </cell>
          <cell r="E59">
            <v>1934052</v>
          </cell>
          <cell r="F59">
            <v>12</v>
          </cell>
        </row>
        <row r="60">
          <cell r="A60">
            <v>128301</v>
          </cell>
          <cell r="B60">
            <v>59</v>
          </cell>
          <cell r="C60" t="str">
            <v>강원양돈</v>
          </cell>
          <cell r="D60" t="str">
            <v>후평</v>
          </cell>
          <cell r="E60">
            <v>1924060</v>
          </cell>
          <cell r="F60">
            <v>12</v>
          </cell>
        </row>
        <row r="61">
          <cell r="A61">
            <v>121803</v>
          </cell>
          <cell r="B61">
            <v>60</v>
          </cell>
          <cell r="C61" t="str">
            <v>삼척</v>
          </cell>
          <cell r="D61" t="str">
            <v>도계</v>
          </cell>
          <cell r="E61">
            <v>1897507</v>
          </cell>
          <cell r="F61">
            <v>12</v>
          </cell>
        </row>
        <row r="62">
          <cell r="A62">
            <v>168303</v>
          </cell>
          <cell r="B62">
            <v>61</v>
          </cell>
          <cell r="C62" t="str">
            <v>광전양계</v>
          </cell>
          <cell r="D62" t="str">
            <v>하당</v>
          </cell>
          <cell r="E62">
            <v>1863438</v>
          </cell>
          <cell r="F62">
            <v>12</v>
          </cell>
        </row>
        <row r="63">
          <cell r="A63">
            <v>181901</v>
          </cell>
          <cell r="B63">
            <v>62</v>
          </cell>
          <cell r="C63" t="str">
            <v>마산</v>
          </cell>
          <cell r="D63" t="str">
            <v>진해</v>
          </cell>
          <cell r="E63">
            <v>1796208</v>
          </cell>
          <cell r="F63">
            <v>12</v>
          </cell>
        </row>
        <row r="64">
          <cell r="A64">
            <v>178401</v>
          </cell>
          <cell r="B64">
            <v>63</v>
          </cell>
          <cell r="C64" t="str">
            <v>경북중앙</v>
          </cell>
          <cell r="D64" t="str">
            <v>정평</v>
          </cell>
          <cell r="E64">
            <v>1757425</v>
          </cell>
          <cell r="F64">
            <v>12</v>
          </cell>
        </row>
        <row r="65">
          <cell r="A65">
            <v>171504</v>
          </cell>
          <cell r="B65">
            <v>64</v>
          </cell>
          <cell r="C65" t="str">
            <v>안동</v>
          </cell>
          <cell r="D65" t="str">
            <v>북문</v>
          </cell>
          <cell r="E65">
            <v>1736981</v>
          </cell>
          <cell r="F65">
            <v>12</v>
          </cell>
        </row>
        <row r="66">
          <cell r="A66">
            <v>151400</v>
          </cell>
          <cell r="B66">
            <v>65</v>
          </cell>
          <cell r="C66" t="str">
            <v>남원</v>
          </cell>
          <cell r="D66" t="str">
            <v>본소</v>
          </cell>
          <cell r="E66">
            <v>1723580</v>
          </cell>
          <cell r="F66">
            <v>12</v>
          </cell>
        </row>
        <row r="67">
          <cell r="A67">
            <v>200800</v>
          </cell>
          <cell r="B67">
            <v>66</v>
          </cell>
          <cell r="C67" t="str">
            <v>중랑판매장</v>
          </cell>
          <cell r="D67" t="str">
            <v>중랑점</v>
          </cell>
          <cell r="E67">
            <v>1722993</v>
          </cell>
          <cell r="F67">
            <v>12</v>
          </cell>
        </row>
        <row r="68">
          <cell r="A68">
            <v>181905</v>
          </cell>
          <cell r="B68">
            <v>67</v>
          </cell>
          <cell r="C68" t="str">
            <v>마산</v>
          </cell>
          <cell r="D68" t="str">
            <v>대방</v>
          </cell>
          <cell r="E68">
            <v>1706327</v>
          </cell>
          <cell r="F68">
            <v>12</v>
          </cell>
        </row>
        <row r="69">
          <cell r="A69">
            <v>171105</v>
          </cell>
          <cell r="B69">
            <v>68</v>
          </cell>
          <cell r="C69" t="str">
            <v>대구</v>
          </cell>
          <cell r="D69" t="str">
            <v>송현</v>
          </cell>
          <cell r="E69">
            <v>1695192</v>
          </cell>
          <cell r="F69">
            <v>12</v>
          </cell>
        </row>
        <row r="70">
          <cell r="A70">
            <v>161202</v>
          </cell>
          <cell r="B70">
            <v>69</v>
          </cell>
          <cell r="C70" t="str">
            <v>담양</v>
          </cell>
          <cell r="D70" t="str">
            <v>제2판</v>
          </cell>
          <cell r="E70">
            <v>1691227</v>
          </cell>
          <cell r="F70">
            <v>12</v>
          </cell>
        </row>
        <row r="71">
          <cell r="A71">
            <v>171900</v>
          </cell>
          <cell r="B71">
            <v>70</v>
          </cell>
          <cell r="C71" t="str">
            <v>경산</v>
          </cell>
          <cell r="D71" t="str">
            <v>본소</v>
          </cell>
          <cell r="E71">
            <v>1682290</v>
          </cell>
          <cell r="F71">
            <v>12</v>
          </cell>
        </row>
        <row r="72">
          <cell r="A72">
            <v>191201</v>
          </cell>
          <cell r="B72">
            <v>71</v>
          </cell>
          <cell r="C72" t="str">
            <v>남제주</v>
          </cell>
          <cell r="D72" t="str">
            <v>서귀포</v>
          </cell>
          <cell r="E72">
            <v>1652608</v>
          </cell>
          <cell r="F72">
            <v>12</v>
          </cell>
        </row>
        <row r="73">
          <cell r="A73">
            <v>172900</v>
          </cell>
          <cell r="B73">
            <v>72</v>
          </cell>
          <cell r="C73" t="str">
            <v>달성</v>
          </cell>
          <cell r="D73" t="str">
            <v>본소</v>
          </cell>
          <cell r="E73">
            <v>1640831</v>
          </cell>
          <cell r="F73">
            <v>12</v>
          </cell>
        </row>
        <row r="74">
          <cell r="A74">
            <v>121500</v>
          </cell>
          <cell r="B74">
            <v>73</v>
          </cell>
          <cell r="C74" t="str">
            <v>홍천</v>
          </cell>
          <cell r="D74" t="str">
            <v>본소</v>
          </cell>
          <cell r="E74">
            <v>1634380</v>
          </cell>
          <cell r="F74">
            <v>12</v>
          </cell>
        </row>
        <row r="75">
          <cell r="A75">
            <v>161102</v>
          </cell>
          <cell r="B75">
            <v>74</v>
          </cell>
          <cell r="C75" t="str">
            <v>광주</v>
          </cell>
          <cell r="D75" t="str">
            <v>화정</v>
          </cell>
          <cell r="E75">
            <v>1632451</v>
          </cell>
          <cell r="F75">
            <v>12</v>
          </cell>
        </row>
        <row r="76">
          <cell r="A76">
            <v>141800</v>
          </cell>
          <cell r="B76">
            <v>75</v>
          </cell>
          <cell r="C76" t="str">
            <v>공주</v>
          </cell>
          <cell r="D76" t="str">
            <v>본소</v>
          </cell>
          <cell r="E76">
            <v>1617449</v>
          </cell>
          <cell r="F76">
            <v>12</v>
          </cell>
        </row>
        <row r="77">
          <cell r="A77">
            <v>151200</v>
          </cell>
          <cell r="B77">
            <v>76</v>
          </cell>
          <cell r="C77" t="str">
            <v>무주</v>
          </cell>
          <cell r="D77" t="str">
            <v>본소</v>
          </cell>
          <cell r="E77">
            <v>1608699</v>
          </cell>
          <cell r="F77">
            <v>12</v>
          </cell>
        </row>
        <row r="78">
          <cell r="A78">
            <v>200600</v>
          </cell>
          <cell r="B78">
            <v>77</v>
          </cell>
          <cell r="C78" t="str">
            <v>목동판매장</v>
          </cell>
          <cell r="D78" t="str">
            <v>목동점</v>
          </cell>
          <cell r="E78">
            <v>1594298</v>
          </cell>
          <cell r="F78">
            <v>12</v>
          </cell>
        </row>
        <row r="79">
          <cell r="A79">
            <v>200400</v>
          </cell>
          <cell r="B79">
            <v>78</v>
          </cell>
          <cell r="C79" t="str">
            <v>중곡판매장</v>
          </cell>
          <cell r="D79" t="str">
            <v>중곡점</v>
          </cell>
          <cell r="E79">
            <v>1578219</v>
          </cell>
          <cell r="F79">
            <v>12</v>
          </cell>
        </row>
        <row r="80">
          <cell r="A80">
            <v>100071</v>
          </cell>
          <cell r="B80">
            <v>79</v>
          </cell>
          <cell r="C80" t="str">
            <v>축협유통</v>
          </cell>
          <cell r="D80" t="str">
            <v>분당</v>
          </cell>
          <cell r="E80">
            <v>1576760</v>
          </cell>
          <cell r="F80">
            <v>12</v>
          </cell>
        </row>
        <row r="81">
          <cell r="A81">
            <v>181201</v>
          </cell>
          <cell r="B81">
            <v>80</v>
          </cell>
          <cell r="C81" t="str">
            <v>거창</v>
          </cell>
          <cell r="D81" t="str">
            <v>종합</v>
          </cell>
          <cell r="E81">
            <v>1553987</v>
          </cell>
          <cell r="F81">
            <v>12</v>
          </cell>
        </row>
        <row r="82">
          <cell r="A82">
            <v>122400</v>
          </cell>
          <cell r="B82">
            <v>81</v>
          </cell>
          <cell r="C82" t="str">
            <v>횡성</v>
          </cell>
          <cell r="D82" t="str">
            <v>본소</v>
          </cell>
          <cell r="E82">
            <v>1472675</v>
          </cell>
          <cell r="F82">
            <v>12</v>
          </cell>
        </row>
        <row r="83">
          <cell r="A83">
            <v>128201</v>
          </cell>
          <cell r="B83">
            <v>82</v>
          </cell>
          <cell r="C83" t="str">
            <v>강원낙농</v>
          </cell>
          <cell r="D83" t="str">
            <v>홍천</v>
          </cell>
          <cell r="E83">
            <v>1446326</v>
          </cell>
          <cell r="F83">
            <v>12</v>
          </cell>
        </row>
        <row r="84">
          <cell r="A84">
            <v>108201</v>
          </cell>
          <cell r="B84">
            <v>83</v>
          </cell>
          <cell r="C84" t="str">
            <v>서울경기양계</v>
          </cell>
          <cell r="D84" t="str">
            <v>신촌</v>
          </cell>
          <cell r="E84">
            <v>1438101</v>
          </cell>
          <cell r="F84">
            <v>12</v>
          </cell>
        </row>
        <row r="85">
          <cell r="A85">
            <v>128300</v>
          </cell>
          <cell r="B85">
            <v>84</v>
          </cell>
          <cell r="C85" t="str">
            <v>강원양돈</v>
          </cell>
          <cell r="D85" t="str">
            <v>본소</v>
          </cell>
          <cell r="E85">
            <v>1422897</v>
          </cell>
          <cell r="F85">
            <v>12</v>
          </cell>
        </row>
        <row r="86">
          <cell r="A86">
            <v>152000</v>
          </cell>
          <cell r="B86">
            <v>85</v>
          </cell>
          <cell r="C86" t="str">
            <v>익산</v>
          </cell>
          <cell r="D86" t="str">
            <v>본소</v>
          </cell>
          <cell r="E86">
            <v>1411263</v>
          </cell>
          <cell r="F86">
            <v>12</v>
          </cell>
        </row>
        <row r="87">
          <cell r="A87">
            <v>121700</v>
          </cell>
          <cell r="B87">
            <v>86</v>
          </cell>
          <cell r="C87" t="str">
            <v>속초</v>
          </cell>
          <cell r="D87" t="str">
            <v>본소</v>
          </cell>
          <cell r="E87">
            <v>1356458</v>
          </cell>
          <cell r="F87">
            <v>12</v>
          </cell>
        </row>
        <row r="88">
          <cell r="A88">
            <v>181701</v>
          </cell>
          <cell r="B88">
            <v>87</v>
          </cell>
          <cell r="C88" t="str">
            <v>산청</v>
          </cell>
          <cell r="D88" t="str">
            <v>원지</v>
          </cell>
          <cell r="E88">
            <v>1321770</v>
          </cell>
          <cell r="F88">
            <v>12</v>
          </cell>
        </row>
        <row r="89">
          <cell r="A89">
            <v>142600</v>
          </cell>
          <cell r="B89">
            <v>88</v>
          </cell>
          <cell r="C89" t="str">
            <v>청양</v>
          </cell>
          <cell r="D89" t="str">
            <v>본소</v>
          </cell>
          <cell r="E89">
            <v>1286428</v>
          </cell>
          <cell r="F89">
            <v>12</v>
          </cell>
        </row>
        <row r="90">
          <cell r="A90">
            <v>151100</v>
          </cell>
          <cell r="B90">
            <v>89</v>
          </cell>
          <cell r="C90" t="str">
            <v>전주</v>
          </cell>
          <cell r="D90" t="str">
            <v>본소</v>
          </cell>
          <cell r="E90">
            <v>1284905</v>
          </cell>
          <cell r="F90">
            <v>12</v>
          </cell>
        </row>
        <row r="91">
          <cell r="A91">
            <v>168400</v>
          </cell>
          <cell r="B91">
            <v>90</v>
          </cell>
          <cell r="C91" t="str">
            <v>진도견보육</v>
          </cell>
          <cell r="D91" t="str">
            <v>본소</v>
          </cell>
          <cell r="E91">
            <v>1275770</v>
          </cell>
          <cell r="F91">
            <v>12</v>
          </cell>
        </row>
        <row r="92">
          <cell r="A92">
            <v>162202</v>
          </cell>
          <cell r="B92">
            <v>91</v>
          </cell>
          <cell r="C92" t="str">
            <v>해남</v>
          </cell>
          <cell r="D92" t="str">
            <v>수성</v>
          </cell>
          <cell r="E92">
            <v>1232995</v>
          </cell>
          <cell r="F92">
            <v>12</v>
          </cell>
        </row>
        <row r="93">
          <cell r="A93">
            <v>151502</v>
          </cell>
          <cell r="B93">
            <v>92</v>
          </cell>
          <cell r="C93" t="str">
            <v>순창</v>
          </cell>
          <cell r="D93" t="str">
            <v>동순창</v>
          </cell>
          <cell r="E93">
            <v>1204218</v>
          </cell>
          <cell r="F93">
            <v>12</v>
          </cell>
        </row>
        <row r="94">
          <cell r="A94">
            <v>152103</v>
          </cell>
          <cell r="B94">
            <v>93</v>
          </cell>
          <cell r="C94" t="str">
            <v>군산</v>
          </cell>
          <cell r="D94" t="str">
            <v>삼학</v>
          </cell>
          <cell r="E94">
            <v>1165397</v>
          </cell>
          <cell r="F94">
            <v>12</v>
          </cell>
        </row>
        <row r="95">
          <cell r="A95">
            <v>178300</v>
          </cell>
          <cell r="B95">
            <v>94</v>
          </cell>
          <cell r="C95" t="str">
            <v>대구경북양계</v>
          </cell>
          <cell r="D95" t="str">
            <v>본소</v>
          </cell>
          <cell r="E95">
            <v>1118657</v>
          </cell>
          <cell r="F95">
            <v>12</v>
          </cell>
        </row>
        <row r="96">
          <cell r="A96">
            <v>151301</v>
          </cell>
          <cell r="B96">
            <v>95</v>
          </cell>
          <cell r="C96" t="str">
            <v>정읍</v>
          </cell>
          <cell r="D96" t="str">
            <v>시기</v>
          </cell>
          <cell r="E96">
            <v>1115919</v>
          </cell>
          <cell r="F96">
            <v>12</v>
          </cell>
        </row>
        <row r="97">
          <cell r="A97">
            <v>200500</v>
          </cell>
          <cell r="B97">
            <v>96</v>
          </cell>
          <cell r="C97" t="str">
            <v>사당판매장</v>
          </cell>
          <cell r="D97" t="str">
            <v>사당점</v>
          </cell>
          <cell r="E97">
            <v>1111940</v>
          </cell>
          <cell r="F97">
            <v>12</v>
          </cell>
        </row>
        <row r="98">
          <cell r="A98">
            <v>171106</v>
          </cell>
          <cell r="B98">
            <v>97</v>
          </cell>
          <cell r="C98" t="str">
            <v>대구</v>
          </cell>
          <cell r="D98" t="str">
            <v>봉덕</v>
          </cell>
          <cell r="E98">
            <v>1087754</v>
          </cell>
          <cell r="F98">
            <v>12</v>
          </cell>
        </row>
        <row r="99">
          <cell r="A99">
            <v>178302</v>
          </cell>
          <cell r="B99">
            <v>98</v>
          </cell>
          <cell r="C99" t="str">
            <v>대구경북양계</v>
          </cell>
          <cell r="D99" t="str">
            <v>범물</v>
          </cell>
          <cell r="E99">
            <v>1078387</v>
          </cell>
          <cell r="F99">
            <v>12</v>
          </cell>
        </row>
        <row r="100">
          <cell r="A100">
            <v>168302</v>
          </cell>
          <cell r="B100">
            <v>99</v>
          </cell>
          <cell r="C100" t="str">
            <v>광전양계</v>
          </cell>
          <cell r="D100" t="str">
            <v>신용해</v>
          </cell>
          <cell r="E100">
            <v>1056064</v>
          </cell>
          <cell r="F100">
            <v>12</v>
          </cell>
        </row>
        <row r="101">
          <cell r="A101">
            <v>112102</v>
          </cell>
          <cell r="B101">
            <v>100</v>
          </cell>
          <cell r="C101" t="str">
            <v>평택</v>
          </cell>
          <cell r="D101" t="str">
            <v>안중</v>
          </cell>
          <cell r="E101">
            <v>1054842</v>
          </cell>
          <cell r="F101">
            <v>12</v>
          </cell>
        </row>
        <row r="102">
          <cell r="A102">
            <v>131402</v>
          </cell>
          <cell r="B102">
            <v>101</v>
          </cell>
          <cell r="C102" t="str">
            <v>충주</v>
          </cell>
          <cell r="D102" t="str">
            <v>남산</v>
          </cell>
          <cell r="E102">
            <v>1048553</v>
          </cell>
          <cell r="F102">
            <v>12</v>
          </cell>
        </row>
        <row r="103">
          <cell r="A103">
            <v>112501</v>
          </cell>
          <cell r="B103">
            <v>102</v>
          </cell>
          <cell r="C103" t="str">
            <v>여주</v>
          </cell>
          <cell r="D103" t="str">
            <v>여강</v>
          </cell>
          <cell r="E103">
            <v>1048171</v>
          </cell>
          <cell r="F103">
            <v>12</v>
          </cell>
        </row>
        <row r="104">
          <cell r="A104">
            <v>112500</v>
          </cell>
          <cell r="B104">
            <v>103</v>
          </cell>
          <cell r="C104" t="str">
            <v>여주</v>
          </cell>
          <cell r="D104" t="str">
            <v>본소</v>
          </cell>
          <cell r="E104">
            <v>1032947</v>
          </cell>
          <cell r="F104">
            <v>12</v>
          </cell>
        </row>
        <row r="105">
          <cell r="A105">
            <v>171401</v>
          </cell>
          <cell r="B105">
            <v>104</v>
          </cell>
          <cell r="C105" t="str">
            <v>김천</v>
          </cell>
          <cell r="D105" t="str">
            <v>평화</v>
          </cell>
          <cell r="E105">
            <v>1027620</v>
          </cell>
          <cell r="F105">
            <v>12</v>
          </cell>
        </row>
        <row r="106">
          <cell r="A106">
            <v>151105</v>
          </cell>
          <cell r="B106">
            <v>105</v>
          </cell>
          <cell r="C106" t="str">
            <v>전주</v>
          </cell>
          <cell r="D106" t="str">
            <v>우아</v>
          </cell>
          <cell r="E106">
            <v>1004283</v>
          </cell>
          <cell r="F106">
            <v>12</v>
          </cell>
        </row>
        <row r="107">
          <cell r="A107">
            <v>171303</v>
          </cell>
          <cell r="B107">
            <v>106</v>
          </cell>
          <cell r="C107" t="str">
            <v>경주</v>
          </cell>
          <cell r="D107" t="str">
            <v>성동</v>
          </cell>
          <cell r="E107">
            <v>988444</v>
          </cell>
          <cell r="F107">
            <v>12</v>
          </cell>
        </row>
        <row r="108">
          <cell r="A108">
            <v>198100</v>
          </cell>
          <cell r="B108">
            <v>107</v>
          </cell>
          <cell r="C108" t="str">
            <v>제주양돈</v>
          </cell>
          <cell r="D108" t="str">
            <v>본소</v>
          </cell>
          <cell r="E108">
            <v>983639</v>
          </cell>
          <cell r="F108">
            <v>12</v>
          </cell>
        </row>
        <row r="109">
          <cell r="A109">
            <v>131301</v>
          </cell>
          <cell r="B109">
            <v>108</v>
          </cell>
          <cell r="C109" t="str">
            <v>영동</v>
          </cell>
          <cell r="D109" t="str">
            <v>황간</v>
          </cell>
          <cell r="E109">
            <v>978522</v>
          </cell>
          <cell r="F109">
            <v>12</v>
          </cell>
        </row>
        <row r="110">
          <cell r="A110">
            <v>161108</v>
          </cell>
          <cell r="B110">
            <v>109</v>
          </cell>
          <cell r="C110" t="str">
            <v>광주</v>
          </cell>
          <cell r="D110" t="str">
            <v>도산</v>
          </cell>
          <cell r="E110">
            <v>963944</v>
          </cell>
          <cell r="F110">
            <v>12</v>
          </cell>
        </row>
        <row r="111">
          <cell r="A111">
            <v>131500</v>
          </cell>
          <cell r="B111">
            <v>110</v>
          </cell>
          <cell r="C111" t="str">
            <v>괴산</v>
          </cell>
          <cell r="D111" t="str">
            <v>본소</v>
          </cell>
          <cell r="E111">
            <v>950738</v>
          </cell>
          <cell r="F111">
            <v>12</v>
          </cell>
        </row>
        <row r="112">
          <cell r="A112">
            <v>158200</v>
          </cell>
          <cell r="B112">
            <v>111</v>
          </cell>
          <cell r="C112" t="str">
            <v>전북양돈</v>
          </cell>
          <cell r="D112" t="str">
            <v>본소</v>
          </cell>
          <cell r="E112">
            <v>945549</v>
          </cell>
          <cell r="F112">
            <v>12</v>
          </cell>
        </row>
        <row r="113">
          <cell r="A113">
            <v>162300</v>
          </cell>
          <cell r="B113">
            <v>112</v>
          </cell>
          <cell r="C113" t="str">
            <v>영암</v>
          </cell>
          <cell r="D113" t="str">
            <v>본소</v>
          </cell>
          <cell r="E113">
            <v>929424</v>
          </cell>
          <cell r="F113">
            <v>12</v>
          </cell>
        </row>
        <row r="114">
          <cell r="A114">
            <v>100081</v>
          </cell>
          <cell r="B114">
            <v>113</v>
          </cell>
          <cell r="C114" t="str">
            <v>축협유통</v>
          </cell>
          <cell r="D114" t="str">
            <v>가락</v>
          </cell>
          <cell r="E114">
            <v>928206</v>
          </cell>
          <cell r="F114">
            <v>12</v>
          </cell>
        </row>
        <row r="115">
          <cell r="A115">
            <v>141301</v>
          </cell>
          <cell r="B115">
            <v>114</v>
          </cell>
          <cell r="C115" t="str">
            <v>연기</v>
          </cell>
          <cell r="D115" t="str">
            <v>금남</v>
          </cell>
          <cell r="E115">
            <v>869205</v>
          </cell>
          <cell r="F115">
            <v>12</v>
          </cell>
        </row>
        <row r="116">
          <cell r="A116">
            <v>161107</v>
          </cell>
          <cell r="B116">
            <v>115</v>
          </cell>
          <cell r="C116" t="str">
            <v>광주</v>
          </cell>
          <cell r="D116" t="str">
            <v>오치</v>
          </cell>
          <cell r="E116">
            <v>846454</v>
          </cell>
          <cell r="F116">
            <v>12</v>
          </cell>
        </row>
        <row r="117">
          <cell r="A117">
            <v>151901</v>
          </cell>
          <cell r="B117">
            <v>116</v>
          </cell>
          <cell r="C117" t="str">
            <v>김제</v>
          </cell>
          <cell r="D117" t="str">
            <v>금만</v>
          </cell>
          <cell r="E117">
            <v>842925</v>
          </cell>
          <cell r="F117">
            <v>12</v>
          </cell>
        </row>
        <row r="118">
          <cell r="A118">
            <v>148100</v>
          </cell>
          <cell r="B118">
            <v>117</v>
          </cell>
          <cell r="C118" t="str">
            <v>공주낙농</v>
          </cell>
          <cell r="D118" t="str">
            <v>본소</v>
          </cell>
          <cell r="E118">
            <v>839275</v>
          </cell>
          <cell r="F118">
            <v>12</v>
          </cell>
        </row>
        <row r="119">
          <cell r="A119">
            <v>188208</v>
          </cell>
          <cell r="B119">
            <v>118</v>
          </cell>
          <cell r="C119" t="str">
            <v>경남낙농</v>
          </cell>
          <cell r="D119" t="str">
            <v>상봉</v>
          </cell>
          <cell r="E119">
            <v>794998</v>
          </cell>
          <cell r="F119">
            <v>12</v>
          </cell>
        </row>
        <row r="120">
          <cell r="A120">
            <v>121200</v>
          </cell>
          <cell r="B120">
            <v>119</v>
          </cell>
          <cell r="C120" t="str">
            <v>원주</v>
          </cell>
          <cell r="D120" t="str">
            <v>본소</v>
          </cell>
          <cell r="E120">
            <v>794220</v>
          </cell>
          <cell r="F120">
            <v>12</v>
          </cell>
        </row>
        <row r="121">
          <cell r="A121">
            <v>181602</v>
          </cell>
          <cell r="B121">
            <v>120</v>
          </cell>
          <cell r="C121" t="str">
            <v>밀양</v>
          </cell>
          <cell r="D121" t="str">
            <v>신무안</v>
          </cell>
          <cell r="E121">
            <v>776803</v>
          </cell>
          <cell r="F121">
            <v>12</v>
          </cell>
        </row>
        <row r="122">
          <cell r="A122">
            <v>162200</v>
          </cell>
          <cell r="B122">
            <v>121</v>
          </cell>
          <cell r="C122" t="str">
            <v>해남</v>
          </cell>
          <cell r="D122" t="str">
            <v>본소</v>
          </cell>
          <cell r="E122">
            <v>740708</v>
          </cell>
          <cell r="F122">
            <v>12</v>
          </cell>
        </row>
        <row r="123">
          <cell r="A123">
            <v>148501</v>
          </cell>
          <cell r="B123">
            <v>122</v>
          </cell>
          <cell r="C123" t="str">
            <v>홍성낙농</v>
          </cell>
          <cell r="D123" t="str">
            <v>육우</v>
          </cell>
          <cell r="E123">
            <v>715528</v>
          </cell>
          <cell r="F123">
            <v>12</v>
          </cell>
        </row>
        <row r="124">
          <cell r="A124">
            <v>148400</v>
          </cell>
          <cell r="B124">
            <v>123</v>
          </cell>
          <cell r="C124" t="str">
            <v>대전충남</v>
          </cell>
          <cell r="D124" t="str">
            <v>본소</v>
          </cell>
          <cell r="E124">
            <v>715025</v>
          </cell>
          <cell r="F124">
            <v>12</v>
          </cell>
        </row>
        <row r="125">
          <cell r="A125">
            <v>171203</v>
          </cell>
          <cell r="B125">
            <v>124</v>
          </cell>
          <cell r="C125" t="str">
            <v>포항</v>
          </cell>
          <cell r="D125" t="str">
            <v>송도</v>
          </cell>
          <cell r="E125">
            <v>714978</v>
          </cell>
          <cell r="F125">
            <v>12</v>
          </cell>
        </row>
        <row r="126">
          <cell r="A126">
            <v>141100</v>
          </cell>
          <cell r="B126">
            <v>125</v>
          </cell>
          <cell r="C126" t="str">
            <v>대전</v>
          </cell>
          <cell r="D126" t="str">
            <v>본소</v>
          </cell>
          <cell r="E126">
            <v>699162</v>
          </cell>
          <cell r="F126">
            <v>12</v>
          </cell>
        </row>
        <row r="127">
          <cell r="A127">
            <v>151403</v>
          </cell>
          <cell r="B127">
            <v>126</v>
          </cell>
          <cell r="C127" t="str">
            <v>남원</v>
          </cell>
          <cell r="D127" t="str">
            <v>요천</v>
          </cell>
          <cell r="E127">
            <v>696498</v>
          </cell>
          <cell r="F127">
            <v>12</v>
          </cell>
        </row>
        <row r="128">
          <cell r="A128">
            <v>181904</v>
          </cell>
          <cell r="B128">
            <v>127</v>
          </cell>
          <cell r="C128" t="str">
            <v>마산</v>
          </cell>
          <cell r="D128" t="str">
            <v>동마산한우</v>
          </cell>
          <cell r="E128">
            <v>686287</v>
          </cell>
          <cell r="F128">
            <v>12</v>
          </cell>
        </row>
        <row r="129">
          <cell r="A129">
            <v>171904</v>
          </cell>
          <cell r="B129">
            <v>128</v>
          </cell>
          <cell r="C129" t="str">
            <v>경산</v>
          </cell>
          <cell r="D129" t="str">
            <v>고산</v>
          </cell>
          <cell r="E129">
            <v>682035</v>
          </cell>
          <cell r="F129">
            <v>12</v>
          </cell>
        </row>
        <row r="130">
          <cell r="A130">
            <v>173201</v>
          </cell>
          <cell r="B130">
            <v>129</v>
          </cell>
          <cell r="C130" t="str">
            <v>청송</v>
          </cell>
          <cell r="D130" t="str">
            <v>진부</v>
          </cell>
          <cell r="E130">
            <v>667941</v>
          </cell>
          <cell r="F130">
            <v>12</v>
          </cell>
        </row>
        <row r="131">
          <cell r="A131">
            <v>162802</v>
          </cell>
          <cell r="B131">
            <v>130</v>
          </cell>
          <cell r="C131" t="str">
            <v>곡성</v>
          </cell>
          <cell r="D131" t="str">
            <v>석곡</v>
          </cell>
          <cell r="E131">
            <v>666811</v>
          </cell>
          <cell r="F131">
            <v>12</v>
          </cell>
        </row>
        <row r="132">
          <cell r="A132">
            <v>152101</v>
          </cell>
          <cell r="B132">
            <v>131</v>
          </cell>
          <cell r="C132" t="str">
            <v>군산</v>
          </cell>
          <cell r="D132" t="str">
            <v>신영</v>
          </cell>
          <cell r="E132">
            <v>617060</v>
          </cell>
          <cell r="F132">
            <v>12</v>
          </cell>
        </row>
        <row r="133">
          <cell r="A133">
            <v>158400</v>
          </cell>
          <cell r="B133">
            <v>132</v>
          </cell>
          <cell r="C133" t="str">
            <v>전북양봉</v>
          </cell>
          <cell r="D133" t="str">
            <v>본소</v>
          </cell>
          <cell r="E133">
            <v>609886</v>
          </cell>
          <cell r="F133">
            <v>12</v>
          </cell>
        </row>
        <row r="134">
          <cell r="A134">
            <v>112101</v>
          </cell>
          <cell r="B134">
            <v>133</v>
          </cell>
          <cell r="C134" t="str">
            <v>평택</v>
          </cell>
          <cell r="D134" t="str">
            <v>통복</v>
          </cell>
          <cell r="E134">
            <v>597331</v>
          </cell>
          <cell r="F134">
            <v>12</v>
          </cell>
        </row>
        <row r="135">
          <cell r="A135">
            <v>171102</v>
          </cell>
          <cell r="B135">
            <v>134</v>
          </cell>
          <cell r="C135" t="str">
            <v>대구</v>
          </cell>
          <cell r="D135" t="str">
            <v>수성</v>
          </cell>
          <cell r="E135">
            <v>586267</v>
          </cell>
          <cell r="F135">
            <v>12</v>
          </cell>
        </row>
        <row r="136">
          <cell r="A136">
            <v>181603</v>
          </cell>
          <cell r="B136">
            <v>135</v>
          </cell>
          <cell r="C136" t="str">
            <v>밀양</v>
          </cell>
          <cell r="D136" t="str">
            <v>삼문동</v>
          </cell>
          <cell r="E136">
            <v>576227</v>
          </cell>
          <cell r="F136">
            <v>12</v>
          </cell>
        </row>
        <row r="137">
          <cell r="A137">
            <v>151102</v>
          </cell>
          <cell r="B137">
            <v>136</v>
          </cell>
          <cell r="C137" t="str">
            <v>전주</v>
          </cell>
          <cell r="D137" t="str">
            <v>서부</v>
          </cell>
          <cell r="E137">
            <v>567474</v>
          </cell>
          <cell r="F137">
            <v>12</v>
          </cell>
        </row>
        <row r="138">
          <cell r="A138">
            <v>151700</v>
          </cell>
          <cell r="B138">
            <v>137</v>
          </cell>
          <cell r="C138" t="str">
            <v>장수</v>
          </cell>
          <cell r="D138" t="str">
            <v>본소</v>
          </cell>
          <cell r="E138">
            <v>559780</v>
          </cell>
          <cell r="F138">
            <v>12</v>
          </cell>
        </row>
        <row r="139">
          <cell r="A139">
            <v>121802</v>
          </cell>
          <cell r="B139">
            <v>138</v>
          </cell>
          <cell r="C139" t="str">
            <v>삼척</v>
          </cell>
          <cell r="D139" t="str">
            <v>근덕</v>
          </cell>
          <cell r="E139">
            <v>552097</v>
          </cell>
          <cell r="F139">
            <v>12</v>
          </cell>
        </row>
        <row r="140">
          <cell r="A140">
            <v>121800</v>
          </cell>
          <cell r="B140">
            <v>139</v>
          </cell>
          <cell r="C140" t="str">
            <v>삼척</v>
          </cell>
          <cell r="D140" t="str">
            <v>본소</v>
          </cell>
          <cell r="E140">
            <v>537545</v>
          </cell>
          <cell r="F140">
            <v>12</v>
          </cell>
        </row>
        <row r="141">
          <cell r="A141">
            <v>173100</v>
          </cell>
          <cell r="B141">
            <v>140</v>
          </cell>
          <cell r="C141" t="str">
            <v>문경</v>
          </cell>
          <cell r="D141" t="str">
            <v>본소</v>
          </cell>
          <cell r="E141">
            <v>532742</v>
          </cell>
          <cell r="F141">
            <v>12</v>
          </cell>
        </row>
        <row r="142">
          <cell r="A142">
            <v>148300</v>
          </cell>
          <cell r="B142">
            <v>141</v>
          </cell>
          <cell r="C142" t="str">
            <v>백제낙농</v>
          </cell>
          <cell r="D142" t="str">
            <v>본소</v>
          </cell>
          <cell r="E142">
            <v>523396</v>
          </cell>
          <cell r="F142">
            <v>12</v>
          </cell>
        </row>
        <row r="143">
          <cell r="A143">
            <v>171304</v>
          </cell>
          <cell r="B143">
            <v>142</v>
          </cell>
          <cell r="C143" t="str">
            <v>경주</v>
          </cell>
          <cell r="D143" t="str">
            <v>외동</v>
          </cell>
          <cell r="E143">
            <v>509788</v>
          </cell>
          <cell r="F143">
            <v>12</v>
          </cell>
        </row>
        <row r="144">
          <cell r="A144">
            <v>162301</v>
          </cell>
          <cell r="B144">
            <v>143</v>
          </cell>
          <cell r="C144" t="str">
            <v>영암</v>
          </cell>
          <cell r="D144" t="str">
            <v>시종</v>
          </cell>
          <cell r="E144">
            <v>507720</v>
          </cell>
          <cell r="F144">
            <v>12</v>
          </cell>
        </row>
        <row r="145">
          <cell r="A145">
            <v>188200</v>
          </cell>
          <cell r="B145">
            <v>144</v>
          </cell>
          <cell r="C145" t="str">
            <v>경남낙농</v>
          </cell>
          <cell r="D145" t="str">
            <v>본소</v>
          </cell>
          <cell r="E145">
            <v>502043</v>
          </cell>
          <cell r="F145">
            <v>12</v>
          </cell>
        </row>
        <row r="146">
          <cell r="A146">
            <v>171801</v>
          </cell>
          <cell r="B146">
            <v>145</v>
          </cell>
          <cell r="C146" t="str">
            <v>영천</v>
          </cell>
          <cell r="D146" t="str">
            <v>금호</v>
          </cell>
          <cell r="E146">
            <v>498663</v>
          </cell>
          <cell r="F146">
            <v>12</v>
          </cell>
        </row>
        <row r="147">
          <cell r="A147">
            <v>171701</v>
          </cell>
          <cell r="B147">
            <v>146</v>
          </cell>
          <cell r="C147" t="str">
            <v>군위</v>
          </cell>
          <cell r="D147" t="str">
            <v>부계</v>
          </cell>
          <cell r="E147">
            <v>480789</v>
          </cell>
          <cell r="F147">
            <v>12</v>
          </cell>
        </row>
        <row r="148">
          <cell r="A148">
            <v>152100</v>
          </cell>
          <cell r="B148">
            <v>147</v>
          </cell>
          <cell r="C148" t="str">
            <v>군산</v>
          </cell>
          <cell r="D148" t="str">
            <v>본소</v>
          </cell>
          <cell r="E148">
            <v>478033</v>
          </cell>
          <cell r="F148">
            <v>12</v>
          </cell>
        </row>
        <row r="149">
          <cell r="A149">
            <v>198102</v>
          </cell>
          <cell r="B149">
            <v>148</v>
          </cell>
          <cell r="C149" t="str">
            <v>제주양돈</v>
          </cell>
          <cell r="D149" t="str">
            <v>한림</v>
          </cell>
          <cell r="E149">
            <v>469193</v>
          </cell>
          <cell r="F149">
            <v>12</v>
          </cell>
        </row>
        <row r="150">
          <cell r="A150">
            <v>158102</v>
          </cell>
          <cell r="B150">
            <v>149</v>
          </cell>
          <cell r="C150" t="str">
            <v>전북양계</v>
          </cell>
          <cell r="D150" t="str">
            <v>서학</v>
          </cell>
          <cell r="E150">
            <v>452881</v>
          </cell>
          <cell r="F150">
            <v>12</v>
          </cell>
        </row>
        <row r="151">
          <cell r="A151">
            <v>161106</v>
          </cell>
          <cell r="B151">
            <v>150</v>
          </cell>
          <cell r="C151" t="str">
            <v>광주</v>
          </cell>
          <cell r="D151" t="str">
            <v>무등</v>
          </cell>
          <cell r="E151">
            <v>451376</v>
          </cell>
          <cell r="F151">
            <v>12</v>
          </cell>
        </row>
        <row r="152">
          <cell r="A152">
            <v>121501</v>
          </cell>
          <cell r="B152">
            <v>151</v>
          </cell>
          <cell r="C152" t="str">
            <v>홍천</v>
          </cell>
          <cell r="D152" t="str">
            <v>서석</v>
          </cell>
          <cell r="E152">
            <v>449244</v>
          </cell>
          <cell r="F152">
            <v>12</v>
          </cell>
        </row>
        <row r="153">
          <cell r="A153">
            <v>161500</v>
          </cell>
          <cell r="B153">
            <v>152</v>
          </cell>
          <cell r="C153" t="str">
            <v>구례</v>
          </cell>
          <cell r="D153" t="str">
            <v>본소</v>
          </cell>
          <cell r="E153">
            <v>443787</v>
          </cell>
          <cell r="F153">
            <v>12</v>
          </cell>
        </row>
        <row r="154">
          <cell r="A154">
            <v>121300</v>
          </cell>
          <cell r="B154">
            <v>153</v>
          </cell>
          <cell r="C154" t="str">
            <v>화천</v>
          </cell>
          <cell r="D154" t="str">
            <v>본소</v>
          </cell>
          <cell r="E154">
            <v>431708</v>
          </cell>
          <cell r="F154">
            <v>12</v>
          </cell>
        </row>
        <row r="155">
          <cell r="A155">
            <v>172200</v>
          </cell>
          <cell r="B155">
            <v>154</v>
          </cell>
          <cell r="C155" t="str">
            <v>상주</v>
          </cell>
          <cell r="D155" t="str">
            <v>본소</v>
          </cell>
          <cell r="E155">
            <v>430079</v>
          </cell>
          <cell r="F155">
            <v>12</v>
          </cell>
        </row>
        <row r="156">
          <cell r="A156">
            <v>131101</v>
          </cell>
          <cell r="B156">
            <v>155</v>
          </cell>
          <cell r="C156" t="str">
            <v>청주</v>
          </cell>
          <cell r="D156" t="str">
            <v>사창</v>
          </cell>
          <cell r="E156">
            <v>426386</v>
          </cell>
          <cell r="F156">
            <v>12</v>
          </cell>
        </row>
        <row r="157">
          <cell r="A157">
            <v>162602</v>
          </cell>
          <cell r="B157">
            <v>156</v>
          </cell>
          <cell r="C157" t="str">
            <v>보성</v>
          </cell>
          <cell r="D157" t="str">
            <v>벌교</v>
          </cell>
          <cell r="E157">
            <v>416376</v>
          </cell>
          <cell r="F157">
            <v>12</v>
          </cell>
        </row>
        <row r="158">
          <cell r="A158">
            <v>191102</v>
          </cell>
          <cell r="B158">
            <v>157</v>
          </cell>
          <cell r="C158" t="str">
            <v>제주</v>
          </cell>
          <cell r="D158" t="str">
            <v>동문</v>
          </cell>
          <cell r="E158">
            <v>406005</v>
          </cell>
          <cell r="F158">
            <v>12</v>
          </cell>
        </row>
        <row r="159">
          <cell r="A159">
            <v>182600</v>
          </cell>
          <cell r="B159">
            <v>158</v>
          </cell>
          <cell r="C159" t="str">
            <v>울산</v>
          </cell>
          <cell r="D159" t="str">
            <v>본소</v>
          </cell>
          <cell r="E159">
            <v>393179</v>
          </cell>
          <cell r="F159">
            <v>12</v>
          </cell>
        </row>
        <row r="160">
          <cell r="A160">
            <v>173000</v>
          </cell>
          <cell r="B160">
            <v>159</v>
          </cell>
          <cell r="C160" t="str">
            <v>영양</v>
          </cell>
          <cell r="D160" t="str">
            <v>본소</v>
          </cell>
          <cell r="E160">
            <v>390948</v>
          </cell>
          <cell r="F160">
            <v>12</v>
          </cell>
        </row>
        <row r="161">
          <cell r="A161">
            <v>161501</v>
          </cell>
          <cell r="B161">
            <v>160</v>
          </cell>
          <cell r="C161" t="str">
            <v>구례</v>
          </cell>
          <cell r="D161" t="str">
            <v>봉동</v>
          </cell>
          <cell r="E161">
            <v>390733</v>
          </cell>
          <cell r="F161">
            <v>12</v>
          </cell>
        </row>
        <row r="162">
          <cell r="A162">
            <v>163100</v>
          </cell>
          <cell r="B162">
            <v>161</v>
          </cell>
          <cell r="C162" t="str">
            <v>진도견보육</v>
          </cell>
          <cell r="D162" t="str">
            <v>본소</v>
          </cell>
          <cell r="E162">
            <v>387277</v>
          </cell>
          <cell r="F162">
            <v>12</v>
          </cell>
        </row>
        <row r="163">
          <cell r="A163">
            <v>151701</v>
          </cell>
          <cell r="B163">
            <v>162</v>
          </cell>
          <cell r="C163" t="str">
            <v>장수</v>
          </cell>
          <cell r="D163" t="str">
            <v>장계</v>
          </cell>
          <cell r="E163">
            <v>383104</v>
          </cell>
          <cell r="F163">
            <v>12</v>
          </cell>
        </row>
        <row r="164">
          <cell r="A164">
            <v>181600</v>
          </cell>
          <cell r="B164">
            <v>163</v>
          </cell>
          <cell r="C164" t="str">
            <v>밀양</v>
          </cell>
          <cell r="D164" t="str">
            <v>본소</v>
          </cell>
          <cell r="E164">
            <v>382503</v>
          </cell>
          <cell r="F164">
            <v>12</v>
          </cell>
        </row>
        <row r="165">
          <cell r="A165">
            <v>191200</v>
          </cell>
          <cell r="B165">
            <v>164</v>
          </cell>
          <cell r="C165" t="str">
            <v>남제주</v>
          </cell>
          <cell r="D165" t="str">
            <v>본소</v>
          </cell>
          <cell r="E165">
            <v>379720</v>
          </cell>
          <cell r="F165">
            <v>12</v>
          </cell>
        </row>
        <row r="166">
          <cell r="A166">
            <v>173101</v>
          </cell>
          <cell r="B166">
            <v>165</v>
          </cell>
          <cell r="C166" t="str">
            <v>문경</v>
          </cell>
          <cell r="D166" t="str">
            <v>남부</v>
          </cell>
          <cell r="E166">
            <v>362939</v>
          </cell>
          <cell r="F166">
            <v>12</v>
          </cell>
        </row>
        <row r="167">
          <cell r="A167">
            <v>122001</v>
          </cell>
          <cell r="B167">
            <v>166</v>
          </cell>
          <cell r="C167" t="str">
            <v>영월</v>
          </cell>
          <cell r="D167" t="str">
            <v>영흥</v>
          </cell>
          <cell r="E167">
            <v>359374</v>
          </cell>
          <cell r="F167">
            <v>12</v>
          </cell>
        </row>
        <row r="168">
          <cell r="A168">
            <v>240100</v>
          </cell>
          <cell r="B168">
            <v>167</v>
          </cell>
          <cell r="C168" t="str">
            <v>대전판매장</v>
          </cell>
          <cell r="D168" t="str">
            <v>대전점</v>
          </cell>
          <cell r="E168">
            <v>329599</v>
          </cell>
          <cell r="F168">
            <v>12</v>
          </cell>
        </row>
        <row r="169">
          <cell r="A169">
            <v>141201</v>
          </cell>
          <cell r="B169">
            <v>168</v>
          </cell>
          <cell r="C169" t="str">
            <v>금산</v>
          </cell>
          <cell r="D169" t="str">
            <v>중도</v>
          </cell>
          <cell r="E169">
            <v>317420</v>
          </cell>
          <cell r="F169">
            <v>12</v>
          </cell>
        </row>
        <row r="170">
          <cell r="A170">
            <v>151601</v>
          </cell>
          <cell r="B170">
            <v>169</v>
          </cell>
          <cell r="C170" t="str">
            <v>진안</v>
          </cell>
          <cell r="D170" t="str">
            <v>물류</v>
          </cell>
          <cell r="E170">
            <v>301563</v>
          </cell>
          <cell r="F170">
            <v>12</v>
          </cell>
        </row>
        <row r="171">
          <cell r="A171">
            <v>181406</v>
          </cell>
          <cell r="B171">
            <v>170</v>
          </cell>
          <cell r="C171" t="str">
            <v>부산</v>
          </cell>
          <cell r="D171" t="str">
            <v>덕천</v>
          </cell>
          <cell r="E171">
            <v>290089</v>
          </cell>
          <cell r="F171">
            <v>12</v>
          </cell>
        </row>
        <row r="172">
          <cell r="A172">
            <v>158101</v>
          </cell>
          <cell r="B172">
            <v>171</v>
          </cell>
          <cell r="C172" t="str">
            <v>전북양계</v>
          </cell>
          <cell r="D172" t="str">
            <v>화산</v>
          </cell>
          <cell r="E172">
            <v>268606</v>
          </cell>
          <cell r="F172">
            <v>12</v>
          </cell>
        </row>
        <row r="173">
          <cell r="A173">
            <v>171107</v>
          </cell>
          <cell r="B173">
            <v>172</v>
          </cell>
          <cell r="C173" t="str">
            <v>대구</v>
          </cell>
          <cell r="D173" t="str">
            <v>명동로</v>
          </cell>
          <cell r="E173">
            <v>262595</v>
          </cell>
          <cell r="F173">
            <v>12</v>
          </cell>
        </row>
        <row r="174">
          <cell r="A174">
            <v>151103</v>
          </cell>
          <cell r="B174">
            <v>173</v>
          </cell>
          <cell r="C174" t="str">
            <v>전주</v>
          </cell>
          <cell r="D174" t="str">
            <v>남부</v>
          </cell>
          <cell r="E174">
            <v>261439</v>
          </cell>
          <cell r="F174">
            <v>12</v>
          </cell>
        </row>
        <row r="175">
          <cell r="A175">
            <v>171201</v>
          </cell>
          <cell r="B175">
            <v>174</v>
          </cell>
          <cell r="C175" t="str">
            <v>포항</v>
          </cell>
          <cell r="D175" t="str">
            <v>해도</v>
          </cell>
          <cell r="E175">
            <v>260010</v>
          </cell>
          <cell r="F175">
            <v>12</v>
          </cell>
        </row>
        <row r="176">
          <cell r="A176">
            <v>182800</v>
          </cell>
          <cell r="B176">
            <v>175</v>
          </cell>
          <cell r="C176" t="str">
            <v>합천</v>
          </cell>
          <cell r="D176" t="str">
            <v>본소</v>
          </cell>
          <cell r="E176">
            <v>222462</v>
          </cell>
          <cell r="F176">
            <v>12</v>
          </cell>
        </row>
        <row r="177">
          <cell r="A177">
            <v>172602</v>
          </cell>
          <cell r="B177">
            <v>176</v>
          </cell>
          <cell r="C177" t="str">
            <v>울진</v>
          </cell>
          <cell r="D177" t="str">
            <v>평해</v>
          </cell>
          <cell r="E177">
            <v>220917</v>
          </cell>
          <cell r="F177">
            <v>12</v>
          </cell>
        </row>
        <row r="178">
          <cell r="A178">
            <v>142402</v>
          </cell>
          <cell r="B178">
            <v>177</v>
          </cell>
          <cell r="C178" t="str">
            <v>아산</v>
          </cell>
          <cell r="D178" t="str">
            <v>둔포</v>
          </cell>
          <cell r="E178">
            <v>218819</v>
          </cell>
          <cell r="F178">
            <v>12</v>
          </cell>
        </row>
        <row r="179">
          <cell r="A179">
            <v>198200</v>
          </cell>
          <cell r="B179">
            <v>178</v>
          </cell>
          <cell r="C179" t="str">
            <v>제주양봉</v>
          </cell>
          <cell r="D179" t="str">
            <v>본소</v>
          </cell>
          <cell r="E179">
            <v>200679</v>
          </cell>
          <cell r="F179">
            <v>12</v>
          </cell>
        </row>
        <row r="180">
          <cell r="A180">
            <v>131103</v>
          </cell>
          <cell r="B180">
            <v>179</v>
          </cell>
          <cell r="C180" t="str">
            <v>청주</v>
          </cell>
          <cell r="D180" t="str">
            <v>가경</v>
          </cell>
          <cell r="E180">
            <v>170972</v>
          </cell>
          <cell r="F180">
            <v>12</v>
          </cell>
        </row>
        <row r="181">
          <cell r="A181">
            <v>188201</v>
          </cell>
          <cell r="B181">
            <v>180</v>
          </cell>
          <cell r="C181" t="str">
            <v>경남낙농</v>
          </cell>
          <cell r="D181" t="str">
            <v>동성</v>
          </cell>
          <cell r="E181">
            <v>164960</v>
          </cell>
          <cell r="F181">
            <v>12</v>
          </cell>
        </row>
        <row r="182">
          <cell r="A182">
            <v>181800</v>
          </cell>
          <cell r="B182">
            <v>181</v>
          </cell>
          <cell r="C182" t="str">
            <v>함양</v>
          </cell>
          <cell r="D182" t="str">
            <v>본소</v>
          </cell>
          <cell r="E182">
            <v>158222</v>
          </cell>
          <cell r="F182">
            <v>12</v>
          </cell>
        </row>
        <row r="183">
          <cell r="A183">
            <v>181601</v>
          </cell>
          <cell r="B183">
            <v>182</v>
          </cell>
          <cell r="C183" t="str">
            <v>밀양</v>
          </cell>
          <cell r="D183" t="str">
            <v>삼량진</v>
          </cell>
          <cell r="E183">
            <v>108851</v>
          </cell>
          <cell r="F183">
            <v>12</v>
          </cell>
        </row>
        <row r="184">
          <cell r="A184">
            <v>162801</v>
          </cell>
          <cell r="B184">
            <v>183</v>
          </cell>
          <cell r="C184" t="str">
            <v>곡성</v>
          </cell>
          <cell r="D184" t="str">
            <v>옥과</v>
          </cell>
          <cell r="E184">
            <v>107932</v>
          </cell>
          <cell r="F184">
            <v>12</v>
          </cell>
        </row>
        <row r="185">
          <cell r="A185">
            <v>151800</v>
          </cell>
          <cell r="B185">
            <v>184</v>
          </cell>
          <cell r="C185" t="str">
            <v>임실</v>
          </cell>
          <cell r="D185" t="str">
            <v>본소</v>
          </cell>
          <cell r="E185">
            <v>85387</v>
          </cell>
          <cell r="F185">
            <v>12</v>
          </cell>
        </row>
        <row r="186">
          <cell r="A186">
            <v>158300</v>
          </cell>
          <cell r="B186">
            <v>185</v>
          </cell>
          <cell r="C186" t="str">
            <v>완산낙농</v>
          </cell>
          <cell r="D186" t="str">
            <v>본소</v>
          </cell>
          <cell r="E186">
            <v>71247</v>
          </cell>
          <cell r="F186">
            <v>12</v>
          </cell>
        </row>
        <row r="187">
          <cell r="A187">
            <v>171202</v>
          </cell>
          <cell r="B187">
            <v>186</v>
          </cell>
          <cell r="C187" t="str">
            <v>포항</v>
          </cell>
          <cell r="D187" t="str">
            <v>상도</v>
          </cell>
          <cell r="E187">
            <v>45672</v>
          </cell>
          <cell r="F187">
            <v>12</v>
          </cell>
        </row>
        <row r="188">
          <cell r="E188">
            <v>355858064</v>
          </cell>
          <cell r="F188">
            <v>12</v>
          </cell>
        </row>
      </sheetData>
      <sheetData sheetId="6" refreshError="1">
        <row r="1">
          <cell r="A1" t="str">
            <v>CODE</v>
          </cell>
          <cell r="B1" t="str">
            <v>No.</v>
          </cell>
          <cell r="C1" t="str">
            <v>조합명</v>
          </cell>
          <cell r="D1" t="str">
            <v>판매장명</v>
          </cell>
          <cell r="E1" t="str">
            <v>매출액</v>
          </cell>
          <cell r="F1" t="str">
            <v>월</v>
          </cell>
        </row>
        <row r="2">
          <cell r="A2">
            <v>121905</v>
          </cell>
          <cell r="B2">
            <v>1</v>
          </cell>
          <cell r="C2" t="str">
            <v>평창</v>
          </cell>
          <cell r="D2" t="str">
            <v>진부</v>
          </cell>
          <cell r="E2">
            <v>7607579</v>
          </cell>
          <cell r="F2">
            <v>12</v>
          </cell>
        </row>
        <row r="3">
          <cell r="A3">
            <v>220100</v>
          </cell>
          <cell r="B3">
            <v>2</v>
          </cell>
          <cell r="C3" t="str">
            <v>춘천판매장</v>
          </cell>
          <cell r="D3" t="str">
            <v>춘점점</v>
          </cell>
          <cell r="E3">
            <v>5511356</v>
          </cell>
          <cell r="F3">
            <v>12</v>
          </cell>
        </row>
        <row r="4">
          <cell r="A4">
            <v>182501</v>
          </cell>
          <cell r="B4">
            <v>3</v>
          </cell>
          <cell r="C4" t="str">
            <v>남해</v>
          </cell>
          <cell r="D4" t="str">
            <v>본소</v>
          </cell>
          <cell r="E4">
            <v>5417640</v>
          </cell>
          <cell r="F4">
            <v>12</v>
          </cell>
        </row>
        <row r="5">
          <cell r="A5">
            <v>163200</v>
          </cell>
          <cell r="B5">
            <v>4</v>
          </cell>
          <cell r="C5" t="str">
            <v>화순</v>
          </cell>
          <cell r="D5" t="str">
            <v>본소</v>
          </cell>
          <cell r="E5">
            <v>4843704</v>
          </cell>
          <cell r="F5">
            <v>12</v>
          </cell>
        </row>
        <row r="6">
          <cell r="A6">
            <v>168303</v>
          </cell>
          <cell r="B6">
            <v>5</v>
          </cell>
          <cell r="C6" t="str">
            <v>광전양계</v>
          </cell>
          <cell r="D6" t="str">
            <v>하당</v>
          </cell>
          <cell r="E6">
            <v>3940450</v>
          </cell>
          <cell r="F6">
            <v>12</v>
          </cell>
        </row>
        <row r="7">
          <cell r="A7">
            <v>101103</v>
          </cell>
          <cell r="B7">
            <v>6</v>
          </cell>
          <cell r="C7" t="str">
            <v>서울</v>
          </cell>
          <cell r="D7" t="str">
            <v>잠실</v>
          </cell>
          <cell r="E7">
            <v>3733279</v>
          </cell>
          <cell r="F7">
            <v>12</v>
          </cell>
        </row>
        <row r="8">
          <cell r="A8">
            <v>122102</v>
          </cell>
          <cell r="B8">
            <v>7</v>
          </cell>
          <cell r="C8" t="str">
            <v>동해</v>
          </cell>
          <cell r="D8" t="str">
            <v>묵호</v>
          </cell>
          <cell r="E8">
            <v>3711320</v>
          </cell>
          <cell r="F8">
            <v>12</v>
          </cell>
        </row>
        <row r="9">
          <cell r="A9">
            <v>112000</v>
          </cell>
          <cell r="B9">
            <v>8</v>
          </cell>
          <cell r="C9" t="str">
            <v>이천</v>
          </cell>
          <cell r="D9" t="str">
            <v>본소</v>
          </cell>
          <cell r="E9">
            <v>3614177</v>
          </cell>
          <cell r="F9">
            <v>12</v>
          </cell>
        </row>
        <row r="10">
          <cell r="A10">
            <v>128402</v>
          </cell>
          <cell r="B10">
            <v>9</v>
          </cell>
          <cell r="C10" t="str">
            <v>영동양돈</v>
          </cell>
          <cell r="D10" t="str">
            <v>송정</v>
          </cell>
          <cell r="E10">
            <v>3305744</v>
          </cell>
          <cell r="F10">
            <v>12</v>
          </cell>
        </row>
        <row r="11">
          <cell r="A11">
            <v>171100</v>
          </cell>
          <cell r="B11">
            <v>10</v>
          </cell>
          <cell r="C11" t="str">
            <v>대구</v>
          </cell>
          <cell r="D11" t="str">
            <v>본소</v>
          </cell>
          <cell r="E11">
            <v>3193969</v>
          </cell>
          <cell r="F11">
            <v>12</v>
          </cell>
        </row>
        <row r="12">
          <cell r="A12">
            <v>128400</v>
          </cell>
          <cell r="B12">
            <v>11</v>
          </cell>
          <cell r="C12" t="str">
            <v>영동양돈</v>
          </cell>
          <cell r="D12" t="str">
            <v>본소</v>
          </cell>
          <cell r="E12">
            <v>3096314</v>
          </cell>
          <cell r="F12">
            <v>12</v>
          </cell>
        </row>
        <row r="13">
          <cell r="A13">
            <v>161300</v>
          </cell>
          <cell r="B13">
            <v>12</v>
          </cell>
          <cell r="C13" t="str">
            <v>여수여천</v>
          </cell>
          <cell r="D13" t="str">
            <v>본소</v>
          </cell>
          <cell r="E13">
            <v>3070336</v>
          </cell>
          <cell r="F13">
            <v>12</v>
          </cell>
        </row>
        <row r="14">
          <cell r="A14">
            <v>128401</v>
          </cell>
          <cell r="B14">
            <v>13</v>
          </cell>
          <cell r="C14" t="str">
            <v>영동양돈</v>
          </cell>
          <cell r="D14" t="str">
            <v>주문진</v>
          </cell>
          <cell r="E14">
            <v>2911258</v>
          </cell>
          <cell r="F14">
            <v>12</v>
          </cell>
        </row>
        <row r="15">
          <cell r="A15">
            <v>162302</v>
          </cell>
          <cell r="B15">
            <v>14</v>
          </cell>
          <cell r="C15" t="str">
            <v>영암</v>
          </cell>
          <cell r="D15" t="str">
            <v>한라</v>
          </cell>
          <cell r="E15">
            <v>2486627</v>
          </cell>
          <cell r="F15">
            <v>12</v>
          </cell>
        </row>
        <row r="16">
          <cell r="A16">
            <v>162700</v>
          </cell>
          <cell r="B16">
            <v>15</v>
          </cell>
          <cell r="C16" t="str">
            <v>함평</v>
          </cell>
          <cell r="D16" t="str">
            <v>본소</v>
          </cell>
          <cell r="E16">
            <v>2371057</v>
          </cell>
          <cell r="F16">
            <v>12</v>
          </cell>
        </row>
        <row r="17">
          <cell r="A17">
            <v>173300</v>
          </cell>
          <cell r="B17">
            <v>16</v>
          </cell>
          <cell r="C17" t="str">
            <v>영덕</v>
          </cell>
          <cell r="D17" t="str">
            <v>본소</v>
          </cell>
          <cell r="E17">
            <v>2356351</v>
          </cell>
          <cell r="F17">
            <v>12</v>
          </cell>
        </row>
        <row r="18">
          <cell r="A18">
            <v>122101</v>
          </cell>
          <cell r="B18">
            <v>17</v>
          </cell>
          <cell r="C18" t="str">
            <v>동해</v>
          </cell>
          <cell r="D18" t="str">
            <v>천곡</v>
          </cell>
          <cell r="E18">
            <v>2213795</v>
          </cell>
          <cell r="F18">
            <v>12</v>
          </cell>
        </row>
        <row r="19">
          <cell r="A19">
            <v>181301</v>
          </cell>
          <cell r="B19">
            <v>18</v>
          </cell>
          <cell r="C19" t="str">
            <v>진주</v>
          </cell>
          <cell r="D19" t="str">
            <v>평거</v>
          </cell>
          <cell r="E19">
            <v>2157122</v>
          </cell>
          <cell r="F19">
            <v>12</v>
          </cell>
        </row>
        <row r="20">
          <cell r="A20">
            <v>121902</v>
          </cell>
          <cell r="B20">
            <v>19</v>
          </cell>
          <cell r="C20" t="str">
            <v>평창</v>
          </cell>
          <cell r="D20" t="str">
            <v>도암</v>
          </cell>
          <cell r="E20">
            <v>2149147</v>
          </cell>
          <cell r="F20">
            <v>12</v>
          </cell>
        </row>
        <row r="21">
          <cell r="A21">
            <v>182202</v>
          </cell>
          <cell r="B21">
            <v>20</v>
          </cell>
          <cell r="C21" t="str">
            <v>거제</v>
          </cell>
          <cell r="D21" t="str">
            <v>거제</v>
          </cell>
          <cell r="E21">
            <v>2052045</v>
          </cell>
          <cell r="F21">
            <v>12</v>
          </cell>
        </row>
        <row r="22">
          <cell r="A22">
            <v>171903</v>
          </cell>
          <cell r="B22">
            <v>21</v>
          </cell>
          <cell r="C22" t="str">
            <v>경산</v>
          </cell>
          <cell r="D22" t="str">
            <v>하양</v>
          </cell>
          <cell r="E22">
            <v>2032951</v>
          </cell>
          <cell r="F22">
            <v>12</v>
          </cell>
        </row>
        <row r="23">
          <cell r="A23">
            <v>168400</v>
          </cell>
          <cell r="B23">
            <v>22</v>
          </cell>
          <cell r="C23" t="str">
            <v>진도견보육</v>
          </cell>
          <cell r="D23" t="str">
            <v>본소</v>
          </cell>
          <cell r="E23">
            <v>2020796</v>
          </cell>
          <cell r="F23">
            <v>12</v>
          </cell>
        </row>
        <row r="24">
          <cell r="A24">
            <v>122103</v>
          </cell>
          <cell r="B24">
            <v>23</v>
          </cell>
          <cell r="C24" t="str">
            <v>동해</v>
          </cell>
          <cell r="D24" t="str">
            <v>북삼</v>
          </cell>
          <cell r="E24">
            <v>1985849</v>
          </cell>
          <cell r="F24">
            <v>12</v>
          </cell>
        </row>
        <row r="25">
          <cell r="A25">
            <v>151301</v>
          </cell>
          <cell r="B25">
            <v>24</v>
          </cell>
          <cell r="C25" t="str">
            <v>정읍</v>
          </cell>
          <cell r="D25" t="str">
            <v>시기</v>
          </cell>
          <cell r="E25">
            <v>1983536</v>
          </cell>
          <cell r="F25">
            <v>12</v>
          </cell>
        </row>
        <row r="26">
          <cell r="A26">
            <v>182900</v>
          </cell>
          <cell r="B26">
            <v>25</v>
          </cell>
          <cell r="C26" t="str">
            <v>사천</v>
          </cell>
          <cell r="D26" t="str">
            <v>본소</v>
          </cell>
          <cell r="E26">
            <v>1910251</v>
          </cell>
          <cell r="F26">
            <v>12</v>
          </cell>
        </row>
        <row r="27">
          <cell r="A27">
            <v>162201</v>
          </cell>
          <cell r="B27">
            <v>26</v>
          </cell>
          <cell r="C27" t="str">
            <v>해남</v>
          </cell>
          <cell r="D27" t="str">
            <v>고도</v>
          </cell>
          <cell r="E27">
            <v>1894125</v>
          </cell>
          <cell r="F27">
            <v>12</v>
          </cell>
        </row>
        <row r="28">
          <cell r="A28">
            <v>171502</v>
          </cell>
          <cell r="B28">
            <v>27</v>
          </cell>
          <cell r="C28" t="str">
            <v>안동</v>
          </cell>
          <cell r="D28" t="str">
            <v>송현</v>
          </cell>
          <cell r="E28">
            <v>1889564</v>
          </cell>
          <cell r="F28">
            <v>12</v>
          </cell>
        </row>
        <row r="29">
          <cell r="A29">
            <v>151401</v>
          </cell>
          <cell r="B29">
            <v>28</v>
          </cell>
          <cell r="C29" t="str">
            <v>남원</v>
          </cell>
          <cell r="D29" t="str">
            <v>도통</v>
          </cell>
          <cell r="E29">
            <v>1874014</v>
          </cell>
          <cell r="F29">
            <v>12</v>
          </cell>
        </row>
        <row r="30">
          <cell r="A30">
            <v>181800</v>
          </cell>
          <cell r="B30">
            <v>29</v>
          </cell>
          <cell r="C30" t="str">
            <v>함양</v>
          </cell>
          <cell r="D30" t="str">
            <v>본소</v>
          </cell>
          <cell r="E30">
            <v>1871915</v>
          </cell>
          <cell r="F30">
            <v>12</v>
          </cell>
        </row>
        <row r="31">
          <cell r="A31">
            <v>101102</v>
          </cell>
          <cell r="B31">
            <v>30</v>
          </cell>
          <cell r="C31" t="str">
            <v>서울</v>
          </cell>
          <cell r="D31" t="str">
            <v>대치</v>
          </cell>
          <cell r="E31">
            <v>1865900</v>
          </cell>
          <cell r="F31">
            <v>12</v>
          </cell>
        </row>
        <row r="32">
          <cell r="A32">
            <v>171203</v>
          </cell>
          <cell r="B32">
            <v>31</v>
          </cell>
          <cell r="C32" t="str">
            <v>포항</v>
          </cell>
          <cell r="D32" t="str">
            <v>송도</v>
          </cell>
          <cell r="E32">
            <v>1852895</v>
          </cell>
          <cell r="F32">
            <v>12</v>
          </cell>
        </row>
        <row r="33">
          <cell r="A33">
            <v>188208</v>
          </cell>
          <cell r="B33">
            <v>32</v>
          </cell>
          <cell r="C33" t="str">
            <v>경남낙농</v>
          </cell>
          <cell r="D33" t="str">
            <v>상봉</v>
          </cell>
          <cell r="E33">
            <v>1808039</v>
          </cell>
          <cell r="F33">
            <v>12</v>
          </cell>
        </row>
        <row r="34">
          <cell r="A34">
            <v>181100</v>
          </cell>
          <cell r="B34">
            <v>33</v>
          </cell>
          <cell r="C34" t="str">
            <v>창녕</v>
          </cell>
          <cell r="D34" t="str">
            <v>본소</v>
          </cell>
          <cell r="E34">
            <v>1760821</v>
          </cell>
          <cell r="F34">
            <v>12</v>
          </cell>
        </row>
        <row r="35">
          <cell r="A35">
            <v>171107</v>
          </cell>
          <cell r="B35">
            <v>34</v>
          </cell>
          <cell r="C35" t="str">
            <v>대구</v>
          </cell>
          <cell r="D35" t="str">
            <v>명동로</v>
          </cell>
          <cell r="E35">
            <v>1749523</v>
          </cell>
          <cell r="F35">
            <v>12</v>
          </cell>
        </row>
        <row r="36">
          <cell r="A36">
            <v>168100</v>
          </cell>
          <cell r="B36">
            <v>35</v>
          </cell>
          <cell r="C36" t="str">
            <v>광전우유</v>
          </cell>
          <cell r="D36" t="str">
            <v>본소</v>
          </cell>
          <cell r="E36">
            <v>1727096</v>
          </cell>
          <cell r="F36">
            <v>12</v>
          </cell>
        </row>
        <row r="37">
          <cell r="A37">
            <v>161903</v>
          </cell>
          <cell r="B37">
            <v>36</v>
          </cell>
          <cell r="C37" t="str">
            <v>목포</v>
          </cell>
          <cell r="D37" t="str">
            <v>남교</v>
          </cell>
          <cell r="E37">
            <v>1719180</v>
          </cell>
          <cell r="F37">
            <v>12</v>
          </cell>
        </row>
        <row r="38">
          <cell r="A38">
            <v>158100</v>
          </cell>
          <cell r="B38">
            <v>37</v>
          </cell>
          <cell r="C38" t="str">
            <v>전북양계</v>
          </cell>
          <cell r="D38" t="str">
            <v>본소</v>
          </cell>
          <cell r="E38">
            <v>1628142</v>
          </cell>
          <cell r="F38">
            <v>12</v>
          </cell>
        </row>
        <row r="39">
          <cell r="A39">
            <v>168103</v>
          </cell>
          <cell r="B39">
            <v>38</v>
          </cell>
          <cell r="C39" t="str">
            <v>광전우유</v>
          </cell>
          <cell r="D39" t="str">
            <v>쌍촌</v>
          </cell>
          <cell r="E39">
            <v>1623744</v>
          </cell>
          <cell r="F39">
            <v>12</v>
          </cell>
        </row>
        <row r="40">
          <cell r="A40">
            <v>188201</v>
          </cell>
          <cell r="B40">
            <v>39</v>
          </cell>
          <cell r="C40" t="str">
            <v>경남낙농</v>
          </cell>
          <cell r="D40" t="str">
            <v>동성</v>
          </cell>
          <cell r="E40">
            <v>1622370</v>
          </cell>
          <cell r="F40">
            <v>12</v>
          </cell>
        </row>
        <row r="41">
          <cell r="A41">
            <v>162301</v>
          </cell>
          <cell r="B41">
            <v>40</v>
          </cell>
          <cell r="C41" t="str">
            <v>영암</v>
          </cell>
          <cell r="D41" t="str">
            <v>시종</v>
          </cell>
          <cell r="E41">
            <v>1567903</v>
          </cell>
          <cell r="F41">
            <v>12</v>
          </cell>
        </row>
        <row r="42">
          <cell r="A42">
            <v>162202</v>
          </cell>
          <cell r="B42">
            <v>41</v>
          </cell>
          <cell r="C42" t="str">
            <v>해남</v>
          </cell>
          <cell r="D42" t="str">
            <v>수성</v>
          </cell>
          <cell r="E42">
            <v>1508077</v>
          </cell>
          <cell r="F42">
            <v>12</v>
          </cell>
        </row>
        <row r="43">
          <cell r="A43">
            <v>168101</v>
          </cell>
          <cell r="B43">
            <v>42</v>
          </cell>
          <cell r="C43" t="str">
            <v>광전우유</v>
          </cell>
          <cell r="D43" t="str">
            <v>두암</v>
          </cell>
          <cell r="E43">
            <v>1474243</v>
          </cell>
          <cell r="F43">
            <v>12</v>
          </cell>
        </row>
        <row r="44">
          <cell r="A44">
            <v>152103</v>
          </cell>
          <cell r="B44">
            <v>43</v>
          </cell>
          <cell r="C44" t="str">
            <v>군산</v>
          </cell>
          <cell r="D44" t="str">
            <v>삼학</v>
          </cell>
          <cell r="E44">
            <v>1413293</v>
          </cell>
          <cell r="F44">
            <v>12</v>
          </cell>
        </row>
        <row r="45">
          <cell r="A45">
            <v>121900</v>
          </cell>
          <cell r="B45">
            <v>44</v>
          </cell>
          <cell r="C45" t="str">
            <v>평창</v>
          </cell>
          <cell r="D45" t="str">
            <v>본소</v>
          </cell>
          <cell r="E45">
            <v>1373363</v>
          </cell>
          <cell r="F45">
            <v>12</v>
          </cell>
        </row>
        <row r="46">
          <cell r="A46">
            <v>161404</v>
          </cell>
          <cell r="B46">
            <v>45</v>
          </cell>
          <cell r="C46" t="str">
            <v>순천</v>
          </cell>
          <cell r="D46" t="str">
            <v>풍덕</v>
          </cell>
          <cell r="E46">
            <v>1362958</v>
          </cell>
          <cell r="F46">
            <v>12</v>
          </cell>
        </row>
        <row r="47">
          <cell r="A47">
            <v>100084</v>
          </cell>
          <cell r="B47">
            <v>46</v>
          </cell>
          <cell r="C47" t="str">
            <v>축산유통</v>
          </cell>
          <cell r="D47" t="str">
            <v>광주</v>
          </cell>
          <cell r="E47">
            <v>1347762</v>
          </cell>
          <cell r="F47">
            <v>12</v>
          </cell>
        </row>
        <row r="48">
          <cell r="A48">
            <v>161801</v>
          </cell>
          <cell r="B48">
            <v>47</v>
          </cell>
          <cell r="C48" t="str">
            <v>강진</v>
          </cell>
          <cell r="D48" t="str">
            <v>남성</v>
          </cell>
          <cell r="E48">
            <v>1283713</v>
          </cell>
          <cell r="F48">
            <v>12</v>
          </cell>
        </row>
        <row r="49">
          <cell r="A49">
            <v>152002</v>
          </cell>
          <cell r="B49">
            <v>48</v>
          </cell>
          <cell r="C49" t="str">
            <v>익산</v>
          </cell>
          <cell r="D49" t="str">
            <v>공단</v>
          </cell>
          <cell r="E49">
            <v>1262303</v>
          </cell>
          <cell r="F49">
            <v>12</v>
          </cell>
        </row>
        <row r="50">
          <cell r="A50">
            <v>128403</v>
          </cell>
          <cell r="B50">
            <v>49</v>
          </cell>
          <cell r="C50" t="str">
            <v>영동양돈</v>
          </cell>
          <cell r="D50" t="str">
            <v>성덕</v>
          </cell>
          <cell r="E50">
            <v>1210873</v>
          </cell>
          <cell r="F50">
            <v>12</v>
          </cell>
        </row>
        <row r="51">
          <cell r="A51">
            <v>161900</v>
          </cell>
          <cell r="B51">
            <v>50</v>
          </cell>
          <cell r="C51" t="str">
            <v>목포</v>
          </cell>
          <cell r="D51" t="str">
            <v>본소</v>
          </cell>
          <cell r="E51">
            <v>1209026</v>
          </cell>
          <cell r="F51">
            <v>12</v>
          </cell>
        </row>
        <row r="52">
          <cell r="A52">
            <v>151102</v>
          </cell>
          <cell r="B52">
            <v>51</v>
          </cell>
          <cell r="C52" t="str">
            <v>전주</v>
          </cell>
          <cell r="D52" t="str">
            <v>서부</v>
          </cell>
          <cell r="E52">
            <v>1208853</v>
          </cell>
          <cell r="F52">
            <v>12</v>
          </cell>
        </row>
        <row r="53">
          <cell r="A53">
            <v>151400</v>
          </cell>
          <cell r="B53">
            <v>52</v>
          </cell>
          <cell r="C53" t="str">
            <v>남원</v>
          </cell>
          <cell r="D53" t="str">
            <v>본소</v>
          </cell>
          <cell r="E53">
            <v>1187781</v>
          </cell>
          <cell r="F53">
            <v>12</v>
          </cell>
        </row>
        <row r="54">
          <cell r="A54">
            <v>161108</v>
          </cell>
          <cell r="B54">
            <v>53</v>
          </cell>
          <cell r="C54" t="str">
            <v>광주</v>
          </cell>
          <cell r="D54" t="str">
            <v>도산</v>
          </cell>
          <cell r="E54">
            <v>1109340</v>
          </cell>
          <cell r="F54">
            <v>12</v>
          </cell>
        </row>
        <row r="55">
          <cell r="A55">
            <v>121102</v>
          </cell>
          <cell r="B55">
            <v>54</v>
          </cell>
          <cell r="C55" t="str">
            <v>춘천</v>
          </cell>
          <cell r="D55" t="str">
            <v>공단</v>
          </cell>
          <cell r="E55">
            <v>995493</v>
          </cell>
          <cell r="F55">
            <v>12</v>
          </cell>
        </row>
        <row r="56">
          <cell r="A56">
            <v>121600</v>
          </cell>
          <cell r="B56">
            <v>55</v>
          </cell>
          <cell r="C56" t="str">
            <v>태백</v>
          </cell>
          <cell r="D56" t="str">
            <v>본소</v>
          </cell>
          <cell r="E56">
            <v>980107</v>
          </cell>
          <cell r="F56">
            <v>12</v>
          </cell>
        </row>
        <row r="57">
          <cell r="A57">
            <v>188200</v>
          </cell>
          <cell r="B57">
            <v>56</v>
          </cell>
          <cell r="C57" t="str">
            <v>경남낙농</v>
          </cell>
          <cell r="D57" t="str">
            <v>본소</v>
          </cell>
          <cell r="E57">
            <v>972742</v>
          </cell>
          <cell r="F57">
            <v>12</v>
          </cell>
        </row>
        <row r="58">
          <cell r="A58">
            <v>168500</v>
          </cell>
          <cell r="B58">
            <v>57</v>
          </cell>
          <cell r="C58" t="str">
            <v>전남동부낙농</v>
          </cell>
          <cell r="D58" t="str">
            <v>본소</v>
          </cell>
          <cell r="E58">
            <v>971058</v>
          </cell>
          <cell r="F58">
            <v>12</v>
          </cell>
        </row>
        <row r="59">
          <cell r="A59">
            <v>121802</v>
          </cell>
          <cell r="B59">
            <v>58</v>
          </cell>
          <cell r="C59" t="str">
            <v>삼척</v>
          </cell>
          <cell r="D59" t="str">
            <v>근덕</v>
          </cell>
          <cell r="E59">
            <v>920290</v>
          </cell>
          <cell r="F59">
            <v>12</v>
          </cell>
        </row>
        <row r="60">
          <cell r="A60">
            <v>171108</v>
          </cell>
          <cell r="B60">
            <v>59</v>
          </cell>
          <cell r="C60" t="str">
            <v>대구</v>
          </cell>
          <cell r="D60" t="str">
            <v>지산</v>
          </cell>
          <cell r="E60">
            <v>914067</v>
          </cell>
          <cell r="F60">
            <v>12</v>
          </cell>
        </row>
        <row r="61">
          <cell r="A61">
            <v>152300</v>
          </cell>
          <cell r="B61">
            <v>60</v>
          </cell>
          <cell r="C61" t="str">
            <v>부안</v>
          </cell>
          <cell r="D61" t="str">
            <v>본소</v>
          </cell>
          <cell r="E61">
            <v>862821</v>
          </cell>
          <cell r="F61">
            <v>12</v>
          </cell>
        </row>
        <row r="62">
          <cell r="A62">
            <v>171303</v>
          </cell>
          <cell r="B62">
            <v>61</v>
          </cell>
          <cell r="C62" t="str">
            <v>경주</v>
          </cell>
          <cell r="D62" t="str">
            <v>성동</v>
          </cell>
          <cell r="E62">
            <v>861381</v>
          </cell>
          <cell r="F62">
            <v>12</v>
          </cell>
        </row>
        <row r="63">
          <cell r="A63">
            <v>162200</v>
          </cell>
          <cell r="B63">
            <v>62</v>
          </cell>
          <cell r="C63" t="str">
            <v>해남</v>
          </cell>
          <cell r="D63" t="str">
            <v>본소</v>
          </cell>
          <cell r="E63">
            <v>832211</v>
          </cell>
          <cell r="F63">
            <v>12</v>
          </cell>
        </row>
        <row r="64">
          <cell r="A64">
            <v>121300</v>
          </cell>
          <cell r="B64">
            <v>63</v>
          </cell>
          <cell r="C64" t="str">
            <v>화천</v>
          </cell>
          <cell r="D64" t="str">
            <v>본소</v>
          </cell>
          <cell r="E64">
            <v>806095</v>
          </cell>
          <cell r="F64">
            <v>12</v>
          </cell>
        </row>
        <row r="65">
          <cell r="A65">
            <v>161500</v>
          </cell>
          <cell r="B65">
            <v>64</v>
          </cell>
          <cell r="C65" t="str">
            <v>구례</v>
          </cell>
          <cell r="D65" t="str">
            <v>본소</v>
          </cell>
          <cell r="E65">
            <v>803827</v>
          </cell>
          <cell r="F65">
            <v>12</v>
          </cell>
        </row>
        <row r="66">
          <cell r="A66">
            <v>171103</v>
          </cell>
          <cell r="B66">
            <v>65</v>
          </cell>
          <cell r="C66" t="str">
            <v>대구</v>
          </cell>
          <cell r="D66" t="str">
            <v>평리</v>
          </cell>
          <cell r="E66">
            <v>780880</v>
          </cell>
          <cell r="F66">
            <v>12</v>
          </cell>
        </row>
        <row r="67">
          <cell r="A67">
            <v>111801</v>
          </cell>
          <cell r="B67">
            <v>66</v>
          </cell>
          <cell r="C67" t="str">
            <v>가평</v>
          </cell>
          <cell r="D67" t="str">
            <v>청평</v>
          </cell>
          <cell r="E67">
            <v>762206</v>
          </cell>
          <cell r="F67">
            <v>12</v>
          </cell>
        </row>
        <row r="68">
          <cell r="A68">
            <v>163101</v>
          </cell>
          <cell r="B68">
            <v>67</v>
          </cell>
          <cell r="C68" t="str">
            <v>진도</v>
          </cell>
          <cell r="D68" t="str">
            <v>임회</v>
          </cell>
          <cell r="E68">
            <v>702278</v>
          </cell>
          <cell r="F68">
            <v>12</v>
          </cell>
        </row>
        <row r="69">
          <cell r="A69">
            <v>162600</v>
          </cell>
          <cell r="B69">
            <v>68</v>
          </cell>
          <cell r="C69" t="str">
            <v>보성</v>
          </cell>
          <cell r="D69" t="str">
            <v>본소</v>
          </cell>
          <cell r="E69">
            <v>684318</v>
          </cell>
          <cell r="F69">
            <v>12</v>
          </cell>
        </row>
        <row r="70">
          <cell r="A70">
            <v>171900</v>
          </cell>
          <cell r="B70">
            <v>69</v>
          </cell>
          <cell r="C70" t="str">
            <v>경산</v>
          </cell>
          <cell r="D70" t="str">
            <v>본소</v>
          </cell>
          <cell r="E70">
            <v>677322</v>
          </cell>
          <cell r="F70">
            <v>12</v>
          </cell>
        </row>
        <row r="71">
          <cell r="A71">
            <v>151901</v>
          </cell>
          <cell r="B71">
            <v>70</v>
          </cell>
          <cell r="C71" t="str">
            <v>김제</v>
          </cell>
          <cell r="D71" t="str">
            <v>금만</v>
          </cell>
          <cell r="E71">
            <v>674703</v>
          </cell>
          <cell r="F71">
            <v>12</v>
          </cell>
        </row>
        <row r="72">
          <cell r="A72">
            <v>158501</v>
          </cell>
          <cell r="B72">
            <v>71</v>
          </cell>
          <cell r="C72" t="str">
            <v>동진강낙농</v>
          </cell>
          <cell r="D72" t="str">
            <v>군산</v>
          </cell>
          <cell r="E72">
            <v>664570</v>
          </cell>
          <cell r="F72">
            <v>12</v>
          </cell>
        </row>
        <row r="73">
          <cell r="A73">
            <v>151101</v>
          </cell>
          <cell r="B73">
            <v>72</v>
          </cell>
          <cell r="C73" t="str">
            <v>전주</v>
          </cell>
          <cell r="D73" t="str">
            <v>충경로</v>
          </cell>
          <cell r="E73">
            <v>657456</v>
          </cell>
          <cell r="F73">
            <v>12</v>
          </cell>
        </row>
        <row r="74">
          <cell r="A74">
            <v>162501</v>
          </cell>
          <cell r="B74">
            <v>73</v>
          </cell>
          <cell r="C74" t="str">
            <v>광양</v>
          </cell>
          <cell r="D74" t="str">
            <v>인덕</v>
          </cell>
          <cell r="E74">
            <v>627349</v>
          </cell>
          <cell r="F74">
            <v>12</v>
          </cell>
        </row>
        <row r="75">
          <cell r="A75">
            <v>111401</v>
          </cell>
          <cell r="B75">
            <v>74</v>
          </cell>
          <cell r="C75" t="str">
            <v>양주</v>
          </cell>
          <cell r="D75" t="str">
            <v>의정부</v>
          </cell>
          <cell r="E75">
            <v>615756</v>
          </cell>
          <cell r="F75">
            <v>12</v>
          </cell>
        </row>
        <row r="76">
          <cell r="A76">
            <v>151702</v>
          </cell>
          <cell r="B76">
            <v>75</v>
          </cell>
          <cell r="C76" t="str">
            <v>장수</v>
          </cell>
          <cell r="D76" t="str">
            <v>송천</v>
          </cell>
          <cell r="E76">
            <v>612152</v>
          </cell>
          <cell r="F76">
            <v>12</v>
          </cell>
        </row>
        <row r="77">
          <cell r="A77">
            <v>161901</v>
          </cell>
          <cell r="B77">
            <v>76</v>
          </cell>
          <cell r="C77" t="str">
            <v>목포</v>
          </cell>
          <cell r="D77" t="str">
            <v>용해</v>
          </cell>
          <cell r="E77">
            <v>590182</v>
          </cell>
          <cell r="F77">
            <v>12</v>
          </cell>
        </row>
        <row r="78">
          <cell r="A78">
            <v>171503</v>
          </cell>
          <cell r="B78">
            <v>77</v>
          </cell>
          <cell r="C78" t="str">
            <v>안동</v>
          </cell>
          <cell r="D78" t="str">
            <v>중앙</v>
          </cell>
          <cell r="E78">
            <v>587586</v>
          </cell>
          <cell r="F78">
            <v>12</v>
          </cell>
        </row>
        <row r="79">
          <cell r="A79">
            <v>198100</v>
          </cell>
          <cell r="B79">
            <v>78</v>
          </cell>
          <cell r="C79" t="str">
            <v>제주양돈</v>
          </cell>
          <cell r="D79" t="str">
            <v>본소</v>
          </cell>
          <cell r="E79">
            <v>578208</v>
          </cell>
          <cell r="F79">
            <v>12</v>
          </cell>
        </row>
        <row r="80">
          <cell r="A80">
            <v>161102</v>
          </cell>
          <cell r="B80">
            <v>79</v>
          </cell>
          <cell r="C80" t="str">
            <v>광주</v>
          </cell>
          <cell r="D80" t="str">
            <v>화정</v>
          </cell>
          <cell r="E80">
            <v>570917</v>
          </cell>
          <cell r="F80">
            <v>12</v>
          </cell>
        </row>
        <row r="81">
          <cell r="A81">
            <v>151106</v>
          </cell>
          <cell r="B81">
            <v>80</v>
          </cell>
          <cell r="C81" t="str">
            <v>전주</v>
          </cell>
          <cell r="D81" t="str">
            <v>효자</v>
          </cell>
          <cell r="E81">
            <v>565571</v>
          </cell>
          <cell r="F81">
            <v>12</v>
          </cell>
        </row>
        <row r="82">
          <cell r="A82">
            <v>161501</v>
          </cell>
          <cell r="B82">
            <v>81</v>
          </cell>
          <cell r="C82" t="str">
            <v>구례</v>
          </cell>
          <cell r="D82" t="str">
            <v>봉동</v>
          </cell>
          <cell r="E82">
            <v>565190</v>
          </cell>
          <cell r="F82">
            <v>12</v>
          </cell>
        </row>
        <row r="83">
          <cell r="A83">
            <v>171904</v>
          </cell>
          <cell r="B83">
            <v>82</v>
          </cell>
          <cell r="C83" t="str">
            <v>경산</v>
          </cell>
          <cell r="D83" t="str">
            <v>고산</v>
          </cell>
          <cell r="E83">
            <v>541346</v>
          </cell>
          <cell r="F83">
            <v>12</v>
          </cell>
        </row>
        <row r="84">
          <cell r="A84">
            <v>171105</v>
          </cell>
          <cell r="B84">
            <v>83</v>
          </cell>
          <cell r="C84" t="str">
            <v>대구</v>
          </cell>
          <cell r="D84" t="str">
            <v>송현</v>
          </cell>
          <cell r="E84">
            <v>508200</v>
          </cell>
          <cell r="F84">
            <v>12</v>
          </cell>
        </row>
        <row r="85">
          <cell r="A85">
            <v>162300</v>
          </cell>
          <cell r="B85">
            <v>84</v>
          </cell>
          <cell r="C85" t="str">
            <v>영암</v>
          </cell>
          <cell r="D85" t="str">
            <v>본소</v>
          </cell>
          <cell r="E85">
            <v>476698</v>
          </cell>
          <cell r="F85">
            <v>12</v>
          </cell>
        </row>
        <row r="86">
          <cell r="A86">
            <v>181402</v>
          </cell>
          <cell r="B86">
            <v>85</v>
          </cell>
          <cell r="C86" t="str">
            <v>부산</v>
          </cell>
          <cell r="D86" t="str">
            <v>미남</v>
          </cell>
          <cell r="E86">
            <v>447317</v>
          </cell>
          <cell r="F86">
            <v>12</v>
          </cell>
        </row>
        <row r="87">
          <cell r="A87">
            <v>152003</v>
          </cell>
          <cell r="B87">
            <v>86</v>
          </cell>
          <cell r="C87" t="str">
            <v>익산</v>
          </cell>
          <cell r="D87" t="str">
            <v>마동</v>
          </cell>
          <cell r="E87">
            <v>434535</v>
          </cell>
          <cell r="F87">
            <v>12</v>
          </cell>
        </row>
        <row r="88">
          <cell r="A88">
            <v>152101</v>
          </cell>
          <cell r="B88">
            <v>87</v>
          </cell>
          <cell r="C88" t="str">
            <v>군산</v>
          </cell>
          <cell r="D88" t="str">
            <v>신영</v>
          </cell>
          <cell r="E88">
            <v>422425</v>
          </cell>
          <cell r="F88">
            <v>12</v>
          </cell>
        </row>
        <row r="89">
          <cell r="A89">
            <v>168302</v>
          </cell>
          <cell r="B89">
            <v>88</v>
          </cell>
          <cell r="C89" t="str">
            <v>광전양계</v>
          </cell>
          <cell r="D89" t="str">
            <v>신용해</v>
          </cell>
          <cell r="E89">
            <v>406198</v>
          </cell>
          <cell r="F89">
            <v>12</v>
          </cell>
        </row>
        <row r="90">
          <cell r="A90">
            <v>171304</v>
          </cell>
          <cell r="B90">
            <v>89</v>
          </cell>
          <cell r="C90" t="str">
            <v>경주</v>
          </cell>
          <cell r="D90" t="str">
            <v>외동</v>
          </cell>
          <cell r="E90">
            <v>405238</v>
          </cell>
          <cell r="F90">
            <v>12</v>
          </cell>
        </row>
        <row r="91">
          <cell r="A91">
            <v>173201</v>
          </cell>
          <cell r="B91">
            <v>90</v>
          </cell>
          <cell r="C91" t="str">
            <v>청송</v>
          </cell>
          <cell r="D91" t="str">
            <v>진보</v>
          </cell>
          <cell r="E91">
            <v>376745</v>
          </cell>
          <cell r="F91">
            <v>12</v>
          </cell>
        </row>
        <row r="92">
          <cell r="A92">
            <v>161402</v>
          </cell>
          <cell r="B92">
            <v>91</v>
          </cell>
          <cell r="C92" t="str">
            <v>순천</v>
          </cell>
          <cell r="D92" t="str">
            <v>남순천</v>
          </cell>
          <cell r="E92">
            <v>366467</v>
          </cell>
          <cell r="F92">
            <v>12</v>
          </cell>
        </row>
        <row r="93">
          <cell r="A93">
            <v>121803</v>
          </cell>
          <cell r="B93">
            <v>92</v>
          </cell>
          <cell r="C93" t="str">
            <v>삼척</v>
          </cell>
          <cell r="D93" t="str">
            <v>도계</v>
          </cell>
          <cell r="E93">
            <v>336996</v>
          </cell>
          <cell r="F93">
            <v>12</v>
          </cell>
        </row>
        <row r="94">
          <cell r="A94">
            <v>162401</v>
          </cell>
          <cell r="B94">
            <v>93</v>
          </cell>
          <cell r="C94" t="str">
            <v>장성</v>
          </cell>
          <cell r="D94" t="str">
            <v>대창</v>
          </cell>
          <cell r="E94">
            <v>328856</v>
          </cell>
          <cell r="F94">
            <v>12</v>
          </cell>
        </row>
        <row r="95">
          <cell r="A95">
            <v>182302</v>
          </cell>
          <cell r="B95">
            <v>94</v>
          </cell>
          <cell r="C95" t="str">
            <v>양산</v>
          </cell>
          <cell r="D95" t="str">
            <v>기장</v>
          </cell>
          <cell r="E95">
            <v>314298</v>
          </cell>
          <cell r="F95">
            <v>12</v>
          </cell>
        </row>
        <row r="96">
          <cell r="A96">
            <v>162303</v>
          </cell>
          <cell r="B96">
            <v>95</v>
          </cell>
          <cell r="C96" t="str">
            <v>영암</v>
          </cell>
          <cell r="D96" t="str">
            <v>학산</v>
          </cell>
          <cell r="E96">
            <v>307144</v>
          </cell>
          <cell r="F96">
            <v>12</v>
          </cell>
        </row>
        <row r="97">
          <cell r="A97">
            <v>121601</v>
          </cell>
          <cell r="B97">
            <v>96</v>
          </cell>
          <cell r="C97" t="str">
            <v>태백</v>
          </cell>
          <cell r="D97" t="str">
            <v>장성</v>
          </cell>
          <cell r="E97">
            <v>287913</v>
          </cell>
          <cell r="F97">
            <v>12</v>
          </cell>
        </row>
        <row r="98">
          <cell r="A98">
            <v>158101</v>
          </cell>
          <cell r="B98">
            <v>97</v>
          </cell>
          <cell r="C98" t="str">
            <v>전북양계</v>
          </cell>
          <cell r="D98" t="str">
            <v>화산</v>
          </cell>
          <cell r="E98">
            <v>265953</v>
          </cell>
          <cell r="F98">
            <v>12</v>
          </cell>
        </row>
        <row r="99">
          <cell r="A99">
            <v>181103</v>
          </cell>
          <cell r="B99">
            <v>98</v>
          </cell>
          <cell r="C99" t="str">
            <v>창녕</v>
          </cell>
          <cell r="D99" t="str">
            <v>남창녕</v>
          </cell>
          <cell r="E99">
            <v>255002</v>
          </cell>
          <cell r="F99">
            <v>12</v>
          </cell>
        </row>
        <row r="100">
          <cell r="A100">
            <v>152000</v>
          </cell>
          <cell r="B100">
            <v>99</v>
          </cell>
          <cell r="C100" t="str">
            <v>익산</v>
          </cell>
          <cell r="D100" t="str">
            <v>본소</v>
          </cell>
          <cell r="E100">
            <v>161334</v>
          </cell>
          <cell r="F100">
            <v>12</v>
          </cell>
        </row>
        <row r="101">
          <cell r="A101">
            <v>163100</v>
          </cell>
          <cell r="B101">
            <v>100</v>
          </cell>
          <cell r="C101" t="str">
            <v>진도</v>
          </cell>
          <cell r="D101" t="str">
            <v>본소</v>
          </cell>
          <cell r="E101">
            <v>160388</v>
          </cell>
          <cell r="F101">
            <v>12</v>
          </cell>
        </row>
        <row r="102">
          <cell r="A102">
            <v>191102</v>
          </cell>
          <cell r="B102">
            <v>101</v>
          </cell>
          <cell r="C102" t="str">
            <v>제주</v>
          </cell>
          <cell r="D102" t="str">
            <v>동문</v>
          </cell>
          <cell r="E102">
            <v>154501</v>
          </cell>
          <cell r="F102">
            <v>12</v>
          </cell>
        </row>
        <row r="103">
          <cell r="A103">
            <v>111604</v>
          </cell>
          <cell r="B103">
            <v>102</v>
          </cell>
          <cell r="C103" t="str">
            <v>경기광주</v>
          </cell>
          <cell r="D103" t="str">
            <v>분당</v>
          </cell>
          <cell r="E103">
            <v>87918</v>
          </cell>
          <cell r="F103">
            <v>12</v>
          </cell>
        </row>
        <row r="104">
          <cell r="A104">
            <v>198200</v>
          </cell>
          <cell r="B104">
            <v>103</v>
          </cell>
          <cell r="C104" t="str">
            <v>제주양봉</v>
          </cell>
          <cell r="D104" t="str">
            <v>본소</v>
          </cell>
          <cell r="E104">
            <v>38808</v>
          </cell>
          <cell r="F104">
            <v>12</v>
          </cell>
        </row>
        <row r="105">
          <cell r="A105">
            <v>161104</v>
          </cell>
          <cell r="B105">
            <v>104</v>
          </cell>
          <cell r="C105" t="str">
            <v>광주</v>
          </cell>
          <cell r="D105" t="str">
            <v>광산</v>
          </cell>
          <cell r="E105">
            <v>0</v>
          </cell>
          <cell r="F105">
            <v>12</v>
          </cell>
        </row>
        <row r="106">
          <cell r="A106">
            <v>162602</v>
          </cell>
          <cell r="B106">
            <v>105</v>
          </cell>
          <cell r="C106" t="str">
            <v>보성</v>
          </cell>
          <cell r="D106" t="str">
            <v>벌교</v>
          </cell>
          <cell r="E106">
            <v>0</v>
          </cell>
          <cell r="F106">
            <v>12</v>
          </cell>
        </row>
        <row r="107">
          <cell r="E107">
            <v>151004485</v>
          </cell>
        </row>
      </sheetData>
      <sheetData sheetId="7" refreshError="1">
        <row r="1">
          <cell r="A1" t="str">
            <v>CODE</v>
          </cell>
          <cell r="B1" t="str">
            <v>No.</v>
          </cell>
          <cell r="C1" t="str">
            <v>조합명</v>
          </cell>
          <cell r="D1" t="str">
            <v>판매장명</v>
          </cell>
          <cell r="E1" t="str">
            <v>매출액</v>
          </cell>
          <cell r="F1" t="str">
            <v>월</v>
          </cell>
        </row>
        <row r="2">
          <cell r="A2">
            <v>128401</v>
          </cell>
          <cell r="B2">
            <v>1</v>
          </cell>
          <cell r="C2" t="str">
            <v>영동양돈</v>
          </cell>
          <cell r="D2" t="str">
            <v>주문진</v>
          </cell>
          <cell r="E2">
            <v>5538562</v>
          </cell>
        </row>
        <row r="3">
          <cell r="A3">
            <v>142200</v>
          </cell>
          <cell r="B3">
            <v>2</v>
          </cell>
          <cell r="C3" t="str">
            <v>당진</v>
          </cell>
          <cell r="D3" t="str">
            <v>본소</v>
          </cell>
          <cell r="E3">
            <v>5278317</v>
          </cell>
        </row>
        <row r="4">
          <cell r="A4">
            <v>128402</v>
          </cell>
          <cell r="B4">
            <v>3</v>
          </cell>
          <cell r="C4" t="str">
            <v>영동양돈</v>
          </cell>
          <cell r="D4" t="str">
            <v>송정</v>
          </cell>
          <cell r="E4">
            <v>4238634</v>
          </cell>
        </row>
        <row r="5">
          <cell r="A5">
            <v>182501</v>
          </cell>
          <cell r="B5">
            <v>4</v>
          </cell>
          <cell r="C5" t="str">
            <v>남해</v>
          </cell>
          <cell r="D5" t="str">
            <v>본소</v>
          </cell>
          <cell r="E5">
            <v>4008235</v>
          </cell>
        </row>
        <row r="6">
          <cell r="A6">
            <v>121800</v>
          </cell>
          <cell r="B6">
            <v>5</v>
          </cell>
          <cell r="C6" t="str">
            <v>삼척</v>
          </cell>
          <cell r="D6" t="str">
            <v>본소</v>
          </cell>
          <cell r="E6">
            <v>3564582</v>
          </cell>
        </row>
        <row r="7">
          <cell r="A7">
            <v>141700</v>
          </cell>
          <cell r="B7">
            <v>6</v>
          </cell>
          <cell r="C7" t="str">
            <v>보령</v>
          </cell>
          <cell r="D7" t="str">
            <v>본소</v>
          </cell>
          <cell r="E7">
            <v>3413183</v>
          </cell>
        </row>
        <row r="8">
          <cell r="A8">
            <v>151302</v>
          </cell>
          <cell r="B8">
            <v>7</v>
          </cell>
          <cell r="C8" t="str">
            <v>정읍</v>
          </cell>
          <cell r="D8" t="str">
            <v>상동</v>
          </cell>
          <cell r="E8">
            <v>3380942</v>
          </cell>
        </row>
        <row r="9">
          <cell r="A9">
            <v>182200</v>
          </cell>
          <cell r="B9">
            <v>8</v>
          </cell>
          <cell r="C9" t="str">
            <v>거제</v>
          </cell>
          <cell r="D9" t="str">
            <v>본소</v>
          </cell>
          <cell r="E9">
            <v>3343492</v>
          </cell>
        </row>
        <row r="10">
          <cell r="A10">
            <v>128403</v>
          </cell>
          <cell r="B10">
            <v>9</v>
          </cell>
          <cell r="C10" t="str">
            <v>영동양돈</v>
          </cell>
          <cell r="D10" t="str">
            <v>성덕</v>
          </cell>
          <cell r="E10">
            <v>3244253</v>
          </cell>
        </row>
        <row r="11">
          <cell r="A11">
            <v>151400</v>
          </cell>
          <cell r="B11">
            <v>10</v>
          </cell>
          <cell r="C11" t="str">
            <v>남원</v>
          </cell>
          <cell r="D11" t="str">
            <v>본소</v>
          </cell>
          <cell r="E11">
            <v>3238881</v>
          </cell>
        </row>
        <row r="12">
          <cell r="A12">
            <v>182000</v>
          </cell>
          <cell r="B12">
            <v>11</v>
          </cell>
          <cell r="C12" t="str">
            <v>의령</v>
          </cell>
          <cell r="D12" t="str">
            <v>본소</v>
          </cell>
          <cell r="E12">
            <v>3095138</v>
          </cell>
        </row>
        <row r="13">
          <cell r="A13">
            <v>162901</v>
          </cell>
          <cell r="B13">
            <v>12</v>
          </cell>
          <cell r="C13" t="str">
            <v>완도</v>
          </cell>
          <cell r="D13" t="str">
            <v>고금</v>
          </cell>
          <cell r="E13">
            <v>2946818</v>
          </cell>
        </row>
        <row r="14">
          <cell r="A14">
            <v>172000</v>
          </cell>
          <cell r="B14">
            <v>13</v>
          </cell>
          <cell r="C14" t="str">
            <v>청도</v>
          </cell>
          <cell r="D14" t="str">
            <v>본소</v>
          </cell>
          <cell r="E14">
            <v>2855506</v>
          </cell>
        </row>
        <row r="15">
          <cell r="A15">
            <v>112600</v>
          </cell>
          <cell r="B15">
            <v>14</v>
          </cell>
          <cell r="C15" t="str">
            <v>안성</v>
          </cell>
          <cell r="D15" t="str">
            <v>본소</v>
          </cell>
          <cell r="E15">
            <v>2845818</v>
          </cell>
        </row>
        <row r="16">
          <cell r="A16">
            <v>182400</v>
          </cell>
          <cell r="B16">
            <v>15</v>
          </cell>
          <cell r="C16" t="str">
            <v>함안</v>
          </cell>
          <cell r="D16" t="str">
            <v>본소</v>
          </cell>
          <cell r="E16">
            <v>2727547</v>
          </cell>
        </row>
        <row r="17">
          <cell r="A17">
            <v>161304</v>
          </cell>
          <cell r="B17">
            <v>16</v>
          </cell>
          <cell r="C17" t="str">
            <v>여수여천</v>
          </cell>
          <cell r="D17" t="str">
            <v>서강</v>
          </cell>
          <cell r="E17">
            <v>2404698</v>
          </cell>
        </row>
        <row r="18">
          <cell r="A18">
            <v>108201</v>
          </cell>
          <cell r="B18">
            <v>17</v>
          </cell>
          <cell r="C18" t="str">
            <v>서울경기양계</v>
          </cell>
          <cell r="D18" t="str">
            <v>신촌</v>
          </cell>
          <cell r="E18">
            <v>2340536</v>
          </cell>
        </row>
        <row r="19">
          <cell r="A19">
            <v>171502</v>
          </cell>
          <cell r="B19">
            <v>18</v>
          </cell>
          <cell r="C19" t="str">
            <v>안동</v>
          </cell>
          <cell r="D19" t="str">
            <v>송현</v>
          </cell>
          <cell r="E19">
            <v>2291919</v>
          </cell>
        </row>
        <row r="20">
          <cell r="A20">
            <v>142501</v>
          </cell>
          <cell r="B20">
            <v>19</v>
          </cell>
          <cell r="C20" t="str">
            <v>천안</v>
          </cell>
          <cell r="D20" t="str">
            <v>삼거리</v>
          </cell>
          <cell r="E20">
            <v>2147886</v>
          </cell>
        </row>
        <row r="21">
          <cell r="A21">
            <v>100071</v>
          </cell>
          <cell r="B21">
            <v>20</v>
          </cell>
          <cell r="C21" t="str">
            <v>축협유통</v>
          </cell>
          <cell r="D21" t="str">
            <v>분당</v>
          </cell>
          <cell r="E21">
            <v>2108391</v>
          </cell>
        </row>
        <row r="22">
          <cell r="A22">
            <v>142300</v>
          </cell>
          <cell r="B22">
            <v>21</v>
          </cell>
          <cell r="C22" t="str">
            <v>서산</v>
          </cell>
          <cell r="D22" t="str">
            <v>본소</v>
          </cell>
          <cell r="E22">
            <v>2098465</v>
          </cell>
        </row>
        <row r="23">
          <cell r="A23">
            <v>171106</v>
          </cell>
          <cell r="B23">
            <v>22</v>
          </cell>
          <cell r="C23" t="str">
            <v>대구</v>
          </cell>
          <cell r="D23" t="str">
            <v>봉덕</v>
          </cell>
          <cell r="E23">
            <v>2067516</v>
          </cell>
        </row>
        <row r="24">
          <cell r="A24">
            <v>171303</v>
          </cell>
          <cell r="B24">
            <v>23</v>
          </cell>
          <cell r="C24" t="str">
            <v>경주</v>
          </cell>
          <cell r="D24" t="str">
            <v>성동</v>
          </cell>
          <cell r="E24">
            <v>2025399</v>
          </cell>
        </row>
        <row r="25">
          <cell r="A25">
            <v>158501</v>
          </cell>
          <cell r="B25">
            <v>24</v>
          </cell>
          <cell r="C25" t="str">
            <v>동진강낙농</v>
          </cell>
          <cell r="D25" t="str">
            <v>군산</v>
          </cell>
          <cell r="E25">
            <v>1742688</v>
          </cell>
        </row>
        <row r="26">
          <cell r="A26">
            <v>171800</v>
          </cell>
          <cell r="B26">
            <v>25</v>
          </cell>
          <cell r="C26" t="str">
            <v>영천</v>
          </cell>
          <cell r="D26" t="str">
            <v>본소</v>
          </cell>
          <cell r="E26">
            <v>1723346</v>
          </cell>
        </row>
        <row r="27">
          <cell r="A27">
            <v>101103</v>
          </cell>
          <cell r="B27">
            <v>26</v>
          </cell>
          <cell r="C27" t="str">
            <v>서울경기양계</v>
          </cell>
          <cell r="D27" t="str">
            <v>잠실</v>
          </cell>
          <cell r="E27">
            <v>1721544</v>
          </cell>
        </row>
        <row r="28">
          <cell r="A28">
            <v>161401</v>
          </cell>
          <cell r="B28">
            <v>27</v>
          </cell>
          <cell r="C28" t="str">
            <v>순천</v>
          </cell>
          <cell r="D28" t="str">
            <v>종합</v>
          </cell>
          <cell r="E28">
            <v>1681407</v>
          </cell>
        </row>
        <row r="29">
          <cell r="A29">
            <v>171200</v>
          </cell>
          <cell r="B29">
            <v>28</v>
          </cell>
          <cell r="C29" t="str">
            <v>포항</v>
          </cell>
          <cell r="D29" t="str">
            <v>본소</v>
          </cell>
          <cell r="E29">
            <v>1663398</v>
          </cell>
        </row>
        <row r="30">
          <cell r="A30">
            <v>182302</v>
          </cell>
          <cell r="B30">
            <v>29</v>
          </cell>
          <cell r="C30" t="str">
            <v>양산</v>
          </cell>
          <cell r="D30" t="str">
            <v>기장</v>
          </cell>
          <cell r="E30">
            <v>1609491</v>
          </cell>
        </row>
        <row r="31">
          <cell r="A31">
            <v>163202</v>
          </cell>
          <cell r="B31">
            <v>30</v>
          </cell>
          <cell r="C31" t="str">
            <v>화순</v>
          </cell>
          <cell r="D31" t="str">
            <v>향청</v>
          </cell>
          <cell r="E31">
            <v>1605336</v>
          </cell>
        </row>
        <row r="32">
          <cell r="A32">
            <v>181800</v>
          </cell>
          <cell r="B32">
            <v>31</v>
          </cell>
          <cell r="C32" t="str">
            <v>함양</v>
          </cell>
          <cell r="D32" t="str">
            <v>본소</v>
          </cell>
          <cell r="E32">
            <v>1568741</v>
          </cell>
        </row>
        <row r="33">
          <cell r="A33">
            <v>131500</v>
          </cell>
          <cell r="B33">
            <v>32</v>
          </cell>
          <cell r="C33" t="str">
            <v>괴산</v>
          </cell>
          <cell r="D33" t="str">
            <v>본소</v>
          </cell>
          <cell r="E33">
            <v>1556405</v>
          </cell>
        </row>
        <row r="34">
          <cell r="A34">
            <v>171804</v>
          </cell>
          <cell r="B34">
            <v>33</v>
          </cell>
          <cell r="C34" t="str">
            <v>영천</v>
          </cell>
          <cell r="D34" t="str">
            <v>신령</v>
          </cell>
          <cell r="E34">
            <v>1548188</v>
          </cell>
        </row>
        <row r="35">
          <cell r="A35">
            <v>138200</v>
          </cell>
          <cell r="B35">
            <v>34</v>
          </cell>
          <cell r="C35" t="str">
            <v>충북양계</v>
          </cell>
          <cell r="D35" t="str">
            <v>한아름</v>
          </cell>
          <cell r="E35">
            <v>1514962</v>
          </cell>
        </row>
        <row r="36">
          <cell r="A36">
            <v>122300</v>
          </cell>
          <cell r="B36">
            <v>35</v>
          </cell>
          <cell r="C36" t="str">
            <v>양양</v>
          </cell>
          <cell r="D36" t="str">
            <v>본소</v>
          </cell>
          <cell r="E36">
            <v>1478714</v>
          </cell>
        </row>
        <row r="37">
          <cell r="A37">
            <v>148202</v>
          </cell>
          <cell r="B37">
            <v>36</v>
          </cell>
          <cell r="C37" t="str">
            <v>대전충남양계</v>
          </cell>
          <cell r="D37" t="str">
            <v>정림</v>
          </cell>
          <cell r="E37">
            <v>1452733</v>
          </cell>
        </row>
        <row r="38">
          <cell r="A38">
            <v>161903</v>
          </cell>
          <cell r="B38">
            <v>37</v>
          </cell>
          <cell r="C38" t="str">
            <v>목포</v>
          </cell>
          <cell r="D38" t="str">
            <v>남교</v>
          </cell>
          <cell r="E38">
            <v>1405767</v>
          </cell>
        </row>
        <row r="39">
          <cell r="A39">
            <v>108103</v>
          </cell>
          <cell r="B39">
            <v>38</v>
          </cell>
          <cell r="C39" t="str">
            <v>서울경기양계</v>
          </cell>
          <cell r="D39" t="str">
            <v>답십리</v>
          </cell>
          <cell r="E39">
            <v>1351071</v>
          </cell>
        </row>
        <row r="40">
          <cell r="A40">
            <v>181905</v>
          </cell>
          <cell r="B40">
            <v>39</v>
          </cell>
          <cell r="C40" t="str">
            <v>마산</v>
          </cell>
          <cell r="D40" t="str">
            <v>대방</v>
          </cell>
          <cell r="E40">
            <v>1347404</v>
          </cell>
        </row>
        <row r="41">
          <cell r="A41">
            <v>163200</v>
          </cell>
          <cell r="B41">
            <v>40</v>
          </cell>
          <cell r="C41" t="str">
            <v>화순</v>
          </cell>
          <cell r="D41" t="str">
            <v>본소</v>
          </cell>
          <cell r="E41">
            <v>1207953</v>
          </cell>
        </row>
        <row r="42">
          <cell r="A42">
            <v>181100</v>
          </cell>
          <cell r="B42">
            <v>41</v>
          </cell>
          <cell r="C42" t="str">
            <v>창녕</v>
          </cell>
          <cell r="D42" t="str">
            <v>본소</v>
          </cell>
          <cell r="E42">
            <v>1177883</v>
          </cell>
        </row>
        <row r="43">
          <cell r="A43">
            <v>148100</v>
          </cell>
          <cell r="B43">
            <v>42</v>
          </cell>
          <cell r="C43" t="str">
            <v>공주낙농</v>
          </cell>
          <cell r="D43" t="str">
            <v>본소</v>
          </cell>
          <cell r="E43">
            <v>1170890</v>
          </cell>
        </row>
        <row r="44">
          <cell r="A44">
            <v>162202</v>
          </cell>
          <cell r="B44">
            <v>43</v>
          </cell>
          <cell r="C44" t="str">
            <v>해남</v>
          </cell>
          <cell r="D44" t="str">
            <v>수성</v>
          </cell>
          <cell r="E44">
            <v>1139109</v>
          </cell>
        </row>
        <row r="45">
          <cell r="A45">
            <v>171801</v>
          </cell>
          <cell r="B45">
            <v>44</v>
          </cell>
          <cell r="C45" t="str">
            <v>영천</v>
          </cell>
          <cell r="D45" t="str">
            <v>금호</v>
          </cell>
          <cell r="E45">
            <v>1107518</v>
          </cell>
        </row>
        <row r="46">
          <cell r="A46">
            <v>152100</v>
          </cell>
          <cell r="B46">
            <v>45</v>
          </cell>
          <cell r="C46" t="str">
            <v>군산</v>
          </cell>
          <cell r="D46" t="str">
            <v>본소</v>
          </cell>
          <cell r="E46">
            <v>1095248</v>
          </cell>
        </row>
        <row r="47">
          <cell r="A47">
            <v>148700</v>
          </cell>
          <cell r="B47">
            <v>46</v>
          </cell>
          <cell r="C47" t="str">
            <v>서해낙농</v>
          </cell>
          <cell r="D47" t="str">
            <v>본소</v>
          </cell>
          <cell r="E47">
            <v>1066511</v>
          </cell>
        </row>
        <row r="48">
          <cell r="A48">
            <v>171803</v>
          </cell>
          <cell r="B48">
            <v>47</v>
          </cell>
          <cell r="C48" t="str">
            <v>영천</v>
          </cell>
          <cell r="D48" t="str">
            <v>영남</v>
          </cell>
          <cell r="E48">
            <v>1062319</v>
          </cell>
        </row>
        <row r="49">
          <cell r="A49">
            <v>171100</v>
          </cell>
          <cell r="B49">
            <v>48</v>
          </cell>
          <cell r="C49" t="str">
            <v>대구</v>
          </cell>
          <cell r="D49" t="str">
            <v>본소</v>
          </cell>
          <cell r="E49">
            <v>1059151</v>
          </cell>
        </row>
        <row r="50">
          <cell r="A50">
            <v>178401</v>
          </cell>
          <cell r="B50">
            <v>49</v>
          </cell>
          <cell r="C50" t="str">
            <v>경북중앙낙농</v>
          </cell>
          <cell r="D50" t="str">
            <v>정평</v>
          </cell>
          <cell r="E50">
            <v>1045866</v>
          </cell>
        </row>
        <row r="51">
          <cell r="A51">
            <v>128400</v>
          </cell>
          <cell r="B51">
            <v>50</v>
          </cell>
          <cell r="C51" t="str">
            <v>영동양돈</v>
          </cell>
          <cell r="D51" t="str">
            <v>본소</v>
          </cell>
          <cell r="E51">
            <v>1020015</v>
          </cell>
        </row>
        <row r="52">
          <cell r="A52">
            <v>162302</v>
          </cell>
          <cell r="B52">
            <v>51</v>
          </cell>
          <cell r="C52" t="str">
            <v>영암</v>
          </cell>
          <cell r="D52" t="str">
            <v>한라</v>
          </cell>
          <cell r="E52">
            <v>1010258</v>
          </cell>
        </row>
        <row r="53">
          <cell r="A53">
            <v>161201</v>
          </cell>
          <cell r="B53">
            <v>52</v>
          </cell>
          <cell r="C53" t="str">
            <v>담양</v>
          </cell>
          <cell r="D53" t="str">
            <v>창평</v>
          </cell>
          <cell r="E53">
            <v>1003292</v>
          </cell>
        </row>
        <row r="54">
          <cell r="A54">
            <v>121102</v>
          </cell>
          <cell r="B54">
            <v>53</v>
          </cell>
          <cell r="C54" t="str">
            <v>춘천</v>
          </cell>
          <cell r="D54" t="str">
            <v>공단</v>
          </cell>
          <cell r="E54">
            <v>977636</v>
          </cell>
        </row>
        <row r="55">
          <cell r="A55">
            <v>181700</v>
          </cell>
          <cell r="B55">
            <v>54</v>
          </cell>
          <cell r="C55" t="str">
            <v>산청</v>
          </cell>
          <cell r="D55" t="str">
            <v>본소</v>
          </cell>
          <cell r="E55">
            <v>972548</v>
          </cell>
        </row>
        <row r="56">
          <cell r="A56">
            <v>163100</v>
          </cell>
          <cell r="B56">
            <v>55</v>
          </cell>
          <cell r="C56" t="str">
            <v>진도</v>
          </cell>
          <cell r="D56" t="str">
            <v>본소</v>
          </cell>
          <cell r="E56">
            <v>930361</v>
          </cell>
        </row>
        <row r="57">
          <cell r="A57">
            <v>148401</v>
          </cell>
          <cell r="B57">
            <v>56</v>
          </cell>
          <cell r="C57" t="str">
            <v>대전충남우유</v>
          </cell>
          <cell r="D57" t="str">
            <v>한밭</v>
          </cell>
          <cell r="E57">
            <v>926164</v>
          </cell>
        </row>
        <row r="58">
          <cell r="A58">
            <v>161303</v>
          </cell>
          <cell r="B58">
            <v>57</v>
          </cell>
          <cell r="C58" t="str">
            <v>여수여천</v>
          </cell>
          <cell r="D58" t="str">
            <v>율촌</v>
          </cell>
          <cell r="E58">
            <v>922444</v>
          </cell>
        </row>
        <row r="59">
          <cell r="A59">
            <v>121600</v>
          </cell>
          <cell r="B59">
            <v>58</v>
          </cell>
          <cell r="C59" t="str">
            <v>태백</v>
          </cell>
          <cell r="D59" t="str">
            <v>본소</v>
          </cell>
          <cell r="E59">
            <v>907230</v>
          </cell>
        </row>
        <row r="60">
          <cell r="A60">
            <v>182201</v>
          </cell>
          <cell r="B60">
            <v>59</v>
          </cell>
          <cell r="C60" t="str">
            <v>거제</v>
          </cell>
          <cell r="D60" t="str">
            <v>옥포</v>
          </cell>
          <cell r="E60">
            <v>876270</v>
          </cell>
        </row>
        <row r="61">
          <cell r="A61">
            <v>151800</v>
          </cell>
          <cell r="B61">
            <v>60</v>
          </cell>
          <cell r="C61" t="str">
            <v>임실</v>
          </cell>
          <cell r="D61" t="str">
            <v>본소</v>
          </cell>
          <cell r="E61">
            <v>866933</v>
          </cell>
        </row>
        <row r="62">
          <cell r="A62">
            <v>161306</v>
          </cell>
          <cell r="B62">
            <v>61</v>
          </cell>
          <cell r="C62" t="str">
            <v>여수여천</v>
          </cell>
          <cell r="D62" t="str">
            <v>문수</v>
          </cell>
          <cell r="E62">
            <v>863121</v>
          </cell>
        </row>
        <row r="63">
          <cell r="A63">
            <v>181701</v>
          </cell>
          <cell r="B63">
            <v>62</v>
          </cell>
          <cell r="C63" t="str">
            <v>산청</v>
          </cell>
          <cell r="D63" t="str">
            <v>원지</v>
          </cell>
          <cell r="E63">
            <v>834730</v>
          </cell>
        </row>
        <row r="64">
          <cell r="A64">
            <v>161100</v>
          </cell>
          <cell r="B64">
            <v>63</v>
          </cell>
          <cell r="C64" t="str">
            <v>광주</v>
          </cell>
          <cell r="D64" t="str">
            <v>본소</v>
          </cell>
          <cell r="E64">
            <v>823928</v>
          </cell>
        </row>
        <row r="65">
          <cell r="A65">
            <v>162201</v>
          </cell>
          <cell r="B65">
            <v>64</v>
          </cell>
          <cell r="C65" t="str">
            <v>해남</v>
          </cell>
          <cell r="D65" t="str">
            <v>고도</v>
          </cell>
          <cell r="E65">
            <v>809399</v>
          </cell>
        </row>
        <row r="66">
          <cell r="A66">
            <v>171302</v>
          </cell>
          <cell r="B66">
            <v>65</v>
          </cell>
          <cell r="C66" t="str">
            <v>경주</v>
          </cell>
          <cell r="D66" t="str">
            <v>노동</v>
          </cell>
          <cell r="E66">
            <v>794631</v>
          </cell>
        </row>
        <row r="67">
          <cell r="A67">
            <v>181103</v>
          </cell>
          <cell r="B67">
            <v>66</v>
          </cell>
          <cell r="C67" t="str">
            <v>창녕</v>
          </cell>
          <cell r="D67" t="str">
            <v>남창녕</v>
          </cell>
          <cell r="E67">
            <v>777629</v>
          </cell>
        </row>
        <row r="68">
          <cell r="A68">
            <v>131102</v>
          </cell>
          <cell r="B68">
            <v>67</v>
          </cell>
          <cell r="C68" t="str">
            <v>청주</v>
          </cell>
          <cell r="D68" t="str">
            <v>금천</v>
          </cell>
          <cell r="E68">
            <v>772941</v>
          </cell>
        </row>
        <row r="69">
          <cell r="A69">
            <v>161108</v>
          </cell>
          <cell r="B69">
            <v>68</v>
          </cell>
          <cell r="C69" t="str">
            <v>광주</v>
          </cell>
          <cell r="D69" t="str">
            <v>도산</v>
          </cell>
          <cell r="E69">
            <v>770893</v>
          </cell>
        </row>
        <row r="70">
          <cell r="A70">
            <v>188100</v>
          </cell>
          <cell r="B70">
            <v>69</v>
          </cell>
          <cell r="C70" t="str">
            <v>부산경남</v>
          </cell>
          <cell r="D70" t="str">
            <v>본소</v>
          </cell>
          <cell r="E70">
            <v>767645</v>
          </cell>
        </row>
        <row r="71">
          <cell r="A71">
            <v>162300</v>
          </cell>
          <cell r="B71">
            <v>70</v>
          </cell>
          <cell r="C71" t="str">
            <v>영암</v>
          </cell>
          <cell r="D71" t="str">
            <v>본소</v>
          </cell>
          <cell r="E71">
            <v>763947</v>
          </cell>
        </row>
        <row r="72">
          <cell r="A72">
            <v>158102</v>
          </cell>
          <cell r="B72">
            <v>71</v>
          </cell>
          <cell r="C72" t="str">
            <v>전북양계</v>
          </cell>
          <cell r="D72" t="str">
            <v>서학</v>
          </cell>
          <cell r="E72">
            <v>761260</v>
          </cell>
        </row>
        <row r="73">
          <cell r="A73">
            <v>131201</v>
          </cell>
          <cell r="B73">
            <v>72</v>
          </cell>
          <cell r="C73" t="str">
            <v>음성</v>
          </cell>
          <cell r="D73" t="str">
            <v>금왕</v>
          </cell>
          <cell r="E73">
            <v>741019</v>
          </cell>
        </row>
        <row r="74">
          <cell r="A74">
            <v>172200</v>
          </cell>
          <cell r="B74">
            <v>73</v>
          </cell>
          <cell r="C74" t="str">
            <v>상주</v>
          </cell>
          <cell r="D74" t="str">
            <v>본소</v>
          </cell>
          <cell r="E74">
            <v>740132</v>
          </cell>
        </row>
        <row r="75">
          <cell r="A75">
            <v>182900</v>
          </cell>
          <cell r="B75">
            <v>74</v>
          </cell>
          <cell r="C75" t="str">
            <v>사천</v>
          </cell>
          <cell r="D75" t="str">
            <v>본소</v>
          </cell>
          <cell r="E75">
            <v>734104</v>
          </cell>
        </row>
        <row r="76">
          <cell r="A76">
            <v>162700</v>
          </cell>
          <cell r="B76">
            <v>75</v>
          </cell>
          <cell r="C76" t="str">
            <v>함평</v>
          </cell>
          <cell r="D76" t="str">
            <v>본소</v>
          </cell>
          <cell r="E76">
            <v>723934</v>
          </cell>
        </row>
        <row r="77">
          <cell r="A77">
            <v>171901</v>
          </cell>
          <cell r="B77">
            <v>76</v>
          </cell>
          <cell r="C77" t="str">
            <v>경산</v>
          </cell>
          <cell r="D77" t="str">
            <v>반야월</v>
          </cell>
          <cell r="E77">
            <v>720158</v>
          </cell>
        </row>
        <row r="78">
          <cell r="A78">
            <v>161402</v>
          </cell>
          <cell r="B78">
            <v>77</v>
          </cell>
          <cell r="C78" t="str">
            <v>순천</v>
          </cell>
          <cell r="D78" t="str">
            <v>남순천</v>
          </cell>
          <cell r="E78">
            <v>715229</v>
          </cell>
        </row>
        <row r="79">
          <cell r="A79">
            <v>163201</v>
          </cell>
          <cell r="B79">
            <v>78</v>
          </cell>
          <cell r="C79" t="str">
            <v>화순</v>
          </cell>
          <cell r="D79" t="str">
            <v>능주</v>
          </cell>
          <cell r="E79">
            <v>706723</v>
          </cell>
        </row>
        <row r="80">
          <cell r="A80">
            <v>178200</v>
          </cell>
          <cell r="B80">
            <v>79</v>
          </cell>
          <cell r="C80" t="str">
            <v>대구경북양계</v>
          </cell>
          <cell r="D80" t="str">
            <v>본소</v>
          </cell>
          <cell r="E80">
            <v>653946</v>
          </cell>
        </row>
        <row r="81">
          <cell r="A81">
            <v>121200</v>
          </cell>
          <cell r="B81">
            <v>80</v>
          </cell>
          <cell r="C81" t="str">
            <v>원주</v>
          </cell>
          <cell r="D81" t="str">
            <v>본소</v>
          </cell>
          <cell r="E81">
            <v>649704</v>
          </cell>
        </row>
        <row r="82">
          <cell r="A82">
            <v>161301</v>
          </cell>
          <cell r="B82">
            <v>81</v>
          </cell>
          <cell r="C82" t="str">
            <v>여수여천</v>
          </cell>
          <cell r="D82" t="str">
            <v>여천</v>
          </cell>
          <cell r="E82">
            <v>622538</v>
          </cell>
        </row>
        <row r="83">
          <cell r="A83">
            <v>142500</v>
          </cell>
          <cell r="B83">
            <v>82</v>
          </cell>
          <cell r="C83" t="str">
            <v>천안</v>
          </cell>
          <cell r="D83" t="str">
            <v>본소</v>
          </cell>
          <cell r="E83">
            <v>598070</v>
          </cell>
        </row>
        <row r="84">
          <cell r="A84">
            <v>131103</v>
          </cell>
          <cell r="B84">
            <v>83</v>
          </cell>
          <cell r="C84" t="str">
            <v>청주</v>
          </cell>
          <cell r="D84" t="str">
            <v>가경</v>
          </cell>
          <cell r="E84">
            <v>582128</v>
          </cell>
        </row>
        <row r="85">
          <cell r="A85">
            <v>188104</v>
          </cell>
          <cell r="B85">
            <v>84</v>
          </cell>
          <cell r="C85" t="str">
            <v>부산경남양계</v>
          </cell>
          <cell r="D85" t="str">
            <v>대연</v>
          </cell>
          <cell r="E85">
            <v>570736</v>
          </cell>
        </row>
        <row r="86">
          <cell r="A86">
            <v>162801</v>
          </cell>
          <cell r="B86">
            <v>85</v>
          </cell>
          <cell r="C86" t="str">
            <v>곡성</v>
          </cell>
          <cell r="D86" t="str">
            <v>옥과</v>
          </cell>
          <cell r="E86">
            <v>559453</v>
          </cell>
        </row>
        <row r="87">
          <cell r="A87">
            <v>182001</v>
          </cell>
          <cell r="B87">
            <v>86</v>
          </cell>
          <cell r="C87" t="str">
            <v>의령</v>
          </cell>
          <cell r="D87" t="str">
            <v>신반</v>
          </cell>
          <cell r="E87">
            <v>555978</v>
          </cell>
        </row>
        <row r="88">
          <cell r="A88">
            <v>168102</v>
          </cell>
          <cell r="B88">
            <v>87</v>
          </cell>
          <cell r="C88" t="str">
            <v>광전우유</v>
          </cell>
          <cell r="D88" t="str">
            <v>서광</v>
          </cell>
          <cell r="E88">
            <v>554201</v>
          </cell>
        </row>
        <row r="89">
          <cell r="A89">
            <v>168103</v>
          </cell>
          <cell r="B89">
            <v>88</v>
          </cell>
          <cell r="C89" t="str">
            <v>광전우유</v>
          </cell>
          <cell r="D89" t="str">
            <v>쌍촌</v>
          </cell>
          <cell r="E89">
            <v>535046</v>
          </cell>
        </row>
        <row r="90">
          <cell r="A90">
            <v>181201</v>
          </cell>
          <cell r="B90">
            <v>89</v>
          </cell>
          <cell r="C90" t="str">
            <v>거창</v>
          </cell>
          <cell r="D90" t="str">
            <v>종합</v>
          </cell>
          <cell r="E90">
            <v>515606</v>
          </cell>
        </row>
        <row r="91">
          <cell r="A91">
            <v>171902</v>
          </cell>
          <cell r="B91">
            <v>90</v>
          </cell>
          <cell r="C91" t="str">
            <v>경산</v>
          </cell>
          <cell r="D91" t="str">
            <v>계양</v>
          </cell>
          <cell r="E91">
            <v>507073</v>
          </cell>
        </row>
        <row r="92">
          <cell r="A92">
            <v>161901</v>
          </cell>
          <cell r="B92">
            <v>91</v>
          </cell>
          <cell r="C92" t="str">
            <v>목포</v>
          </cell>
          <cell r="D92" t="str">
            <v>용해</v>
          </cell>
          <cell r="E92">
            <v>497156</v>
          </cell>
        </row>
        <row r="93">
          <cell r="A93">
            <v>142402</v>
          </cell>
          <cell r="B93">
            <v>92</v>
          </cell>
          <cell r="C93" t="str">
            <v>아산</v>
          </cell>
          <cell r="D93" t="str">
            <v>둔포</v>
          </cell>
          <cell r="E93">
            <v>472488</v>
          </cell>
        </row>
        <row r="94">
          <cell r="A94">
            <v>168400</v>
          </cell>
          <cell r="B94">
            <v>93</v>
          </cell>
          <cell r="C94" t="str">
            <v>진도견보육</v>
          </cell>
          <cell r="D94" t="str">
            <v>본소</v>
          </cell>
          <cell r="E94">
            <v>449566</v>
          </cell>
        </row>
        <row r="95">
          <cell r="A95">
            <v>163101</v>
          </cell>
          <cell r="B95">
            <v>94</v>
          </cell>
          <cell r="C95" t="str">
            <v>진도</v>
          </cell>
          <cell r="D95" t="str">
            <v>임회</v>
          </cell>
          <cell r="E95">
            <v>444543</v>
          </cell>
        </row>
        <row r="96">
          <cell r="A96">
            <v>142400</v>
          </cell>
          <cell r="B96">
            <v>95</v>
          </cell>
          <cell r="C96" t="str">
            <v>아산</v>
          </cell>
          <cell r="D96" t="str">
            <v>본소</v>
          </cell>
          <cell r="E96">
            <v>443467</v>
          </cell>
        </row>
        <row r="97">
          <cell r="A97">
            <v>161300</v>
          </cell>
          <cell r="B97">
            <v>96</v>
          </cell>
          <cell r="C97" t="str">
            <v>여수여천</v>
          </cell>
          <cell r="D97" t="str">
            <v>본소</v>
          </cell>
          <cell r="E97">
            <v>430517</v>
          </cell>
        </row>
        <row r="98">
          <cell r="A98">
            <v>181903</v>
          </cell>
          <cell r="B98">
            <v>97</v>
          </cell>
          <cell r="C98" t="str">
            <v>마산</v>
          </cell>
          <cell r="D98" t="str">
            <v>신마산</v>
          </cell>
          <cell r="E98">
            <v>429481</v>
          </cell>
        </row>
        <row r="99">
          <cell r="A99">
            <v>121803</v>
          </cell>
          <cell r="B99">
            <v>98</v>
          </cell>
          <cell r="C99" t="str">
            <v>삼척</v>
          </cell>
          <cell r="D99" t="str">
            <v>도계</v>
          </cell>
          <cell r="E99">
            <v>413085</v>
          </cell>
        </row>
        <row r="100">
          <cell r="A100">
            <v>171107</v>
          </cell>
          <cell r="B100">
            <v>99</v>
          </cell>
          <cell r="C100" t="str">
            <v>대구</v>
          </cell>
          <cell r="D100" t="str">
            <v>명동로</v>
          </cell>
          <cell r="E100">
            <v>403028</v>
          </cell>
        </row>
        <row r="101">
          <cell r="A101">
            <v>182800</v>
          </cell>
          <cell r="B101">
            <v>100</v>
          </cell>
          <cell r="C101" t="str">
            <v>합천</v>
          </cell>
          <cell r="D101" t="str">
            <v>본소</v>
          </cell>
          <cell r="E101">
            <v>392130</v>
          </cell>
        </row>
        <row r="102">
          <cell r="A102">
            <v>181602</v>
          </cell>
          <cell r="B102">
            <v>101</v>
          </cell>
          <cell r="C102" t="str">
            <v>밀양</v>
          </cell>
          <cell r="D102" t="str">
            <v>신무안</v>
          </cell>
          <cell r="E102">
            <v>389366</v>
          </cell>
        </row>
        <row r="103">
          <cell r="A103">
            <v>121601</v>
          </cell>
          <cell r="B103">
            <v>102</v>
          </cell>
          <cell r="C103" t="str">
            <v>태백</v>
          </cell>
          <cell r="D103" t="str">
            <v>장성</v>
          </cell>
          <cell r="E103">
            <v>387626</v>
          </cell>
        </row>
        <row r="104">
          <cell r="A104">
            <v>141100</v>
          </cell>
          <cell r="B104">
            <v>103</v>
          </cell>
          <cell r="C104" t="str">
            <v>대전</v>
          </cell>
          <cell r="D104" t="str">
            <v>본소</v>
          </cell>
          <cell r="E104">
            <v>364716</v>
          </cell>
        </row>
        <row r="105">
          <cell r="A105">
            <v>152101</v>
          </cell>
          <cell r="B105">
            <v>104</v>
          </cell>
          <cell r="C105" t="str">
            <v>군산</v>
          </cell>
          <cell r="D105" t="str">
            <v>신영</v>
          </cell>
          <cell r="E105">
            <v>357776</v>
          </cell>
        </row>
        <row r="106">
          <cell r="A106">
            <v>162800</v>
          </cell>
          <cell r="B106">
            <v>105</v>
          </cell>
          <cell r="C106" t="str">
            <v>곡성</v>
          </cell>
          <cell r="D106" t="str">
            <v>본소</v>
          </cell>
          <cell r="E106">
            <v>340384</v>
          </cell>
        </row>
        <row r="107">
          <cell r="A107">
            <v>171301</v>
          </cell>
          <cell r="B107">
            <v>106</v>
          </cell>
          <cell r="C107" t="str">
            <v>경주</v>
          </cell>
          <cell r="D107" t="str">
            <v>안강</v>
          </cell>
          <cell r="E107">
            <v>313236</v>
          </cell>
        </row>
        <row r="108">
          <cell r="A108">
            <v>100084</v>
          </cell>
          <cell r="B108">
            <v>107</v>
          </cell>
          <cell r="C108" t="str">
            <v>축산유통</v>
          </cell>
          <cell r="D108" t="str">
            <v>광주</v>
          </cell>
          <cell r="E108">
            <v>297538</v>
          </cell>
        </row>
        <row r="109">
          <cell r="A109">
            <v>168100</v>
          </cell>
          <cell r="B109">
            <v>108</v>
          </cell>
          <cell r="C109" t="str">
            <v>광전우유</v>
          </cell>
          <cell r="D109" t="str">
            <v>본소</v>
          </cell>
          <cell r="E109">
            <v>264017</v>
          </cell>
        </row>
        <row r="110">
          <cell r="A110">
            <v>171501</v>
          </cell>
          <cell r="B110">
            <v>109</v>
          </cell>
          <cell r="C110" t="str">
            <v>안동</v>
          </cell>
          <cell r="D110" t="str">
            <v>풍산</v>
          </cell>
          <cell r="E110">
            <v>256111</v>
          </cell>
        </row>
        <row r="111">
          <cell r="A111">
            <v>178102</v>
          </cell>
          <cell r="B111">
            <v>110</v>
          </cell>
          <cell r="C111" t="str">
            <v>대구경북우유</v>
          </cell>
          <cell r="D111" t="str">
            <v>남대구</v>
          </cell>
          <cell r="E111">
            <v>251321</v>
          </cell>
        </row>
        <row r="112">
          <cell r="A112">
            <v>161105</v>
          </cell>
          <cell r="B112">
            <v>111</v>
          </cell>
          <cell r="C112" t="str">
            <v>광주</v>
          </cell>
          <cell r="D112" t="str">
            <v>장동</v>
          </cell>
          <cell r="E112">
            <v>239448</v>
          </cell>
        </row>
        <row r="113">
          <cell r="A113">
            <v>141200</v>
          </cell>
          <cell r="B113">
            <v>112</v>
          </cell>
          <cell r="C113" t="str">
            <v>금산</v>
          </cell>
          <cell r="D113" t="str">
            <v>본소</v>
          </cell>
          <cell r="E113">
            <v>229996</v>
          </cell>
        </row>
        <row r="114">
          <cell r="A114">
            <v>161501</v>
          </cell>
          <cell r="B114">
            <v>113</v>
          </cell>
          <cell r="C114" t="str">
            <v>구례</v>
          </cell>
          <cell r="D114" t="str">
            <v>봉동</v>
          </cell>
          <cell r="E114">
            <v>212990</v>
          </cell>
        </row>
        <row r="115">
          <cell r="A115">
            <v>191102</v>
          </cell>
          <cell r="B115">
            <v>114</v>
          </cell>
          <cell r="C115" t="str">
            <v>제주</v>
          </cell>
          <cell r="D115" t="str">
            <v>동문</v>
          </cell>
          <cell r="E115">
            <v>201256</v>
          </cell>
        </row>
        <row r="116">
          <cell r="A116">
            <v>171201</v>
          </cell>
          <cell r="B116">
            <v>115</v>
          </cell>
          <cell r="C116" t="str">
            <v>포항</v>
          </cell>
          <cell r="D116" t="str">
            <v>해도</v>
          </cell>
          <cell r="E116">
            <v>175230</v>
          </cell>
        </row>
        <row r="117">
          <cell r="A117">
            <v>168302</v>
          </cell>
          <cell r="B117">
            <v>116</v>
          </cell>
          <cell r="C117" t="str">
            <v>광전양계</v>
          </cell>
          <cell r="D117" t="str">
            <v>신용해</v>
          </cell>
          <cell r="E117">
            <v>173052</v>
          </cell>
        </row>
        <row r="118">
          <cell r="A118">
            <v>152004</v>
          </cell>
          <cell r="B118">
            <v>117</v>
          </cell>
          <cell r="C118" t="str">
            <v>익산</v>
          </cell>
          <cell r="D118" t="str">
            <v>인화</v>
          </cell>
          <cell r="E118">
            <v>169852</v>
          </cell>
        </row>
        <row r="119">
          <cell r="A119">
            <v>161102</v>
          </cell>
          <cell r="B119">
            <v>118</v>
          </cell>
          <cell r="C119" t="str">
            <v>광주</v>
          </cell>
          <cell r="D119" t="str">
            <v>화정</v>
          </cell>
          <cell r="E119">
            <v>163797</v>
          </cell>
        </row>
        <row r="120">
          <cell r="A120">
            <v>131101</v>
          </cell>
          <cell r="B120">
            <v>119</v>
          </cell>
          <cell r="C120" t="str">
            <v>청주</v>
          </cell>
          <cell r="D120" t="str">
            <v>사창</v>
          </cell>
          <cell r="E120">
            <v>161097</v>
          </cell>
        </row>
        <row r="121">
          <cell r="A121">
            <v>162600</v>
          </cell>
          <cell r="B121">
            <v>120</v>
          </cell>
          <cell r="C121" t="str">
            <v>보성</v>
          </cell>
          <cell r="D121" t="str">
            <v>본소</v>
          </cell>
          <cell r="E121">
            <v>160472</v>
          </cell>
        </row>
        <row r="122">
          <cell r="A122">
            <v>171203</v>
          </cell>
          <cell r="B122">
            <v>121</v>
          </cell>
          <cell r="C122" t="str">
            <v>포항</v>
          </cell>
          <cell r="D122" t="str">
            <v>송도</v>
          </cell>
          <cell r="E122">
            <v>136620</v>
          </cell>
        </row>
        <row r="123">
          <cell r="A123">
            <v>181601</v>
          </cell>
          <cell r="B123">
            <v>122</v>
          </cell>
          <cell r="C123" t="str">
            <v>밀양</v>
          </cell>
          <cell r="D123" t="str">
            <v>삼량진</v>
          </cell>
          <cell r="E123">
            <v>132066</v>
          </cell>
        </row>
        <row r="124">
          <cell r="A124">
            <v>161104</v>
          </cell>
          <cell r="B124">
            <v>123</v>
          </cell>
          <cell r="C124" t="str">
            <v>광주</v>
          </cell>
          <cell r="D124" t="str">
            <v>광산</v>
          </cell>
          <cell r="E124">
            <v>118522</v>
          </cell>
        </row>
        <row r="125">
          <cell r="A125">
            <v>142401</v>
          </cell>
          <cell r="B125">
            <v>124</v>
          </cell>
          <cell r="C125" t="str">
            <v>아산</v>
          </cell>
          <cell r="D125" t="str">
            <v>온천</v>
          </cell>
          <cell r="E125">
            <v>110814</v>
          </cell>
        </row>
        <row r="126">
          <cell r="A126">
            <v>162301</v>
          </cell>
          <cell r="B126">
            <v>125</v>
          </cell>
          <cell r="C126" t="str">
            <v>영암</v>
          </cell>
          <cell r="D126" t="str">
            <v>시종</v>
          </cell>
          <cell r="E126">
            <v>88946</v>
          </cell>
        </row>
        <row r="127">
          <cell r="E127">
            <v>148519124</v>
          </cell>
        </row>
      </sheetData>
      <sheetData sheetId="8" refreshError="1">
        <row r="1">
          <cell r="A1" t="str">
            <v>CODE</v>
          </cell>
          <cell r="B1" t="str">
            <v>No.</v>
          </cell>
          <cell r="C1" t="str">
            <v>조합명</v>
          </cell>
          <cell r="D1" t="str">
            <v>판매장명</v>
          </cell>
          <cell r="E1" t="str">
            <v>매출액</v>
          </cell>
          <cell r="F1" t="str">
            <v>월</v>
          </cell>
        </row>
        <row r="2">
          <cell r="A2">
            <v>188128</v>
          </cell>
          <cell r="B2">
            <v>1</v>
          </cell>
          <cell r="C2" t="str">
            <v>부산경남양계</v>
          </cell>
          <cell r="D2" t="str">
            <v>명장</v>
          </cell>
          <cell r="E2">
            <v>7601996</v>
          </cell>
        </row>
        <row r="3">
          <cell r="A3">
            <v>128402</v>
          </cell>
          <cell r="B3">
            <v>2</v>
          </cell>
          <cell r="C3" t="str">
            <v>영동양돈</v>
          </cell>
          <cell r="D3" t="str">
            <v>송정</v>
          </cell>
          <cell r="E3">
            <v>6901122</v>
          </cell>
        </row>
        <row r="4">
          <cell r="A4">
            <v>131400</v>
          </cell>
          <cell r="B4">
            <v>3</v>
          </cell>
          <cell r="C4" t="str">
            <v>충주</v>
          </cell>
          <cell r="D4" t="str">
            <v>문화</v>
          </cell>
          <cell r="E4">
            <v>6603735</v>
          </cell>
        </row>
        <row r="5">
          <cell r="A5">
            <v>171803</v>
          </cell>
          <cell r="B5">
            <v>4</v>
          </cell>
          <cell r="C5" t="str">
            <v>영천</v>
          </cell>
          <cell r="D5" t="str">
            <v>영남</v>
          </cell>
          <cell r="E5">
            <v>6066449</v>
          </cell>
        </row>
        <row r="6">
          <cell r="A6">
            <v>141400</v>
          </cell>
          <cell r="B6">
            <v>5</v>
          </cell>
          <cell r="C6" t="str">
            <v>부여</v>
          </cell>
          <cell r="D6" t="str">
            <v>본소</v>
          </cell>
          <cell r="E6">
            <v>5879386</v>
          </cell>
        </row>
        <row r="7">
          <cell r="A7">
            <v>182100</v>
          </cell>
          <cell r="B7">
            <v>6</v>
          </cell>
          <cell r="C7" t="str">
            <v>김해</v>
          </cell>
          <cell r="D7" t="str">
            <v>본소</v>
          </cell>
          <cell r="E7">
            <v>5634470</v>
          </cell>
        </row>
        <row r="8">
          <cell r="A8">
            <v>161900</v>
          </cell>
          <cell r="B8">
            <v>7</v>
          </cell>
          <cell r="C8" t="str">
            <v>목포</v>
          </cell>
          <cell r="D8" t="str">
            <v>본소</v>
          </cell>
          <cell r="E8">
            <v>5543817</v>
          </cell>
        </row>
        <row r="9">
          <cell r="A9">
            <v>158100</v>
          </cell>
          <cell r="B9">
            <v>8</v>
          </cell>
          <cell r="C9" t="str">
            <v>전북양계</v>
          </cell>
          <cell r="D9" t="str">
            <v>본소</v>
          </cell>
          <cell r="E9">
            <v>5256574</v>
          </cell>
        </row>
        <row r="10">
          <cell r="A10">
            <v>142200</v>
          </cell>
          <cell r="B10">
            <v>9</v>
          </cell>
          <cell r="C10" t="str">
            <v>당진</v>
          </cell>
          <cell r="D10" t="str">
            <v>본소</v>
          </cell>
          <cell r="E10">
            <v>5229112</v>
          </cell>
        </row>
        <row r="11">
          <cell r="A11">
            <v>148300</v>
          </cell>
          <cell r="B11">
            <v>10</v>
          </cell>
          <cell r="C11" t="str">
            <v>백제낙농</v>
          </cell>
          <cell r="D11" t="str">
            <v>본소</v>
          </cell>
          <cell r="E11">
            <v>5182256</v>
          </cell>
        </row>
        <row r="12">
          <cell r="A12">
            <v>121701</v>
          </cell>
          <cell r="B12">
            <v>11</v>
          </cell>
          <cell r="C12" t="str">
            <v>속초</v>
          </cell>
          <cell r="D12" t="str">
            <v>교동</v>
          </cell>
          <cell r="E12">
            <v>5080973</v>
          </cell>
        </row>
        <row r="13">
          <cell r="A13">
            <v>182501</v>
          </cell>
          <cell r="B13">
            <v>12</v>
          </cell>
          <cell r="C13" t="str">
            <v>남해</v>
          </cell>
          <cell r="D13" t="str">
            <v>본소</v>
          </cell>
          <cell r="E13">
            <v>5070949</v>
          </cell>
        </row>
        <row r="14">
          <cell r="A14">
            <v>188124</v>
          </cell>
          <cell r="B14">
            <v>13</v>
          </cell>
          <cell r="C14" t="str">
            <v>부산경남양계</v>
          </cell>
          <cell r="D14" t="str">
            <v>서동점</v>
          </cell>
          <cell r="E14">
            <v>5027307</v>
          </cell>
        </row>
        <row r="15">
          <cell r="A15">
            <v>181402</v>
          </cell>
          <cell r="B15">
            <v>14</v>
          </cell>
          <cell r="C15" t="str">
            <v>부산</v>
          </cell>
          <cell r="D15" t="str">
            <v>미남</v>
          </cell>
          <cell r="E15">
            <v>4899578</v>
          </cell>
        </row>
        <row r="16">
          <cell r="A16">
            <v>128403</v>
          </cell>
          <cell r="B16">
            <v>15</v>
          </cell>
          <cell r="C16" t="str">
            <v>영동양돈</v>
          </cell>
          <cell r="D16" t="str">
            <v>성덕</v>
          </cell>
          <cell r="E16">
            <v>4837449</v>
          </cell>
        </row>
        <row r="17">
          <cell r="A17">
            <v>131401</v>
          </cell>
          <cell r="B17">
            <v>16</v>
          </cell>
          <cell r="C17" t="str">
            <v>충주</v>
          </cell>
          <cell r="D17" t="str">
            <v>본소</v>
          </cell>
          <cell r="E17">
            <v>4610543</v>
          </cell>
        </row>
        <row r="18">
          <cell r="A18">
            <v>182200</v>
          </cell>
          <cell r="B18">
            <v>17</v>
          </cell>
          <cell r="C18" t="str">
            <v>거제</v>
          </cell>
          <cell r="D18" t="str">
            <v>본소</v>
          </cell>
          <cell r="E18">
            <v>4380972</v>
          </cell>
        </row>
        <row r="19">
          <cell r="A19">
            <v>142300</v>
          </cell>
          <cell r="B19">
            <v>18</v>
          </cell>
          <cell r="C19" t="str">
            <v>서산</v>
          </cell>
          <cell r="D19" t="str">
            <v>본소</v>
          </cell>
          <cell r="E19">
            <v>4351655</v>
          </cell>
        </row>
        <row r="20">
          <cell r="A20">
            <v>122201</v>
          </cell>
          <cell r="B20">
            <v>19</v>
          </cell>
          <cell r="C20" t="str">
            <v>양구</v>
          </cell>
          <cell r="D20" t="str">
            <v>상리</v>
          </cell>
          <cell r="E20">
            <v>4239632</v>
          </cell>
        </row>
        <row r="21">
          <cell r="A21">
            <v>112500</v>
          </cell>
          <cell r="B21">
            <v>20</v>
          </cell>
          <cell r="C21" t="str">
            <v>여주</v>
          </cell>
          <cell r="D21" t="str">
            <v>본소</v>
          </cell>
          <cell r="E21">
            <v>4232911</v>
          </cell>
        </row>
        <row r="22">
          <cell r="A22">
            <v>128400</v>
          </cell>
          <cell r="B22">
            <v>21</v>
          </cell>
          <cell r="C22" t="str">
            <v>영동양돈</v>
          </cell>
          <cell r="D22" t="str">
            <v>본소</v>
          </cell>
          <cell r="E22">
            <v>3892998</v>
          </cell>
        </row>
        <row r="23">
          <cell r="A23">
            <v>122101</v>
          </cell>
          <cell r="B23">
            <v>22</v>
          </cell>
          <cell r="C23" t="str">
            <v>동해</v>
          </cell>
          <cell r="D23" t="str">
            <v>천곡</v>
          </cell>
          <cell r="E23">
            <v>3847669</v>
          </cell>
        </row>
        <row r="24">
          <cell r="A24">
            <v>178401</v>
          </cell>
          <cell r="B24">
            <v>23</v>
          </cell>
          <cell r="C24" t="str">
            <v>경북중앙</v>
          </cell>
          <cell r="D24" t="str">
            <v>정평</v>
          </cell>
          <cell r="E24">
            <v>3745311</v>
          </cell>
        </row>
        <row r="25">
          <cell r="A25">
            <v>171800</v>
          </cell>
          <cell r="B25">
            <v>24</v>
          </cell>
          <cell r="C25" t="str">
            <v>영천</v>
          </cell>
          <cell r="D25" t="str">
            <v>본소</v>
          </cell>
          <cell r="E25">
            <v>3684484</v>
          </cell>
        </row>
        <row r="26">
          <cell r="A26">
            <v>121800</v>
          </cell>
          <cell r="B26">
            <v>25</v>
          </cell>
          <cell r="C26" t="str">
            <v>삼척</v>
          </cell>
          <cell r="D26" t="str">
            <v>본소</v>
          </cell>
          <cell r="E26">
            <v>3679816</v>
          </cell>
        </row>
        <row r="27">
          <cell r="A27">
            <v>131200</v>
          </cell>
          <cell r="B27">
            <v>26</v>
          </cell>
          <cell r="C27" t="str">
            <v>음성</v>
          </cell>
          <cell r="D27" t="str">
            <v>본소</v>
          </cell>
          <cell r="E27">
            <v>3660055</v>
          </cell>
        </row>
        <row r="28">
          <cell r="A28">
            <v>182101</v>
          </cell>
          <cell r="B28">
            <v>27</v>
          </cell>
          <cell r="C28" t="str">
            <v>김해</v>
          </cell>
          <cell r="D28" t="str">
            <v>내외동</v>
          </cell>
          <cell r="E28">
            <v>3627592</v>
          </cell>
        </row>
        <row r="29">
          <cell r="A29">
            <v>182400</v>
          </cell>
          <cell r="B29">
            <v>28</v>
          </cell>
          <cell r="C29" t="str">
            <v>함안</v>
          </cell>
          <cell r="D29" t="str">
            <v>본소</v>
          </cell>
          <cell r="E29">
            <v>3588566</v>
          </cell>
        </row>
        <row r="30">
          <cell r="A30">
            <v>162900</v>
          </cell>
          <cell r="B30">
            <v>29</v>
          </cell>
          <cell r="C30" t="str">
            <v>완도</v>
          </cell>
          <cell r="D30" t="str">
            <v>본소</v>
          </cell>
          <cell r="E30">
            <v>3387340</v>
          </cell>
        </row>
        <row r="31">
          <cell r="A31">
            <v>142600</v>
          </cell>
          <cell r="B31">
            <v>30</v>
          </cell>
          <cell r="C31" t="str">
            <v>청양</v>
          </cell>
          <cell r="D31" t="str">
            <v>본소</v>
          </cell>
          <cell r="E31">
            <v>3294527</v>
          </cell>
        </row>
        <row r="32">
          <cell r="A32">
            <v>122103</v>
          </cell>
          <cell r="B32">
            <v>31</v>
          </cell>
          <cell r="C32" t="str">
            <v>동해</v>
          </cell>
          <cell r="D32" t="str">
            <v>북삼</v>
          </cell>
          <cell r="E32">
            <v>3195537</v>
          </cell>
        </row>
        <row r="33">
          <cell r="A33">
            <v>181403</v>
          </cell>
          <cell r="B33">
            <v>32</v>
          </cell>
          <cell r="C33" t="str">
            <v>부산</v>
          </cell>
          <cell r="D33" t="str">
            <v>영도</v>
          </cell>
          <cell r="E33">
            <v>3187091</v>
          </cell>
        </row>
        <row r="34">
          <cell r="A34">
            <v>131900</v>
          </cell>
          <cell r="B34">
            <v>33</v>
          </cell>
          <cell r="C34" t="str">
            <v>옥천</v>
          </cell>
          <cell r="D34" t="str">
            <v>본소</v>
          </cell>
          <cell r="E34">
            <v>3182394</v>
          </cell>
        </row>
        <row r="35">
          <cell r="A35">
            <v>171802</v>
          </cell>
          <cell r="B35">
            <v>34</v>
          </cell>
          <cell r="C35" t="str">
            <v>영천</v>
          </cell>
          <cell r="D35" t="str">
            <v>서문</v>
          </cell>
          <cell r="E35">
            <v>3105024</v>
          </cell>
        </row>
        <row r="36">
          <cell r="A36">
            <v>171100</v>
          </cell>
          <cell r="B36">
            <v>35</v>
          </cell>
          <cell r="C36" t="str">
            <v>대구</v>
          </cell>
          <cell r="D36" t="str">
            <v>본소</v>
          </cell>
          <cell r="E36">
            <v>3057155</v>
          </cell>
        </row>
        <row r="37">
          <cell r="A37">
            <v>181100</v>
          </cell>
          <cell r="B37">
            <v>36</v>
          </cell>
          <cell r="C37" t="str">
            <v>창녕</v>
          </cell>
          <cell r="D37" t="str">
            <v>본소</v>
          </cell>
          <cell r="E37">
            <v>3041373</v>
          </cell>
        </row>
        <row r="38">
          <cell r="A38">
            <v>152102</v>
          </cell>
          <cell r="B38">
            <v>37</v>
          </cell>
          <cell r="C38" t="str">
            <v>군산</v>
          </cell>
          <cell r="D38" t="str">
            <v>나운</v>
          </cell>
          <cell r="E38">
            <v>3011662</v>
          </cell>
        </row>
        <row r="39">
          <cell r="A39">
            <v>162302</v>
          </cell>
          <cell r="B39">
            <v>38</v>
          </cell>
          <cell r="C39" t="str">
            <v>영암</v>
          </cell>
          <cell r="D39" t="str">
            <v>한라</v>
          </cell>
          <cell r="E39">
            <v>2958147</v>
          </cell>
        </row>
        <row r="40">
          <cell r="A40">
            <v>161405</v>
          </cell>
          <cell r="B40">
            <v>39</v>
          </cell>
          <cell r="C40" t="str">
            <v>순천</v>
          </cell>
          <cell r="D40" t="str">
            <v>연향</v>
          </cell>
          <cell r="E40">
            <v>2949370</v>
          </cell>
        </row>
        <row r="41">
          <cell r="A41">
            <v>172700</v>
          </cell>
          <cell r="B41">
            <v>40</v>
          </cell>
          <cell r="C41" t="str">
            <v>고령</v>
          </cell>
          <cell r="D41" t="str">
            <v>본소</v>
          </cell>
          <cell r="E41">
            <v>2935187</v>
          </cell>
        </row>
        <row r="42">
          <cell r="A42">
            <v>151200</v>
          </cell>
          <cell r="B42">
            <v>41</v>
          </cell>
          <cell r="C42" t="str">
            <v>무주</v>
          </cell>
          <cell r="D42" t="str">
            <v>본소</v>
          </cell>
          <cell r="E42">
            <v>2927007</v>
          </cell>
        </row>
        <row r="43">
          <cell r="A43">
            <v>122300</v>
          </cell>
          <cell r="B43">
            <v>42</v>
          </cell>
          <cell r="C43" t="str">
            <v>양양</v>
          </cell>
          <cell r="D43" t="str">
            <v>본소</v>
          </cell>
          <cell r="E43">
            <v>2795733</v>
          </cell>
        </row>
        <row r="44">
          <cell r="A44">
            <v>128201</v>
          </cell>
          <cell r="B44">
            <v>43</v>
          </cell>
          <cell r="C44" t="str">
            <v>강원낙농</v>
          </cell>
          <cell r="D44" t="str">
            <v>홍천</v>
          </cell>
          <cell r="E44">
            <v>2668386</v>
          </cell>
        </row>
        <row r="45">
          <cell r="A45">
            <v>148100</v>
          </cell>
          <cell r="B45">
            <v>44</v>
          </cell>
          <cell r="C45" t="str">
            <v>공주낙농</v>
          </cell>
          <cell r="D45" t="str">
            <v>본소</v>
          </cell>
          <cell r="E45">
            <v>2621572</v>
          </cell>
        </row>
        <row r="46">
          <cell r="A46">
            <v>171502</v>
          </cell>
          <cell r="B46">
            <v>45</v>
          </cell>
          <cell r="C46" t="str">
            <v>안동</v>
          </cell>
          <cell r="D46" t="str">
            <v>송현</v>
          </cell>
          <cell r="E46">
            <v>2596824</v>
          </cell>
        </row>
        <row r="47">
          <cell r="A47">
            <v>121700</v>
          </cell>
          <cell r="B47">
            <v>46</v>
          </cell>
          <cell r="C47" t="str">
            <v>속초</v>
          </cell>
          <cell r="D47" t="str">
            <v>본소</v>
          </cell>
          <cell r="E47">
            <v>2537914</v>
          </cell>
        </row>
        <row r="48">
          <cell r="A48">
            <v>171303</v>
          </cell>
          <cell r="B48">
            <v>47</v>
          </cell>
          <cell r="C48" t="str">
            <v>경주</v>
          </cell>
          <cell r="D48" t="str">
            <v>성동</v>
          </cell>
          <cell r="E48">
            <v>2295521</v>
          </cell>
        </row>
        <row r="49">
          <cell r="A49">
            <v>168400</v>
          </cell>
          <cell r="B49">
            <v>48</v>
          </cell>
          <cell r="C49" t="str">
            <v>진도견보육</v>
          </cell>
          <cell r="D49" t="str">
            <v>본소</v>
          </cell>
          <cell r="E49">
            <v>2282813</v>
          </cell>
        </row>
        <row r="50">
          <cell r="A50">
            <v>122102</v>
          </cell>
          <cell r="B50">
            <v>49</v>
          </cell>
          <cell r="C50" t="str">
            <v>동해</v>
          </cell>
          <cell r="D50" t="str">
            <v>묵호</v>
          </cell>
          <cell r="E50">
            <v>2210435</v>
          </cell>
        </row>
        <row r="51">
          <cell r="A51">
            <v>121900</v>
          </cell>
          <cell r="B51">
            <v>50</v>
          </cell>
          <cell r="C51" t="str">
            <v>평창</v>
          </cell>
          <cell r="D51" t="str">
            <v>본소</v>
          </cell>
          <cell r="E51">
            <v>2142776</v>
          </cell>
        </row>
        <row r="52">
          <cell r="A52">
            <v>161107</v>
          </cell>
          <cell r="B52">
            <v>51</v>
          </cell>
          <cell r="C52" t="str">
            <v>광주</v>
          </cell>
          <cell r="D52" t="str">
            <v>오치</v>
          </cell>
          <cell r="E52">
            <v>2118581</v>
          </cell>
        </row>
        <row r="53">
          <cell r="A53">
            <v>121901</v>
          </cell>
          <cell r="B53">
            <v>52</v>
          </cell>
          <cell r="C53" t="str">
            <v>평창</v>
          </cell>
          <cell r="D53" t="str">
            <v>대화</v>
          </cell>
          <cell r="E53">
            <v>2061329</v>
          </cell>
        </row>
        <row r="54">
          <cell r="A54">
            <v>171804</v>
          </cell>
          <cell r="B54">
            <v>53</v>
          </cell>
          <cell r="C54" t="str">
            <v>영천</v>
          </cell>
          <cell r="D54" t="str">
            <v>신령</v>
          </cell>
          <cell r="E54">
            <v>2050159</v>
          </cell>
        </row>
        <row r="55">
          <cell r="A55">
            <v>152300</v>
          </cell>
          <cell r="B55">
            <v>54</v>
          </cell>
          <cell r="C55" t="str">
            <v>부안</v>
          </cell>
          <cell r="D55" t="str">
            <v>본소</v>
          </cell>
          <cell r="E55">
            <v>2044497</v>
          </cell>
        </row>
        <row r="56">
          <cell r="A56">
            <v>182302</v>
          </cell>
          <cell r="B56">
            <v>55</v>
          </cell>
          <cell r="C56" t="str">
            <v>양산</v>
          </cell>
          <cell r="D56" t="str">
            <v>기장</v>
          </cell>
          <cell r="E56">
            <v>2027139</v>
          </cell>
        </row>
        <row r="57">
          <cell r="A57">
            <v>173300</v>
          </cell>
          <cell r="B57">
            <v>56</v>
          </cell>
          <cell r="C57" t="str">
            <v>영덕</v>
          </cell>
          <cell r="D57" t="str">
            <v>본소</v>
          </cell>
          <cell r="E57">
            <v>2022770</v>
          </cell>
        </row>
        <row r="58">
          <cell r="A58">
            <v>138103</v>
          </cell>
          <cell r="B58">
            <v>57</v>
          </cell>
          <cell r="C58" t="str">
            <v>청주우유</v>
          </cell>
          <cell r="D58" t="str">
            <v>수곡</v>
          </cell>
          <cell r="E58">
            <v>1984556</v>
          </cell>
        </row>
        <row r="59">
          <cell r="A59">
            <v>181905</v>
          </cell>
          <cell r="B59">
            <v>58</v>
          </cell>
          <cell r="C59" t="str">
            <v>마산</v>
          </cell>
          <cell r="D59" t="str">
            <v>대방</v>
          </cell>
          <cell r="E59">
            <v>1978455</v>
          </cell>
        </row>
        <row r="60">
          <cell r="A60">
            <v>151402</v>
          </cell>
          <cell r="B60">
            <v>59</v>
          </cell>
          <cell r="C60" t="str">
            <v>남원</v>
          </cell>
          <cell r="D60" t="str">
            <v>향교</v>
          </cell>
          <cell r="E60">
            <v>1967224</v>
          </cell>
        </row>
        <row r="61">
          <cell r="A61">
            <v>121500</v>
          </cell>
          <cell r="B61">
            <v>60</v>
          </cell>
          <cell r="C61" t="str">
            <v>홍천</v>
          </cell>
          <cell r="D61" t="str">
            <v>본소</v>
          </cell>
          <cell r="E61">
            <v>1953239</v>
          </cell>
        </row>
        <row r="62">
          <cell r="A62">
            <v>182301</v>
          </cell>
          <cell r="B62">
            <v>61</v>
          </cell>
          <cell r="C62" t="str">
            <v>양산</v>
          </cell>
          <cell r="D62" t="str">
            <v>두배로마트</v>
          </cell>
          <cell r="E62">
            <v>1942394</v>
          </cell>
        </row>
        <row r="63">
          <cell r="A63">
            <v>142400</v>
          </cell>
          <cell r="B63">
            <v>62</v>
          </cell>
          <cell r="C63" t="str">
            <v>아산</v>
          </cell>
          <cell r="D63" t="str">
            <v>본소</v>
          </cell>
          <cell r="E63">
            <v>1898157</v>
          </cell>
        </row>
        <row r="64">
          <cell r="A64">
            <v>121401</v>
          </cell>
          <cell r="B64">
            <v>63</v>
          </cell>
          <cell r="C64" t="str">
            <v>강릉</v>
          </cell>
          <cell r="D64" t="str">
            <v>성내</v>
          </cell>
          <cell r="E64">
            <v>1886158</v>
          </cell>
        </row>
        <row r="65">
          <cell r="A65">
            <v>172403</v>
          </cell>
          <cell r="B65">
            <v>64</v>
          </cell>
          <cell r="C65" t="str">
            <v>영주</v>
          </cell>
          <cell r="D65" t="str">
            <v>휴천</v>
          </cell>
          <cell r="E65">
            <v>1846671</v>
          </cell>
        </row>
        <row r="66">
          <cell r="A66">
            <v>161100</v>
          </cell>
          <cell r="B66">
            <v>65</v>
          </cell>
          <cell r="C66" t="str">
            <v>광주</v>
          </cell>
          <cell r="D66" t="str">
            <v>본소</v>
          </cell>
          <cell r="E66">
            <v>1814742</v>
          </cell>
        </row>
        <row r="67">
          <cell r="A67">
            <v>161101</v>
          </cell>
          <cell r="B67">
            <v>66</v>
          </cell>
          <cell r="C67" t="str">
            <v>광주</v>
          </cell>
          <cell r="D67" t="str">
            <v>중앙로</v>
          </cell>
          <cell r="E67">
            <v>1737688</v>
          </cell>
        </row>
        <row r="68">
          <cell r="A68">
            <v>151101</v>
          </cell>
          <cell r="B68">
            <v>67</v>
          </cell>
          <cell r="C68" t="str">
            <v>전주</v>
          </cell>
          <cell r="D68" t="str">
            <v>충경로</v>
          </cell>
          <cell r="E68">
            <v>1733805</v>
          </cell>
        </row>
        <row r="69">
          <cell r="A69">
            <v>151901</v>
          </cell>
          <cell r="B69">
            <v>68</v>
          </cell>
          <cell r="C69" t="str">
            <v>김제</v>
          </cell>
          <cell r="D69" t="str">
            <v>금만</v>
          </cell>
          <cell r="E69">
            <v>1719644</v>
          </cell>
        </row>
        <row r="70">
          <cell r="A70">
            <v>152002</v>
          </cell>
          <cell r="B70">
            <v>69</v>
          </cell>
          <cell r="C70" t="str">
            <v>익산</v>
          </cell>
          <cell r="D70" t="str">
            <v>공단</v>
          </cell>
          <cell r="E70">
            <v>1687271</v>
          </cell>
        </row>
        <row r="71">
          <cell r="A71">
            <v>122400</v>
          </cell>
          <cell r="B71">
            <v>70</v>
          </cell>
          <cell r="C71" t="str">
            <v>횡성</v>
          </cell>
          <cell r="D71" t="str">
            <v>본소</v>
          </cell>
          <cell r="E71">
            <v>1642782</v>
          </cell>
        </row>
        <row r="72">
          <cell r="A72">
            <v>142201</v>
          </cell>
          <cell r="B72">
            <v>71</v>
          </cell>
          <cell r="C72" t="str">
            <v>당진</v>
          </cell>
          <cell r="D72" t="str">
            <v>합덕</v>
          </cell>
          <cell r="E72">
            <v>1619698</v>
          </cell>
        </row>
        <row r="73">
          <cell r="A73">
            <v>141800</v>
          </cell>
          <cell r="B73">
            <v>72</v>
          </cell>
          <cell r="C73" t="str">
            <v>공주낙농</v>
          </cell>
          <cell r="D73" t="str">
            <v>본소</v>
          </cell>
          <cell r="E73">
            <v>1616596</v>
          </cell>
        </row>
        <row r="74">
          <cell r="A74">
            <v>151403</v>
          </cell>
          <cell r="B74">
            <v>73</v>
          </cell>
          <cell r="C74" t="str">
            <v>남원</v>
          </cell>
          <cell r="D74" t="str">
            <v>요천</v>
          </cell>
          <cell r="E74">
            <v>1553065</v>
          </cell>
        </row>
        <row r="75">
          <cell r="A75">
            <v>131700</v>
          </cell>
          <cell r="B75">
            <v>74</v>
          </cell>
          <cell r="C75" t="str">
            <v>진천</v>
          </cell>
          <cell r="D75" t="str">
            <v>본소</v>
          </cell>
          <cell r="E75">
            <v>1534755</v>
          </cell>
        </row>
        <row r="76">
          <cell r="A76">
            <v>220100</v>
          </cell>
          <cell r="B76">
            <v>75</v>
          </cell>
          <cell r="C76" t="str">
            <v>춘천판매장</v>
          </cell>
          <cell r="D76" t="str">
            <v>춘점점</v>
          </cell>
          <cell r="E76">
            <v>1504034</v>
          </cell>
        </row>
        <row r="77">
          <cell r="A77">
            <v>182900</v>
          </cell>
          <cell r="B77">
            <v>76</v>
          </cell>
          <cell r="C77" t="str">
            <v>사천</v>
          </cell>
          <cell r="D77" t="str">
            <v>본소</v>
          </cell>
          <cell r="E77">
            <v>1462743</v>
          </cell>
        </row>
        <row r="78">
          <cell r="A78">
            <v>161106</v>
          </cell>
          <cell r="B78">
            <v>77</v>
          </cell>
          <cell r="C78" t="str">
            <v>광주</v>
          </cell>
          <cell r="D78" t="str">
            <v>무등</v>
          </cell>
          <cell r="E78">
            <v>1448227</v>
          </cell>
        </row>
        <row r="79">
          <cell r="A79">
            <v>181901</v>
          </cell>
          <cell r="B79">
            <v>78</v>
          </cell>
          <cell r="C79" t="str">
            <v>마산</v>
          </cell>
          <cell r="D79" t="str">
            <v>진해</v>
          </cell>
          <cell r="E79">
            <v>1394216</v>
          </cell>
        </row>
        <row r="80">
          <cell r="A80">
            <v>151103</v>
          </cell>
          <cell r="B80">
            <v>79</v>
          </cell>
          <cell r="C80" t="str">
            <v>전주</v>
          </cell>
          <cell r="D80" t="str">
            <v>남부</v>
          </cell>
          <cell r="E80">
            <v>1381917</v>
          </cell>
        </row>
        <row r="81">
          <cell r="A81">
            <v>181800</v>
          </cell>
          <cell r="B81">
            <v>80</v>
          </cell>
          <cell r="C81" t="str">
            <v>함양</v>
          </cell>
          <cell r="D81" t="str">
            <v>본소</v>
          </cell>
          <cell r="E81">
            <v>1380368</v>
          </cell>
        </row>
        <row r="82">
          <cell r="A82">
            <v>151700</v>
          </cell>
          <cell r="B82">
            <v>81</v>
          </cell>
          <cell r="C82" t="str">
            <v>장수</v>
          </cell>
          <cell r="D82" t="str">
            <v>본소</v>
          </cell>
          <cell r="E82">
            <v>1357141</v>
          </cell>
        </row>
        <row r="83">
          <cell r="A83">
            <v>152000</v>
          </cell>
          <cell r="B83">
            <v>82</v>
          </cell>
          <cell r="C83" t="str">
            <v>익산</v>
          </cell>
          <cell r="D83" t="str">
            <v>본소</v>
          </cell>
          <cell r="E83">
            <v>1351584</v>
          </cell>
        </row>
        <row r="84">
          <cell r="A84">
            <v>148700</v>
          </cell>
          <cell r="B84">
            <v>83</v>
          </cell>
          <cell r="C84" t="str">
            <v>서해낙농</v>
          </cell>
          <cell r="D84" t="str">
            <v>본소</v>
          </cell>
          <cell r="E84">
            <v>1347733</v>
          </cell>
        </row>
        <row r="85">
          <cell r="A85">
            <v>182000</v>
          </cell>
          <cell r="B85">
            <v>84</v>
          </cell>
          <cell r="C85" t="str">
            <v>의령</v>
          </cell>
          <cell r="D85" t="str">
            <v>본소</v>
          </cell>
          <cell r="E85">
            <v>1334382</v>
          </cell>
        </row>
        <row r="86">
          <cell r="A86">
            <v>171302</v>
          </cell>
          <cell r="B86">
            <v>85</v>
          </cell>
          <cell r="C86" t="str">
            <v>경주</v>
          </cell>
          <cell r="D86" t="str">
            <v>노동</v>
          </cell>
          <cell r="E86">
            <v>1313606</v>
          </cell>
        </row>
        <row r="87">
          <cell r="A87">
            <v>163200</v>
          </cell>
          <cell r="B87">
            <v>86</v>
          </cell>
          <cell r="C87" t="str">
            <v>화순</v>
          </cell>
          <cell r="D87" t="str">
            <v>본소</v>
          </cell>
          <cell r="E87">
            <v>1284374</v>
          </cell>
        </row>
        <row r="88">
          <cell r="A88">
            <v>151600</v>
          </cell>
          <cell r="B88">
            <v>87</v>
          </cell>
          <cell r="C88" t="str">
            <v>진안</v>
          </cell>
          <cell r="D88" t="str">
            <v>본소</v>
          </cell>
          <cell r="E88">
            <v>1274031</v>
          </cell>
        </row>
        <row r="89">
          <cell r="A89">
            <v>172502</v>
          </cell>
          <cell r="B89">
            <v>88</v>
          </cell>
          <cell r="C89" t="str">
            <v>구미</v>
          </cell>
          <cell r="D89" t="str">
            <v>황상</v>
          </cell>
          <cell r="E89">
            <v>1273618</v>
          </cell>
        </row>
        <row r="90">
          <cell r="A90">
            <v>121400</v>
          </cell>
          <cell r="B90">
            <v>89</v>
          </cell>
          <cell r="C90" t="str">
            <v>강릉</v>
          </cell>
          <cell r="D90" t="str">
            <v>본소</v>
          </cell>
          <cell r="E90">
            <v>1270098</v>
          </cell>
        </row>
        <row r="91">
          <cell r="A91">
            <v>162303</v>
          </cell>
          <cell r="B91">
            <v>90</v>
          </cell>
          <cell r="C91" t="str">
            <v>영암</v>
          </cell>
          <cell r="D91" t="str">
            <v>학산</v>
          </cell>
          <cell r="E91">
            <v>1254744</v>
          </cell>
        </row>
        <row r="92">
          <cell r="A92">
            <v>128300</v>
          </cell>
          <cell r="B92">
            <v>91</v>
          </cell>
          <cell r="C92" t="str">
            <v>강원양돈</v>
          </cell>
          <cell r="D92" t="str">
            <v>본소</v>
          </cell>
          <cell r="E92">
            <v>1238091</v>
          </cell>
        </row>
        <row r="93">
          <cell r="A93">
            <v>161901</v>
          </cell>
          <cell r="B93">
            <v>92</v>
          </cell>
          <cell r="C93" t="str">
            <v>목포</v>
          </cell>
          <cell r="D93" t="str">
            <v>용해</v>
          </cell>
          <cell r="E93">
            <v>1217805</v>
          </cell>
        </row>
        <row r="94">
          <cell r="A94">
            <v>128301</v>
          </cell>
          <cell r="B94">
            <v>93</v>
          </cell>
          <cell r="C94" t="str">
            <v>강원양돈</v>
          </cell>
          <cell r="D94" t="str">
            <v>후평</v>
          </cell>
          <cell r="E94">
            <v>1211361</v>
          </cell>
        </row>
        <row r="95">
          <cell r="A95">
            <v>171200</v>
          </cell>
          <cell r="B95">
            <v>94</v>
          </cell>
          <cell r="C95" t="str">
            <v>포항</v>
          </cell>
          <cell r="D95" t="str">
            <v>본소</v>
          </cell>
          <cell r="E95">
            <v>1201934</v>
          </cell>
        </row>
        <row r="96">
          <cell r="A96">
            <v>131800</v>
          </cell>
          <cell r="B96">
            <v>95</v>
          </cell>
          <cell r="C96" t="str">
            <v>단양</v>
          </cell>
          <cell r="D96" t="str">
            <v>본소</v>
          </cell>
          <cell r="E96">
            <v>1169203</v>
          </cell>
        </row>
        <row r="97">
          <cell r="A97">
            <v>151100</v>
          </cell>
          <cell r="B97">
            <v>96</v>
          </cell>
          <cell r="C97" t="str">
            <v>전주</v>
          </cell>
          <cell r="D97" t="str">
            <v>본소</v>
          </cell>
          <cell r="E97">
            <v>1135523</v>
          </cell>
        </row>
        <row r="98">
          <cell r="A98">
            <v>158101</v>
          </cell>
          <cell r="B98">
            <v>97</v>
          </cell>
          <cell r="C98" t="str">
            <v>전북양계</v>
          </cell>
          <cell r="D98" t="str">
            <v>화산</v>
          </cell>
          <cell r="E98">
            <v>1085659</v>
          </cell>
        </row>
        <row r="99">
          <cell r="A99">
            <v>121601</v>
          </cell>
          <cell r="B99">
            <v>98</v>
          </cell>
          <cell r="C99" t="str">
            <v>태백</v>
          </cell>
          <cell r="D99" t="str">
            <v>장성</v>
          </cell>
          <cell r="E99">
            <v>1068129</v>
          </cell>
        </row>
        <row r="100">
          <cell r="A100">
            <v>151106</v>
          </cell>
          <cell r="B100">
            <v>99</v>
          </cell>
          <cell r="C100" t="str">
            <v>전주</v>
          </cell>
          <cell r="D100" t="str">
            <v>효자</v>
          </cell>
          <cell r="E100">
            <v>1060935</v>
          </cell>
        </row>
        <row r="101">
          <cell r="A101">
            <v>152005</v>
          </cell>
          <cell r="B101">
            <v>100</v>
          </cell>
          <cell r="C101" t="str">
            <v>익산</v>
          </cell>
          <cell r="D101" t="str">
            <v>모현</v>
          </cell>
          <cell r="E101">
            <v>1042842</v>
          </cell>
        </row>
        <row r="102">
          <cell r="A102">
            <v>171904</v>
          </cell>
          <cell r="B102">
            <v>101</v>
          </cell>
          <cell r="C102" t="str">
            <v>경산</v>
          </cell>
          <cell r="D102" t="str">
            <v>고산</v>
          </cell>
          <cell r="E102">
            <v>1036452</v>
          </cell>
        </row>
        <row r="103">
          <cell r="A103">
            <v>131801</v>
          </cell>
          <cell r="B103">
            <v>102</v>
          </cell>
          <cell r="C103" t="str">
            <v>단양</v>
          </cell>
          <cell r="D103" t="str">
            <v>별곡</v>
          </cell>
          <cell r="E103">
            <v>1025689</v>
          </cell>
        </row>
        <row r="104">
          <cell r="A104">
            <v>161403</v>
          </cell>
          <cell r="B104">
            <v>103</v>
          </cell>
          <cell r="C104" t="str">
            <v>순천</v>
          </cell>
          <cell r="D104" t="str">
            <v>북순천</v>
          </cell>
          <cell r="E104">
            <v>992800</v>
          </cell>
        </row>
        <row r="105">
          <cell r="A105">
            <v>172504</v>
          </cell>
          <cell r="B105">
            <v>104</v>
          </cell>
          <cell r="C105" t="str">
            <v>구미</v>
          </cell>
          <cell r="D105" t="str">
            <v>선산</v>
          </cell>
          <cell r="E105">
            <v>979564</v>
          </cell>
        </row>
        <row r="106">
          <cell r="A106">
            <v>151702</v>
          </cell>
          <cell r="B106">
            <v>105</v>
          </cell>
          <cell r="C106" t="str">
            <v>장수</v>
          </cell>
          <cell r="D106" t="str">
            <v>송천</v>
          </cell>
          <cell r="E106">
            <v>924045</v>
          </cell>
        </row>
        <row r="107">
          <cell r="A107">
            <v>158200</v>
          </cell>
          <cell r="B107">
            <v>106</v>
          </cell>
          <cell r="C107" t="str">
            <v>전북양돈</v>
          </cell>
          <cell r="D107" t="str">
            <v>본소</v>
          </cell>
          <cell r="E107">
            <v>921617</v>
          </cell>
        </row>
        <row r="108">
          <cell r="A108">
            <v>162602</v>
          </cell>
          <cell r="B108">
            <v>107</v>
          </cell>
          <cell r="C108" t="str">
            <v>보성</v>
          </cell>
          <cell r="D108" t="str">
            <v>벌교</v>
          </cell>
          <cell r="E108">
            <v>911046</v>
          </cell>
        </row>
        <row r="109">
          <cell r="A109">
            <v>182600</v>
          </cell>
          <cell r="B109">
            <v>108</v>
          </cell>
          <cell r="C109" t="str">
            <v>울산</v>
          </cell>
          <cell r="D109" t="str">
            <v>본소</v>
          </cell>
          <cell r="E109">
            <v>909955</v>
          </cell>
        </row>
        <row r="110">
          <cell r="A110">
            <v>162201</v>
          </cell>
          <cell r="B110">
            <v>109</v>
          </cell>
          <cell r="C110" t="str">
            <v>해남</v>
          </cell>
          <cell r="D110" t="str">
            <v>고도</v>
          </cell>
          <cell r="E110">
            <v>899723</v>
          </cell>
        </row>
        <row r="111">
          <cell r="A111">
            <v>191202</v>
          </cell>
          <cell r="B111">
            <v>110</v>
          </cell>
          <cell r="C111" t="str">
            <v>남제주</v>
          </cell>
          <cell r="D111" t="str">
            <v>중문</v>
          </cell>
          <cell r="E111">
            <v>857276</v>
          </cell>
        </row>
        <row r="112">
          <cell r="A112">
            <v>151400</v>
          </cell>
          <cell r="B112">
            <v>111</v>
          </cell>
          <cell r="C112" t="str">
            <v>남원</v>
          </cell>
          <cell r="D112" t="str">
            <v>본소</v>
          </cell>
          <cell r="E112">
            <v>842104</v>
          </cell>
        </row>
        <row r="113">
          <cell r="A113">
            <v>168103</v>
          </cell>
          <cell r="B113">
            <v>112</v>
          </cell>
          <cell r="C113" t="str">
            <v>광전우유</v>
          </cell>
          <cell r="D113" t="str">
            <v>쌍촌</v>
          </cell>
          <cell r="E113">
            <v>819361</v>
          </cell>
        </row>
        <row r="114">
          <cell r="A114">
            <v>152101</v>
          </cell>
          <cell r="B114">
            <v>113</v>
          </cell>
          <cell r="C114" t="str">
            <v>군산</v>
          </cell>
          <cell r="D114" t="str">
            <v>신영</v>
          </cell>
          <cell r="E114">
            <v>817636</v>
          </cell>
        </row>
        <row r="115">
          <cell r="A115">
            <v>162801</v>
          </cell>
          <cell r="B115">
            <v>114</v>
          </cell>
          <cell r="C115" t="str">
            <v>곡성</v>
          </cell>
          <cell r="D115" t="str">
            <v>옥과</v>
          </cell>
          <cell r="E115">
            <v>814597</v>
          </cell>
        </row>
        <row r="116">
          <cell r="A116">
            <v>181600</v>
          </cell>
          <cell r="B116">
            <v>115</v>
          </cell>
          <cell r="C116" t="str">
            <v>밀양</v>
          </cell>
          <cell r="D116" t="str">
            <v>본소</v>
          </cell>
          <cell r="E116">
            <v>804588</v>
          </cell>
        </row>
        <row r="117">
          <cell r="A117">
            <v>172500</v>
          </cell>
          <cell r="B117">
            <v>116</v>
          </cell>
          <cell r="C117" t="str">
            <v>구미</v>
          </cell>
          <cell r="D117" t="str">
            <v>본소</v>
          </cell>
          <cell r="E117">
            <v>790055</v>
          </cell>
        </row>
        <row r="118">
          <cell r="A118">
            <v>142100</v>
          </cell>
          <cell r="B118">
            <v>117</v>
          </cell>
          <cell r="C118" t="str">
            <v>예산</v>
          </cell>
          <cell r="D118" t="str">
            <v>본소</v>
          </cell>
          <cell r="E118">
            <v>787752</v>
          </cell>
        </row>
        <row r="119">
          <cell r="A119">
            <v>121600</v>
          </cell>
          <cell r="B119">
            <v>118</v>
          </cell>
          <cell r="C119" t="str">
            <v>태백</v>
          </cell>
          <cell r="D119" t="str">
            <v>본소</v>
          </cell>
          <cell r="E119">
            <v>784796</v>
          </cell>
        </row>
        <row r="120">
          <cell r="A120">
            <v>141301</v>
          </cell>
          <cell r="B120">
            <v>119</v>
          </cell>
          <cell r="C120" t="str">
            <v>연기</v>
          </cell>
          <cell r="D120" t="str">
            <v>금남</v>
          </cell>
          <cell r="E120">
            <v>765297</v>
          </cell>
        </row>
        <row r="121">
          <cell r="A121">
            <v>131601</v>
          </cell>
          <cell r="B121">
            <v>120</v>
          </cell>
          <cell r="C121" t="str">
            <v>제천</v>
          </cell>
          <cell r="D121" t="str">
            <v>청전</v>
          </cell>
          <cell r="E121">
            <v>761042</v>
          </cell>
        </row>
        <row r="122">
          <cell r="A122">
            <v>161306</v>
          </cell>
          <cell r="B122">
            <v>121</v>
          </cell>
          <cell r="C122" t="str">
            <v>여수여천</v>
          </cell>
          <cell r="D122" t="str">
            <v>문수</v>
          </cell>
          <cell r="E122">
            <v>760819</v>
          </cell>
        </row>
        <row r="123">
          <cell r="A123">
            <v>158400</v>
          </cell>
          <cell r="B123">
            <v>122</v>
          </cell>
          <cell r="C123" t="str">
            <v>전북양봉</v>
          </cell>
          <cell r="D123" t="str">
            <v>본소</v>
          </cell>
          <cell r="E123">
            <v>739464</v>
          </cell>
        </row>
        <row r="124">
          <cell r="A124">
            <v>171107</v>
          </cell>
          <cell r="B124">
            <v>123</v>
          </cell>
          <cell r="C124" t="str">
            <v>대구</v>
          </cell>
          <cell r="D124" t="str">
            <v>명동로</v>
          </cell>
          <cell r="E124">
            <v>727218</v>
          </cell>
        </row>
        <row r="125">
          <cell r="A125">
            <v>172600</v>
          </cell>
          <cell r="B125">
            <v>124</v>
          </cell>
          <cell r="C125" t="str">
            <v>울진</v>
          </cell>
          <cell r="D125" t="str">
            <v>본소</v>
          </cell>
          <cell r="E125">
            <v>714777</v>
          </cell>
        </row>
        <row r="126">
          <cell r="A126">
            <v>178300</v>
          </cell>
          <cell r="B126">
            <v>125</v>
          </cell>
          <cell r="C126" t="str">
            <v>대구경북양계</v>
          </cell>
          <cell r="D126" t="str">
            <v>본소</v>
          </cell>
          <cell r="E126">
            <v>689265</v>
          </cell>
        </row>
        <row r="127">
          <cell r="A127">
            <v>163201</v>
          </cell>
          <cell r="B127">
            <v>126</v>
          </cell>
          <cell r="C127" t="str">
            <v>화순</v>
          </cell>
          <cell r="D127" t="str">
            <v>능주</v>
          </cell>
          <cell r="E127">
            <v>687803</v>
          </cell>
        </row>
        <row r="128">
          <cell r="A128">
            <v>161303</v>
          </cell>
          <cell r="B128">
            <v>127</v>
          </cell>
          <cell r="C128" t="str">
            <v>여수여천</v>
          </cell>
          <cell r="D128" t="str">
            <v>율촌</v>
          </cell>
          <cell r="E128">
            <v>680997</v>
          </cell>
        </row>
        <row r="129">
          <cell r="A129">
            <v>161304</v>
          </cell>
          <cell r="B129">
            <v>128</v>
          </cell>
          <cell r="C129" t="str">
            <v>여수여천</v>
          </cell>
          <cell r="D129" t="str">
            <v>서강</v>
          </cell>
          <cell r="E129">
            <v>662624</v>
          </cell>
        </row>
        <row r="130">
          <cell r="A130">
            <v>161102</v>
          </cell>
          <cell r="B130">
            <v>129</v>
          </cell>
          <cell r="C130" t="str">
            <v>광주</v>
          </cell>
          <cell r="D130" t="str">
            <v>화정</v>
          </cell>
          <cell r="E130">
            <v>660340</v>
          </cell>
        </row>
        <row r="131">
          <cell r="A131">
            <v>151301</v>
          </cell>
          <cell r="B131">
            <v>130</v>
          </cell>
          <cell r="C131" t="str">
            <v>정읍</v>
          </cell>
          <cell r="D131" t="str">
            <v>시기</v>
          </cell>
          <cell r="E131">
            <v>658437</v>
          </cell>
        </row>
        <row r="132">
          <cell r="A132">
            <v>182202</v>
          </cell>
          <cell r="B132">
            <v>131</v>
          </cell>
          <cell r="C132" t="str">
            <v>거제</v>
          </cell>
          <cell r="D132" t="str">
            <v>거제</v>
          </cell>
          <cell r="E132">
            <v>648485</v>
          </cell>
        </row>
        <row r="133">
          <cell r="A133">
            <v>111801</v>
          </cell>
          <cell r="B133">
            <v>132</v>
          </cell>
          <cell r="C133" t="str">
            <v>가평</v>
          </cell>
          <cell r="D133" t="str">
            <v>청평</v>
          </cell>
          <cell r="E133">
            <v>641810</v>
          </cell>
        </row>
        <row r="134">
          <cell r="A134">
            <v>181301</v>
          </cell>
          <cell r="B134">
            <v>133</v>
          </cell>
          <cell r="C134" t="str">
            <v>진주</v>
          </cell>
          <cell r="D134" t="str">
            <v>평거</v>
          </cell>
          <cell r="E134">
            <v>615780</v>
          </cell>
        </row>
        <row r="135">
          <cell r="A135">
            <v>168100</v>
          </cell>
          <cell r="B135">
            <v>134</v>
          </cell>
          <cell r="C135" t="str">
            <v>광전우유</v>
          </cell>
          <cell r="D135" t="str">
            <v>본소</v>
          </cell>
          <cell r="E135">
            <v>593655</v>
          </cell>
        </row>
        <row r="136">
          <cell r="A136">
            <v>152103</v>
          </cell>
          <cell r="B136">
            <v>135</v>
          </cell>
          <cell r="C136" t="str">
            <v>군산</v>
          </cell>
          <cell r="D136" t="str">
            <v>삼학</v>
          </cell>
          <cell r="E136">
            <v>592835</v>
          </cell>
        </row>
        <row r="137">
          <cell r="A137">
            <v>162300</v>
          </cell>
          <cell r="B137">
            <v>136</v>
          </cell>
          <cell r="C137" t="str">
            <v>영암</v>
          </cell>
          <cell r="D137" t="str">
            <v>본소</v>
          </cell>
          <cell r="E137">
            <v>583897</v>
          </cell>
        </row>
        <row r="138">
          <cell r="A138">
            <v>151302</v>
          </cell>
          <cell r="B138">
            <v>137</v>
          </cell>
          <cell r="C138" t="str">
            <v>정읍</v>
          </cell>
          <cell r="D138" t="str">
            <v>상동</v>
          </cell>
          <cell r="E138">
            <v>583079</v>
          </cell>
        </row>
        <row r="139">
          <cell r="A139">
            <v>121802</v>
          </cell>
          <cell r="B139">
            <v>138</v>
          </cell>
          <cell r="C139" t="str">
            <v>삼척</v>
          </cell>
          <cell r="D139" t="str">
            <v>근덕</v>
          </cell>
          <cell r="E139">
            <v>569377</v>
          </cell>
        </row>
        <row r="140">
          <cell r="A140">
            <v>182800</v>
          </cell>
          <cell r="B140">
            <v>139</v>
          </cell>
          <cell r="C140" t="str">
            <v>합천</v>
          </cell>
          <cell r="D140" t="str">
            <v>본소</v>
          </cell>
          <cell r="E140">
            <v>566699</v>
          </cell>
        </row>
        <row r="141">
          <cell r="A141">
            <v>181900</v>
          </cell>
          <cell r="B141">
            <v>140</v>
          </cell>
          <cell r="C141" t="str">
            <v>마산</v>
          </cell>
          <cell r="D141" t="str">
            <v>본소</v>
          </cell>
          <cell r="E141">
            <v>564690</v>
          </cell>
        </row>
        <row r="142">
          <cell r="A142">
            <v>171202</v>
          </cell>
          <cell r="B142">
            <v>141</v>
          </cell>
          <cell r="C142" t="str">
            <v>퍼항</v>
          </cell>
          <cell r="D142" t="str">
            <v>상도</v>
          </cell>
          <cell r="E142">
            <v>562419</v>
          </cell>
        </row>
        <row r="143">
          <cell r="A143">
            <v>121300</v>
          </cell>
          <cell r="B143">
            <v>142</v>
          </cell>
          <cell r="C143" t="str">
            <v>화천</v>
          </cell>
          <cell r="D143" t="str">
            <v>본소</v>
          </cell>
          <cell r="E143">
            <v>556726</v>
          </cell>
        </row>
        <row r="144">
          <cell r="A144">
            <v>171106</v>
          </cell>
          <cell r="B144">
            <v>143</v>
          </cell>
          <cell r="C144" t="str">
            <v>대구</v>
          </cell>
          <cell r="D144" t="str">
            <v>봉덕</v>
          </cell>
          <cell r="E144">
            <v>542520</v>
          </cell>
        </row>
        <row r="145">
          <cell r="A145">
            <v>171401</v>
          </cell>
          <cell r="B145">
            <v>144</v>
          </cell>
          <cell r="C145" t="str">
            <v>김천</v>
          </cell>
          <cell r="D145" t="str">
            <v>평화</v>
          </cell>
          <cell r="E145">
            <v>532840</v>
          </cell>
        </row>
        <row r="146">
          <cell r="A146">
            <v>171504</v>
          </cell>
          <cell r="B146">
            <v>145</v>
          </cell>
          <cell r="C146" t="str">
            <v>안동</v>
          </cell>
          <cell r="D146" t="str">
            <v>북문</v>
          </cell>
          <cell r="E146">
            <v>532078</v>
          </cell>
        </row>
        <row r="147">
          <cell r="A147">
            <v>151102</v>
          </cell>
          <cell r="B147">
            <v>146</v>
          </cell>
          <cell r="C147" t="str">
            <v>전주</v>
          </cell>
          <cell r="D147" t="str">
            <v>서부</v>
          </cell>
          <cell r="E147">
            <v>519794</v>
          </cell>
        </row>
        <row r="148">
          <cell r="A148">
            <v>161501</v>
          </cell>
          <cell r="B148">
            <v>147</v>
          </cell>
          <cell r="C148" t="str">
            <v>구례</v>
          </cell>
          <cell r="D148" t="str">
            <v>봉동</v>
          </cell>
          <cell r="E148">
            <v>517562</v>
          </cell>
        </row>
        <row r="149">
          <cell r="A149">
            <v>162501</v>
          </cell>
          <cell r="B149">
            <v>148</v>
          </cell>
          <cell r="C149" t="str">
            <v>광양</v>
          </cell>
          <cell r="D149" t="str">
            <v>인덕</v>
          </cell>
          <cell r="E149">
            <v>513918</v>
          </cell>
        </row>
        <row r="150">
          <cell r="A150">
            <v>161401</v>
          </cell>
          <cell r="B150">
            <v>149</v>
          </cell>
          <cell r="C150" t="str">
            <v>순천</v>
          </cell>
          <cell r="D150" t="str">
            <v>종합</v>
          </cell>
          <cell r="E150">
            <v>508992</v>
          </cell>
        </row>
        <row r="151">
          <cell r="A151">
            <v>161500</v>
          </cell>
          <cell r="B151">
            <v>150</v>
          </cell>
          <cell r="C151" t="str">
            <v>구례</v>
          </cell>
          <cell r="D151" t="str">
            <v>본소</v>
          </cell>
          <cell r="E151">
            <v>498662</v>
          </cell>
        </row>
        <row r="152">
          <cell r="A152">
            <v>178200</v>
          </cell>
          <cell r="B152">
            <v>151</v>
          </cell>
          <cell r="C152" t="str">
            <v>대구경북양계</v>
          </cell>
          <cell r="D152" t="str">
            <v>본소</v>
          </cell>
          <cell r="E152">
            <v>491604</v>
          </cell>
        </row>
        <row r="153">
          <cell r="A153">
            <v>171801</v>
          </cell>
          <cell r="B153">
            <v>152</v>
          </cell>
          <cell r="C153" t="str">
            <v>영천</v>
          </cell>
          <cell r="D153" t="str">
            <v>금호</v>
          </cell>
          <cell r="E153">
            <v>482240</v>
          </cell>
        </row>
        <row r="154">
          <cell r="A154">
            <v>191203</v>
          </cell>
          <cell r="B154">
            <v>153</v>
          </cell>
          <cell r="C154" t="str">
            <v>남제주</v>
          </cell>
          <cell r="D154" t="str">
            <v>대정</v>
          </cell>
          <cell r="E154">
            <v>472233</v>
          </cell>
        </row>
        <row r="155">
          <cell r="A155">
            <v>148400</v>
          </cell>
          <cell r="B155">
            <v>154</v>
          </cell>
          <cell r="C155" t="str">
            <v>대전충남우유</v>
          </cell>
          <cell r="D155" t="str">
            <v>본소</v>
          </cell>
          <cell r="E155">
            <v>459950</v>
          </cell>
        </row>
        <row r="156">
          <cell r="A156">
            <v>171300</v>
          </cell>
          <cell r="B156">
            <v>155</v>
          </cell>
          <cell r="C156" t="str">
            <v>경주</v>
          </cell>
          <cell r="D156" t="str">
            <v>본소</v>
          </cell>
          <cell r="E156">
            <v>428770</v>
          </cell>
        </row>
        <row r="157">
          <cell r="A157">
            <v>181201</v>
          </cell>
          <cell r="B157">
            <v>156</v>
          </cell>
          <cell r="C157" t="str">
            <v>거창</v>
          </cell>
          <cell r="D157" t="str">
            <v>종합</v>
          </cell>
          <cell r="E157">
            <v>427157</v>
          </cell>
        </row>
        <row r="158">
          <cell r="A158">
            <v>171501</v>
          </cell>
          <cell r="B158">
            <v>157</v>
          </cell>
          <cell r="C158" t="str">
            <v>안동</v>
          </cell>
          <cell r="D158" t="str">
            <v>풍산</v>
          </cell>
          <cell r="E158">
            <v>422888</v>
          </cell>
        </row>
        <row r="159">
          <cell r="A159">
            <v>158102</v>
          </cell>
          <cell r="B159">
            <v>158</v>
          </cell>
          <cell r="C159" t="str">
            <v>전북양계</v>
          </cell>
          <cell r="D159" t="str">
            <v>서학</v>
          </cell>
          <cell r="E159">
            <v>413410</v>
          </cell>
        </row>
        <row r="160">
          <cell r="A160">
            <v>158201</v>
          </cell>
          <cell r="B160">
            <v>159</v>
          </cell>
          <cell r="C160" t="str">
            <v>전북양돈</v>
          </cell>
          <cell r="D160" t="str">
            <v>안골</v>
          </cell>
          <cell r="E160">
            <v>405910</v>
          </cell>
        </row>
        <row r="161">
          <cell r="A161">
            <v>142402</v>
          </cell>
          <cell r="B161">
            <v>160</v>
          </cell>
          <cell r="C161" t="str">
            <v>아산</v>
          </cell>
          <cell r="D161" t="str">
            <v>둔포</v>
          </cell>
          <cell r="E161">
            <v>401808</v>
          </cell>
        </row>
        <row r="162">
          <cell r="A162">
            <v>171304</v>
          </cell>
          <cell r="B162">
            <v>161</v>
          </cell>
          <cell r="C162" t="str">
            <v>경주</v>
          </cell>
          <cell r="D162" t="str">
            <v>외동</v>
          </cell>
          <cell r="E162">
            <v>394546</v>
          </cell>
        </row>
        <row r="163">
          <cell r="A163">
            <v>142401</v>
          </cell>
          <cell r="B163">
            <v>162</v>
          </cell>
          <cell r="C163" t="str">
            <v>아산</v>
          </cell>
          <cell r="D163" t="str">
            <v>온천</v>
          </cell>
          <cell r="E163">
            <v>382060</v>
          </cell>
        </row>
        <row r="164">
          <cell r="A164">
            <v>121801</v>
          </cell>
          <cell r="B164">
            <v>163</v>
          </cell>
          <cell r="C164" t="str">
            <v>삼척</v>
          </cell>
          <cell r="D164" t="str">
            <v>원덕</v>
          </cell>
          <cell r="E164">
            <v>379614</v>
          </cell>
        </row>
        <row r="165">
          <cell r="A165">
            <v>152004</v>
          </cell>
          <cell r="B165">
            <v>164</v>
          </cell>
          <cell r="C165" t="str">
            <v>익산</v>
          </cell>
          <cell r="D165" t="str">
            <v>인화</v>
          </cell>
          <cell r="E165">
            <v>372105</v>
          </cell>
        </row>
        <row r="166">
          <cell r="A166">
            <v>152003</v>
          </cell>
          <cell r="B166">
            <v>165</v>
          </cell>
          <cell r="C166" t="str">
            <v>익산</v>
          </cell>
          <cell r="D166" t="str">
            <v>마동</v>
          </cell>
          <cell r="E166">
            <v>354481</v>
          </cell>
        </row>
        <row r="167">
          <cell r="A167">
            <v>181601</v>
          </cell>
          <cell r="B167">
            <v>166</v>
          </cell>
          <cell r="C167" t="str">
            <v>밀양</v>
          </cell>
          <cell r="D167" t="str">
            <v>삼량진</v>
          </cell>
          <cell r="E167">
            <v>353958</v>
          </cell>
        </row>
        <row r="168">
          <cell r="A168">
            <v>181700</v>
          </cell>
          <cell r="B168">
            <v>167</v>
          </cell>
          <cell r="C168" t="str">
            <v>산청</v>
          </cell>
          <cell r="D168" t="str">
            <v>본소</v>
          </cell>
          <cell r="E168">
            <v>344890</v>
          </cell>
        </row>
        <row r="169">
          <cell r="A169">
            <v>122001</v>
          </cell>
          <cell r="B169">
            <v>168</v>
          </cell>
          <cell r="C169" t="str">
            <v>영월</v>
          </cell>
          <cell r="D169" t="str">
            <v>영흥</v>
          </cell>
          <cell r="E169">
            <v>342706</v>
          </cell>
        </row>
        <row r="170">
          <cell r="A170">
            <v>161903</v>
          </cell>
          <cell r="B170">
            <v>169</v>
          </cell>
          <cell r="C170" t="str">
            <v>목포</v>
          </cell>
          <cell r="D170" t="str">
            <v>남교</v>
          </cell>
          <cell r="E170">
            <v>326554</v>
          </cell>
        </row>
        <row r="171">
          <cell r="A171">
            <v>191100</v>
          </cell>
          <cell r="B171">
            <v>170</v>
          </cell>
          <cell r="C171" t="str">
            <v>제주</v>
          </cell>
          <cell r="D171" t="str">
            <v>본소</v>
          </cell>
          <cell r="E171">
            <v>323172</v>
          </cell>
        </row>
        <row r="172">
          <cell r="A172">
            <v>161201</v>
          </cell>
          <cell r="B172">
            <v>171</v>
          </cell>
          <cell r="C172" t="str">
            <v>담양</v>
          </cell>
          <cell r="D172" t="str">
            <v>창평</v>
          </cell>
          <cell r="E172">
            <v>304770</v>
          </cell>
        </row>
        <row r="173">
          <cell r="A173">
            <v>188200</v>
          </cell>
          <cell r="B173">
            <v>172</v>
          </cell>
          <cell r="C173" t="str">
            <v>경남낙농</v>
          </cell>
          <cell r="D173" t="str">
            <v>본소</v>
          </cell>
          <cell r="E173">
            <v>267872</v>
          </cell>
        </row>
        <row r="174">
          <cell r="A174">
            <v>161302</v>
          </cell>
          <cell r="B174">
            <v>173</v>
          </cell>
          <cell r="C174" t="str">
            <v>여수여천</v>
          </cell>
          <cell r="D174" t="str">
            <v>공화</v>
          </cell>
          <cell r="E174">
            <v>254536</v>
          </cell>
        </row>
        <row r="175">
          <cell r="A175">
            <v>158300</v>
          </cell>
          <cell r="B175">
            <v>174</v>
          </cell>
          <cell r="C175" t="str">
            <v>완산낙농</v>
          </cell>
          <cell r="D175" t="str">
            <v>본소</v>
          </cell>
          <cell r="E175">
            <v>249772</v>
          </cell>
        </row>
        <row r="176">
          <cell r="A176">
            <v>162200</v>
          </cell>
          <cell r="B176">
            <v>175</v>
          </cell>
          <cell r="C176" t="str">
            <v>해남</v>
          </cell>
          <cell r="D176" t="str">
            <v>본소</v>
          </cell>
          <cell r="E176">
            <v>224075</v>
          </cell>
        </row>
        <row r="177">
          <cell r="A177">
            <v>191102</v>
          </cell>
          <cell r="B177">
            <v>176</v>
          </cell>
          <cell r="C177" t="str">
            <v>제주</v>
          </cell>
          <cell r="D177" t="str">
            <v>동문</v>
          </cell>
          <cell r="E177">
            <v>217836</v>
          </cell>
        </row>
        <row r="178">
          <cell r="A178">
            <v>151701</v>
          </cell>
          <cell r="B178">
            <v>177</v>
          </cell>
          <cell r="C178" t="str">
            <v>장수</v>
          </cell>
          <cell r="D178" t="str">
            <v>장계</v>
          </cell>
          <cell r="E178">
            <v>217382</v>
          </cell>
        </row>
        <row r="179">
          <cell r="A179">
            <v>172300</v>
          </cell>
          <cell r="B179">
            <v>178</v>
          </cell>
          <cell r="C179" t="str">
            <v>예천</v>
          </cell>
          <cell r="D179" t="str">
            <v>본소</v>
          </cell>
          <cell r="E179">
            <v>182535</v>
          </cell>
        </row>
        <row r="180">
          <cell r="A180">
            <v>172001</v>
          </cell>
          <cell r="B180">
            <v>179</v>
          </cell>
          <cell r="C180" t="str">
            <v>청도</v>
          </cell>
          <cell r="D180" t="str">
            <v>금천</v>
          </cell>
          <cell r="E180">
            <v>177328</v>
          </cell>
        </row>
        <row r="181">
          <cell r="A181">
            <v>181603</v>
          </cell>
          <cell r="B181">
            <v>180</v>
          </cell>
          <cell r="C181" t="str">
            <v>밀양</v>
          </cell>
          <cell r="D181" t="str">
            <v>삼문동</v>
          </cell>
          <cell r="E181">
            <v>162896</v>
          </cell>
        </row>
        <row r="182">
          <cell r="A182">
            <v>191200</v>
          </cell>
          <cell r="B182">
            <v>181</v>
          </cell>
          <cell r="C182" t="str">
            <v>남제주</v>
          </cell>
          <cell r="D182" t="str">
            <v>본소</v>
          </cell>
          <cell r="E182">
            <v>157075</v>
          </cell>
        </row>
        <row r="183">
          <cell r="A183">
            <v>151105</v>
          </cell>
          <cell r="B183">
            <v>182</v>
          </cell>
          <cell r="C183" t="str">
            <v>전주</v>
          </cell>
          <cell r="D183" t="str">
            <v>우아</v>
          </cell>
          <cell r="E183">
            <v>133936</v>
          </cell>
        </row>
        <row r="184">
          <cell r="A184">
            <v>188201</v>
          </cell>
          <cell r="B184">
            <v>183</v>
          </cell>
          <cell r="C184" t="str">
            <v>경남낙농</v>
          </cell>
          <cell r="D184" t="str">
            <v>동성</v>
          </cell>
          <cell r="E184">
            <v>133936</v>
          </cell>
        </row>
        <row r="185">
          <cell r="A185">
            <v>141300</v>
          </cell>
          <cell r="B185">
            <v>184</v>
          </cell>
          <cell r="C185" t="str">
            <v>연기</v>
          </cell>
          <cell r="D185" t="str">
            <v>본소</v>
          </cell>
          <cell r="E185">
            <v>125235</v>
          </cell>
        </row>
        <row r="186">
          <cell r="A186">
            <v>131102</v>
          </cell>
          <cell r="B186">
            <v>185</v>
          </cell>
          <cell r="C186" t="str">
            <v>청주</v>
          </cell>
          <cell r="D186" t="str">
            <v>금천</v>
          </cell>
          <cell r="E186">
            <v>120560</v>
          </cell>
        </row>
        <row r="187">
          <cell r="A187">
            <v>161600</v>
          </cell>
          <cell r="B187">
            <v>186</v>
          </cell>
          <cell r="C187" t="str">
            <v>고흥</v>
          </cell>
          <cell r="D187" t="str">
            <v>본소</v>
          </cell>
          <cell r="E187">
            <v>120560</v>
          </cell>
        </row>
        <row r="188">
          <cell r="A188">
            <v>163100</v>
          </cell>
          <cell r="B188">
            <v>187</v>
          </cell>
          <cell r="C188" t="str">
            <v>진도</v>
          </cell>
          <cell r="D188" t="str">
            <v>본소</v>
          </cell>
          <cell r="E188">
            <v>73455</v>
          </cell>
        </row>
        <row r="189">
          <cell r="A189">
            <v>198200</v>
          </cell>
          <cell r="B189">
            <v>188</v>
          </cell>
          <cell r="C189" t="str">
            <v>제주양봉</v>
          </cell>
          <cell r="D189" t="str">
            <v>본소</v>
          </cell>
          <cell r="E189">
            <v>66968</v>
          </cell>
        </row>
        <row r="190">
          <cell r="A190">
            <v>198101</v>
          </cell>
          <cell r="B190">
            <v>189</v>
          </cell>
          <cell r="C190" t="str">
            <v>제주양돈</v>
          </cell>
          <cell r="D190" t="str">
            <v>서사라</v>
          </cell>
          <cell r="E190">
            <v>50094</v>
          </cell>
        </row>
        <row r="191">
          <cell r="A191">
            <v>128401</v>
          </cell>
          <cell r="B191">
            <v>190</v>
          </cell>
          <cell r="C191" t="str">
            <v>영동양돈</v>
          </cell>
          <cell r="D191" t="str">
            <v>주문진</v>
          </cell>
          <cell r="E191">
            <v>36537</v>
          </cell>
        </row>
        <row r="192">
          <cell r="A192">
            <v>131701</v>
          </cell>
          <cell r="B192">
            <v>191</v>
          </cell>
          <cell r="C192" t="str">
            <v>진천</v>
          </cell>
          <cell r="D192" t="str">
            <v>만승</v>
          </cell>
          <cell r="E192">
            <v>-454055</v>
          </cell>
        </row>
        <row r="193">
          <cell r="A193">
            <v>171902</v>
          </cell>
          <cell r="B193">
            <v>192</v>
          </cell>
          <cell r="C193" t="str">
            <v>경산</v>
          </cell>
          <cell r="D193" t="str">
            <v>계양</v>
          </cell>
          <cell r="E193">
            <v>-1365687</v>
          </cell>
        </row>
        <row r="194">
          <cell r="E194">
            <v>321357467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화면설명"/>
      <sheetName val="입력화면"/>
      <sheetName val="원천징수영수증"/>
      <sheetName val="세액계산"/>
      <sheetName val="원천징수영수증 작성요령"/>
      <sheetName val="금융소득종합과세"/>
      <sheetName val="근로소득세2001"/>
      <sheetName val="10월"/>
      <sheetName val="충정운수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사원목록"/>
      <sheetName val="추가공제"/>
      <sheetName val="e-Zone자료"/>
      <sheetName val="공제자료"/>
      <sheetName val="급여작업"/>
      <sheetName val="지급내역"/>
      <sheetName val="은행이체"/>
      <sheetName val="이체의뢰서"/>
      <sheetName val="P_input"/>
      <sheetName val="P_pass"/>
      <sheetName val="I_input"/>
      <sheetName val="I_pass"/>
      <sheetName val="수수료"/>
      <sheetName val="Pay_Mail"/>
      <sheetName val="Pay_Db"/>
      <sheetName val="I_statement_Db"/>
      <sheetName val="Charge_Db"/>
      <sheetName val="급여명세서"/>
      <sheetName val="손익계산서"/>
      <sheetName val="Temp"/>
      <sheetName val="Pa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원사현황"/>
      <sheetName val="자문료정보"/>
      <sheetName val="회원사정보"/>
      <sheetName val="정규직근로자명부"/>
      <sheetName val="퇴사자명부"/>
      <sheetName val="근로시간설정"/>
      <sheetName val="임금구성항목"/>
      <sheetName val="급여명세서"/>
      <sheetName val="급여이체내역서"/>
      <sheetName val="근로계약서"/>
      <sheetName val="연장근로신청서"/>
      <sheetName val="연차휴가테이블"/>
      <sheetName val="미사용연차통보서"/>
      <sheetName val="연차시기지정통보서"/>
      <sheetName val="재직증명서"/>
      <sheetName val="인사기록카드"/>
      <sheetName val="퇴직금중간정산신청서"/>
      <sheetName val="퇴직금산정내역서"/>
      <sheetName val="일용직근로자명부"/>
      <sheetName val="단시간근로자명부"/>
      <sheetName val="만년달력"/>
      <sheetName val="조정계수표"/>
      <sheetName val="간이세액표(2012)"/>
      <sheetName val="결재란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6">
          <cell r="A6">
            <v>1</v>
          </cell>
        </row>
        <row r="7">
          <cell r="A7">
            <v>2</v>
          </cell>
        </row>
        <row r="8">
          <cell r="A8">
            <v>3</v>
          </cell>
        </row>
        <row r="9">
          <cell r="A9">
            <v>4</v>
          </cell>
        </row>
        <row r="10">
          <cell r="A10">
            <v>5</v>
          </cell>
        </row>
        <row r="11">
          <cell r="A11">
            <v>6</v>
          </cell>
        </row>
        <row r="12">
          <cell r="A12">
            <v>7</v>
          </cell>
        </row>
        <row r="13">
          <cell r="A13">
            <v>8</v>
          </cell>
        </row>
        <row r="14">
          <cell r="A14">
            <v>9</v>
          </cell>
        </row>
        <row r="15">
          <cell r="A15">
            <v>10</v>
          </cell>
        </row>
        <row r="16">
          <cell r="A16">
            <v>11</v>
          </cell>
        </row>
        <row r="17">
          <cell r="A17">
            <v>12</v>
          </cell>
        </row>
        <row r="18">
          <cell r="A18">
            <v>13</v>
          </cell>
        </row>
        <row r="19">
          <cell r="A19">
            <v>14</v>
          </cell>
        </row>
        <row r="20">
          <cell r="A20">
            <v>15</v>
          </cell>
        </row>
        <row r="21">
          <cell r="A21">
            <v>16</v>
          </cell>
        </row>
        <row r="22">
          <cell r="A22">
            <v>17</v>
          </cell>
        </row>
        <row r="23">
          <cell r="A23">
            <v>18</v>
          </cell>
        </row>
        <row r="24">
          <cell r="A24">
            <v>19</v>
          </cell>
        </row>
        <row r="25">
          <cell r="A25">
            <v>20</v>
          </cell>
        </row>
        <row r="26">
          <cell r="A26">
            <v>21</v>
          </cell>
        </row>
        <row r="27">
          <cell r="A27">
            <v>22</v>
          </cell>
        </row>
        <row r="28">
          <cell r="A28">
            <v>23</v>
          </cell>
        </row>
        <row r="29">
          <cell r="A29">
            <v>24</v>
          </cell>
        </row>
        <row r="30">
          <cell r="A30">
            <v>25</v>
          </cell>
        </row>
        <row r="31">
          <cell r="A31">
            <v>26</v>
          </cell>
        </row>
        <row r="32">
          <cell r="A32">
            <v>27</v>
          </cell>
        </row>
        <row r="33">
          <cell r="A33">
            <v>28</v>
          </cell>
        </row>
        <row r="34">
          <cell r="A34">
            <v>29</v>
          </cell>
        </row>
        <row r="35">
          <cell r="A35">
            <v>30</v>
          </cell>
        </row>
        <row r="36">
          <cell r="A36">
            <v>31</v>
          </cell>
        </row>
        <row r="37">
          <cell r="A37">
            <v>32</v>
          </cell>
        </row>
        <row r="38">
          <cell r="A38">
            <v>33</v>
          </cell>
        </row>
        <row r="39">
          <cell r="A39">
            <v>34</v>
          </cell>
        </row>
        <row r="40">
          <cell r="A40">
            <v>35</v>
          </cell>
        </row>
        <row r="41">
          <cell r="A41">
            <v>36</v>
          </cell>
        </row>
        <row r="42">
          <cell r="A42">
            <v>37</v>
          </cell>
        </row>
        <row r="43">
          <cell r="A43">
            <v>38</v>
          </cell>
        </row>
        <row r="44">
          <cell r="A44">
            <v>39</v>
          </cell>
        </row>
        <row r="45">
          <cell r="A45">
            <v>40</v>
          </cell>
        </row>
        <row r="46">
          <cell r="A46">
            <v>41</v>
          </cell>
        </row>
        <row r="47">
          <cell r="A47">
            <v>42</v>
          </cell>
        </row>
        <row r="48">
          <cell r="A48">
            <v>43</v>
          </cell>
        </row>
        <row r="49">
          <cell r="A49">
            <v>44</v>
          </cell>
        </row>
        <row r="50">
          <cell r="A50">
            <v>45</v>
          </cell>
        </row>
        <row r="51">
          <cell r="A51">
            <v>46</v>
          </cell>
        </row>
        <row r="52">
          <cell r="A52">
            <v>47</v>
          </cell>
        </row>
        <row r="53">
          <cell r="A53">
            <v>48</v>
          </cell>
        </row>
        <row r="54">
          <cell r="A54">
            <v>49</v>
          </cell>
        </row>
        <row r="55">
          <cell r="A55">
            <v>50</v>
          </cell>
        </row>
        <row r="56">
          <cell r="A56">
            <v>51</v>
          </cell>
        </row>
        <row r="57">
          <cell r="A57">
            <v>52</v>
          </cell>
        </row>
        <row r="58">
          <cell r="A58">
            <v>53</v>
          </cell>
        </row>
        <row r="59">
          <cell r="A59">
            <v>54</v>
          </cell>
        </row>
        <row r="60">
          <cell r="A60">
            <v>55</v>
          </cell>
        </row>
        <row r="61">
          <cell r="A61">
            <v>56</v>
          </cell>
        </row>
        <row r="62">
          <cell r="A62">
            <v>57</v>
          </cell>
        </row>
        <row r="63">
          <cell r="A63">
            <v>58</v>
          </cell>
        </row>
        <row r="64">
          <cell r="A64">
            <v>59</v>
          </cell>
        </row>
        <row r="65">
          <cell r="A65">
            <v>60</v>
          </cell>
        </row>
        <row r="66">
          <cell r="A66">
            <v>61</v>
          </cell>
        </row>
        <row r="67">
          <cell r="A67">
            <v>62</v>
          </cell>
        </row>
        <row r="68">
          <cell r="A68">
            <v>63</v>
          </cell>
        </row>
        <row r="69">
          <cell r="A69">
            <v>64</v>
          </cell>
        </row>
        <row r="70">
          <cell r="A70">
            <v>65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연장수당"/>
      <sheetName val="인원자료"/>
      <sheetName val="연장시간"/>
      <sheetName val="연장시간최종"/>
      <sheetName val="1월연장수당"/>
      <sheetName val="피벗"/>
      <sheetName val="전표입력용"/>
      <sheetName val="전월대비"/>
    </sheetNames>
    <sheetDataSet>
      <sheetData sheetId="0" refreshError="1"/>
      <sheetData sheetId="1">
        <row r="1">
          <cell r="A1" t="str">
            <v>사원명</v>
          </cell>
          <cell r="B1" t="str">
            <v>부서코드</v>
          </cell>
        </row>
        <row r="2">
          <cell r="A2" t="str">
            <v>이병수</v>
          </cell>
          <cell r="B2" t="str">
            <v>1AAA1</v>
          </cell>
        </row>
        <row r="3">
          <cell r="A3" t="str">
            <v>정대서</v>
          </cell>
          <cell r="B3" t="str">
            <v>1AAA1</v>
          </cell>
        </row>
        <row r="4">
          <cell r="A4" t="str">
            <v>김영일</v>
          </cell>
          <cell r="B4" t="str">
            <v>1AAA1</v>
          </cell>
        </row>
        <row r="5">
          <cell r="A5" t="str">
            <v>김용기</v>
          </cell>
          <cell r="B5" t="str">
            <v>1AAA1</v>
          </cell>
        </row>
        <row r="6">
          <cell r="A6" t="str">
            <v>김라영</v>
          </cell>
          <cell r="B6" t="str">
            <v>1BAB1</v>
          </cell>
        </row>
        <row r="7">
          <cell r="A7" t="str">
            <v>안재호</v>
          </cell>
          <cell r="B7" t="str">
            <v>1BAB1</v>
          </cell>
        </row>
        <row r="8">
          <cell r="A8" t="str">
            <v>류성재</v>
          </cell>
          <cell r="B8" t="str">
            <v>1FAF1</v>
          </cell>
        </row>
        <row r="9">
          <cell r="A9" t="str">
            <v>박철희</v>
          </cell>
          <cell r="B9" t="str">
            <v>1FAF1</v>
          </cell>
        </row>
        <row r="10">
          <cell r="A10" t="str">
            <v>김현수</v>
          </cell>
          <cell r="B10" t="str">
            <v>1FAF1</v>
          </cell>
        </row>
        <row r="11">
          <cell r="A11" t="str">
            <v>유금자</v>
          </cell>
          <cell r="B11" t="str">
            <v>1GAG1</v>
          </cell>
        </row>
        <row r="12">
          <cell r="A12" t="str">
            <v>이광성</v>
          </cell>
          <cell r="B12" t="str">
            <v>1GAG1</v>
          </cell>
        </row>
        <row r="13">
          <cell r="A13" t="str">
            <v>홍미선</v>
          </cell>
          <cell r="B13" t="str">
            <v>1GAG1</v>
          </cell>
        </row>
        <row r="14">
          <cell r="A14" t="str">
            <v>서범석</v>
          </cell>
          <cell r="B14" t="str">
            <v>1GAG1</v>
          </cell>
        </row>
        <row r="15">
          <cell r="A15" t="str">
            <v>송명진</v>
          </cell>
          <cell r="B15" t="str">
            <v>1GAG1</v>
          </cell>
        </row>
        <row r="16">
          <cell r="A16" t="str">
            <v>심재곤</v>
          </cell>
          <cell r="B16" t="str">
            <v>1GAG1</v>
          </cell>
        </row>
        <row r="17">
          <cell r="A17" t="str">
            <v>김성수</v>
          </cell>
          <cell r="B17" t="str">
            <v>1HAH1</v>
          </cell>
        </row>
        <row r="18">
          <cell r="A18" t="str">
            <v>황은실</v>
          </cell>
          <cell r="B18" t="str">
            <v>1HAH1</v>
          </cell>
        </row>
        <row r="19">
          <cell r="A19" t="str">
            <v>김원곤</v>
          </cell>
          <cell r="B19" t="str">
            <v>1LAL1</v>
          </cell>
        </row>
        <row r="20">
          <cell r="A20" t="str">
            <v>추연우</v>
          </cell>
          <cell r="B20" t="str">
            <v>1LAL1</v>
          </cell>
        </row>
        <row r="21">
          <cell r="A21" t="str">
            <v>박은규</v>
          </cell>
          <cell r="B21" t="str">
            <v>1LAL1</v>
          </cell>
        </row>
        <row r="22">
          <cell r="A22" t="str">
            <v>장정현</v>
          </cell>
          <cell r="B22" t="str">
            <v>1LAL1</v>
          </cell>
        </row>
        <row r="23">
          <cell r="A23" t="str">
            <v>양민욱</v>
          </cell>
          <cell r="B23" t="str">
            <v>1LAL4</v>
          </cell>
        </row>
        <row r="24">
          <cell r="A24" t="str">
            <v>최영일</v>
          </cell>
          <cell r="B24" t="str">
            <v>1LAS1</v>
          </cell>
        </row>
        <row r="25">
          <cell r="A25" t="str">
            <v>이상천</v>
          </cell>
          <cell r="B25" t="str">
            <v>1LAS1</v>
          </cell>
        </row>
        <row r="26">
          <cell r="A26" t="str">
            <v>이재현</v>
          </cell>
          <cell r="B26" t="str">
            <v>1LAS1</v>
          </cell>
        </row>
        <row r="27">
          <cell r="A27" t="str">
            <v>황또나</v>
          </cell>
          <cell r="B27" t="str">
            <v>1LAS1</v>
          </cell>
        </row>
        <row r="28">
          <cell r="A28" t="str">
            <v>한영배</v>
          </cell>
          <cell r="B28" t="str">
            <v>1LAS1</v>
          </cell>
        </row>
        <row r="29">
          <cell r="A29" t="str">
            <v>김영욱</v>
          </cell>
          <cell r="B29" t="str">
            <v>1LAS1</v>
          </cell>
        </row>
        <row r="30">
          <cell r="A30" t="str">
            <v>김재호</v>
          </cell>
          <cell r="B30" t="str">
            <v>1LAS1</v>
          </cell>
        </row>
        <row r="31">
          <cell r="A31" t="str">
            <v>박경식</v>
          </cell>
          <cell r="B31" t="str">
            <v>1MAL1</v>
          </cell>
        </row>
        <row r="32">
          <cell r="A32" t="str">
            <v>박승우</v>
          </cell>
          <cell r="B32" t="str">
            <v>1MAL1</v>
          </cell>
        </row>
        <row r="33">
          <cell r="A33" t="str">
            <v>용하식</v>
          </cell>
          <cell r="B33" t="str">
            <v>1MAL1</v>
          </cell>
        </row>
        <row r="34">
          <cell r="A34" t="str">
            <v>여인관</v>
          </cell>
          <cell r="B34" t="str">
            <v>1MAL1</v>
          </cell>
        </row>
        <row r="35">
          <cell r="A35" t="str">
            <v>백인철</v>
          </cell>
          <cell r="B35" t="str">
            <v>1MAL1</v>
          </cell>
        </row>
        <row r="36">
          <cell r="A36" t="str">
            <v>김경애(산)</v>
          </cell>
          <cell r="B36" t="str">
            <v>1MAL1</v>
          </cell>
        </row>
        <row r="37">
          <cell r="A37" t="str">
            <v>정선금</v>
          </cell>
          <cell r="B37" t="str">
            <v>1MAL1</v>
          </cell>
        </row>
        <row r="38">
          <cell r="A38" t="str">
            <v>승금자</v>
          </cell>
          <cell r="B38" t="str">
            <v>1MAL1</v>
          </cell>
        </row>
        <row r="39">
          <cell r="A39" t="str">
            <v>이정금</v>
          </cell>
          <cell r="B39" t="str">
            <v>1MAL1</v>
          </cell>
        </row>
        <row r="40">
          <cell r="A40" t="str">
            <v>이영화(산)</v>
          </cell>
          <cell r="B40" t="str">
            <v>1MAL1</v>
          </cell>
        </row>
        <row r="41">
          <cell r="A41" t="str">
            <v>김옥경</v>
          </cell>
          <cell r="B41" t="str">
            <v>1MAL1</v>
          </cell>
        </row>
        <row r="42">
          <cell r="A42" t="str">
            <v>김옥화</v>
          </cell>
          <cell r="B42" t="str">
            <v>1MAL1</v>
          </cell>
        </row>
        <row r="43">
          <cell r="A43" t="str">
            <v>김은화</v>
          </cell>
          <cell r="B43" t="str">
            <v>1MAL1</v>
          </cell>
        </row>
        <row r="44">
          <cell r="A44" t="str">
            <v>최경애</v>
          </cell>
          <cell r="B44" t="str">
            <v>1MAL1</v>
          </cell>
        </row>
        <row r="45">
          <cell r="A45" t="str">
            <v>최옥주</v>
          </cell>
          <cell r="B45" t="str">
            <v>1MAL1</v>
          </cell>
        </row>
        <row r="46">
          <cell r="A46" t="str">
            <v>노현균</v>
          </cell>
          <cell r="B46" t="str">
            <v>1MAL1</v>
          </cell>
        </row>
        <row r="47">
          <cell r="A47" t="str">
            <v>김정미</v>
          </cell>
          <cell r="B47" t="str">
            <v>1MAL1</v>
          </cell>
        </row>
        <row r="48">
          <cell r="A48" t="str">
            <v>박지영</v>
          </cell>
          <cell r="B48" t="str">
            <v>1MAL1</v>
          </cell>
        </row>
        <row r="49">
          <cell r="A49" t="str">
            <v>최광용</v>
          </cell>
          <cell r="B49" t="str">
            <v>1MAL1</v>
          </cell>
        </row>
        <row r="50">
          <cell r="A50" t="str">
            <v>박현주</v>
          </cell>
          <cell r="B50" t="str">
            <v>1MAS1</v>
          </cell>
        </row>
        <row r="51">
          <cell r="A51" t="str">
            <v>서동혁</v>
          </cell>
          <cell r="B51" t="str">
            <v>1MAS1</v>
          </cell>
        </row>
        <row r="52">
          <cell r="A52" t="str">
            <v>차원우</v>
          </cell>
          <cell r="B52" t="str">
            <v>1MAS1</v>
          </cell>
        </row>
        <row r="53">
          <cell r="A53" t="str">
            <v>박우삼</v>
          </cell>
          <cell r="B53" t="str">
            <v>1MAS1</v>
          </cell>
        </row>
        <row r="54">
          <cell r="A54" t="str">
            <v>박국진</v>
          </cell>
          <cell r="B54" t="str">
            <v>1MAS1</v>
          </cell>
        </row>
        <row r="55">
          <cell r="A55" t="str">
            <v>황영순</v>
          </cell>
          <cell r="B55" t="str">
            <v>1MAS1</v>
          </cell>
        </row>
        <row r="56">
          <cell r="A56" t="str">
            <v>김성기</v>
          </cell>
          <cell r="B56" t="str">
            <v>1MAS1</v>
          </cell>
        </row>
        <row r="57">
          <cell r="A57" t="str">
            <v>이대석</v>
          </cell>
          <cell r="B57" t="str">
            <v>1MAS1</v>
          </cell>
        </row>
        <row r="58">
          <cell r="A58" t="str">
            <v>박정서</v>
          </cell>
          <cell r="B58" t="str">
            <v>1MAS2</v>
          </cell>
        </row>
        <row r="59">
          <cell r="A59" t="str">
            <v>성시욱</v>
          </cell>
          <cell r="B59" t="str">
            <v>1MAS2</v>
          </cell>
        </row>
        <row r="60">
          <cell r="A60" t="str">
            <v>김남복</v>
          </cell>
          <cell r="B60" t="str">
            <v>1MAS3</v>
          </cell>
        </row>
        <row r="61">
          <cell r="A61" t="str">
            <v>홍순서</v>
          </cell>
          <cell r="B61" t="str">
            <v>1MBL2</v>
          </cell>
        </row>
        <row r="62">
          <cell r="A62" t="str">
            <v>윤두이</v>
          </cell>
          <cell r="B62" t="str">
            <v>1MBL2</v>
          </cell>
        </row>
        <row r="63">
          <cell r="A63" t="str">
            <v>한상인</v>
          </cell>
          <cell r="B63" t="str">
            <v>1MBL2</v>
          </cell>
        </row>
        <row r="64">
          <cell r="A64" t="str">
            <v>유병희</v>
          </cell>
          <cell r="B64" t="str">
            <v>1MBL4</v>
          </cell>
        </row>
        <row r="65">
          <cell r="A65" t="str">
            <v>원천재</v>
          </cell>
          <cell r="B65" t="str">
            <v>1MBL4</v>
          </cell>
        </row>
        <row r="66">
          <cell r="A66" t="str">
            <v>최승호</v>
          </cell>
          <cell r="B66" t="str">
            <v>1MBL4</v>
          </cell>
        </row>
        <row r="67">
          <cell r="A67" t="str">
            <v>이찬순</v>
          </cell>
          <cell r="B67" t="str">
            <v>1MBL4</v>
          </cell>
        </row>
        <row r="68">
          <cell r="A68" t="str">
            <v>김명희</v>
          </cell>
          <cell r="B68" t="str">
            <v>1MBL4</v>
          </cell>
        </row>
        <row r="69">
          <cell r="A69" t="str">
            <v>김명순</v>
          </cell>
          <cell r="B69" t="str">
            <v>1MBL4</v>
          </cell>
        </row>
        <row r="70">
          <cell r="A70" t="str">
            <v>류송화</v>
          </cell>
          <cell r="B70" t="str">
            <v>1MBL4</v>
          </cell>
        </row>
        <row r="71">
          <cell r="A71" t="str">
            <v>권미자</v>
          </cell>
          <cell r="B71" t="str">
            <v>1MBL4</v>
          </cell>
        </row>
        <row r="72">
          <cell r="A72" t="str">
            <v>정진호</v>
          </cell>
          <cell r="B72" t="str">
            <v>1MBL4</v>
          </cell>
        </row>
        <row r="73">
          <cell r="A73" t="str">
            <v>정기훈</v>
          </cell>
          <cell r="B73" t="str">
            <v>1MBL4</v>
          </cell>
        </row>
        <row r="74">
          <cell r="A74" t="str">
            <v>맹인후</v>
          </cell>
          <cell r="B74" t="str">
            <v>1MBL4</v>
          </cell>
        </row>
        <row r="75">
          <cell r="A75" t="str">
            <v>함승인</v>
          </cell>
          <cell r="B75" t="str">
            <v>1MBL4</v>
          </cell>
        </row>
        <row r="76">
          <cell r="A76" t="str">
            <v>정상호</v>
          </cell>
          <cell r="B76" t="str">
            <v>1MBL4</v>
          </cell>
        </row>
        <row r="77">
          <cell r="A77" t="str">
            <v>이인수</v>
          </cell>
          <cell r="B77" t="str">
            <v>1MBL4</v>
          </cell>
        </row>
        <row r="78">
          <cell r="A78" t="str">
            <v>홍옥표</v>
          </cell>
          <cell r="B78" t="str">
            <v>1MBL4</v>
          </cell>
        </row>
        <row r="79">
          <cell r="A79" t="str">
            <v>임희정</v>
          </cell>
          <cell r="B79" t="str">
            <v>1MBL4</v>
          </cell>
        </row>
        <row r="80">
          <cell r="A80" t="str">
            <v>김병훈</v>
          </cell>
          <cell r="B80" t="str">
            <v>1MBL4</v>
          </cell>
        </row>
        <row r="81">
          <cell r="A81" t="str">
            <v>오진원</v>
          </cell>
          <cell r="B81" t="str">
            <v>1MBL4</v>
          </cell>
        </row>
        <row r="82">
          <cell r="A82" t="str">
            <v>이영화</v>
          </cell>
          <cell r="B82" t="str">
            <v>1MBL4</v>
          </cell>
        </row>
        <row r="83">
          <cell r="A83" t="str">
            <v>이미선</v>
          </cell>
          <cell r="B83" t="str">
            <v>1MBL4</v>
          </cell>
        </row>
        <row r="84">
          <cell r="A84" t="str">
            <v>최동선</v>
          </cell>
          <cell r="B84" t="str">
            <v>1MBL4</v>
          </cell>
        </row>
        <row r="85">
          <cell r="A85" t="str">
            <v>박성규</v>
          </cell>
          <cell r="B85" t="str">
            <v>1MBL4</v>
          </cell>
        </row>
        <row r="86">
          <cell r="A86" t="str">
            <v>이연화</v>
          </cell>
          <cell r="B86" t="str">
            <v>1MBL4</v>
          </cell>
        </row>
        <row r="87">
          <cell r="A87" t="str">
            <v>정명화</v>
          </cell>
          <cell r="B87" t="str">
            <v>1MBL4</v>
          </cell>
        </row>
        <row r="88">
          <cell r="A88" t="str">
            <v>우춘대</v>
          </cell>
          <cell r="B88" t="str">
            <v>1MBL4</v>
          </cell>
        </row>
        <row r="89">
          <cell r="A89" t="str">
            <v>이원효</v>
          </cell>
          <cell r="B89" t="str">
            <v>1MBS2</v>
          </cell>
        </row>
        <row r="90">
          <cell r="A90" t="str">
            <v>김정희-생산</v>
          </cell>
          <cell r="B90" t="str">
            <v>1MBS2</v>
          </cell>
        </row>
        <row r="91">
          <cell r="A91" t="str">
            <v>박인남</v>
          </cell>
          <cell r="B91" t="str">
            <v>1MBS2</v>
          </cell>
        </row>
        <row r="92">
          <cell r="A92" t="str">
            <v>홍금화</v>
          </cell>
          <cell r="B92" t="str">
            <v>1MBS2</v>
          </cell>
        </row>
        <row r="93">
          <cell r="A93" t="str">
            <v>권미숙</v>
          </cell>
          <cell r="B93" t="str">
            <v>1MBS2</v>
          </cell>
        </row>
        <row r="94">
          <cell r="A94" t="str">
            <v>조영숙</v>
          </cell>
          <cell r="B94" t="str">
            <v>1MBS2</v>
          </cell>
        </row>
        <row r="95">
          <cell r="A95" t="str">
            <v>조경자</v>
          </cell>
          <cell r="B95" t="str">
            <v>1MBS2</v>
          </cell>
        </row>
        <row r="96">
          <cell r="A96" t="str">
            <v>석은자</v>
          </cell>
          <cell r="B96" t="str">
            <v>1MBS2</v>
          </cell>
        </row>
        <row r="97">
          <cell r="A97" t="str">
            <v>김경애</v>
          </cell>
          <cell r="B97" t="str">
            <v>1MBS2</v>
          </cell>
        </row>
        <row r="98">
          <cell r="A98" t="str">
            <v>김대훈</v>
          </cell>
          <cell r="B98" t="str">
            <v>1MBS2</v>
          </cell>
        </row>
        <row r="99">
          <cell r="A99" t="str">
            <v>김정희-IT</v>
          </cell>
          <cell r="B99" t="str">
            <v>1NAN1</v>
          </cell>
        </row>
        <row r="100">
          <cell r="A100" t="str">
            <v>최영숙</v>
          </cell>
          <cell r="B100" t="str">
            <v>1NAN1</v>
          </cell>
        </row>
        <row r="101">
          <cell r="A101" t="str">
            <v>조영재</v>
          </cell>
          <cell r="B101" t="str">
            <v>1NAN1</v>
          </cell>
        </row>
        <row r="102">
          <cell r="A102" t="str">
            <v>김범수</v>
          </cell>
          <cell r="B102" t="str">
            <v>1NAN1</v>
          </cell>
        </row>
        <row r="103">
          <cell r="A103" t="str">
            <v>손태규</v>
          </cell>
          <cell r="B103" t="str">
            <v>1PAL1</v>
          </cell>
        </row>
        <row r="104">
          <cell r="A104" t="str">
            <v>장지희</v>
          </cell>
          <cell r="B104" t="str">
            <v>1PAL1</v>
          </cell>
        </row>
        <row r="105">
          <cell r="A105" t="str">
            <v>김동현</v>
          </cell>
          <cell r="B105" t="str">
            <v>1PAP1</v>
          </cell>
        </row>
        <row r="106">
          <cell r="A106" t="str">
            <v>김동수</v>
          </cell>
          <cell r="B106" t="str">
            <v>1PAP1</v>
          </cell>
        </row>
        <row r="107">
          <cell r="A107" t="str">
            <v>허성주</v>
          </cell>
          <cell r="B107" t="str">
            <v>1PAP1</v>
          </cell>
        </row>
        <row r="108">
          <cell r="A108" t="str">
            <v>정진욱</v>
          </cell>
          <cell r="B108" t="str">
            <v>1PAP1</v>
          </cell>
        </row>
        <row r="109">
          <cell r="A109" t="str">
            <v>최흥묵</v>
          </cell>
          <cell r="B109" t="str">
            <v>1QAQ1</v>
          </cell>
        </row>
        <row r="110">
          <cell r="A110" t="str">
            <v>송종필</v>
          </cell>
          <cell r="B110" t="str">
            <v>1QAQ1</v>
          </cell>
        </row>
        <row r="111">
          <cell r="A111" t="str">
            <v>이성우</v>
          </cell>
          <cell r="B111" t="str">
            <v>1QAQ1</v>
          </cell>
        </row>
        <row r="112">
          <cell r="A112" t="str">
            <v>김성열</v>
          </cell>
          <cell r="B112" t="str">
            <v>1QAQ1</v>
          </cell>
        </row>
        <row r="113">
          <cell r="A113" t="str">
            <v>이상욱</v>
          </cell>
          <cell r="B113" t="str">
            <v>1QAQ1</v>
          </cell>
        </row>
        <row r="114">
          <cell r="A114" t="str">
            <v>양의모</v>
          </cell>
          <cell r="B114" t="str">
            <v>1QAQ1</v>
          </cell>
        </row>
        <row r="115">
          <cell r="A115" t="str">
            <v>채은옥</v>
          </cell>
          <cell r="B115" t="str">
            <v>1QAQ1</v>
          </cell>
        </row>
        <row r="116">
          <cell r="A116" t="str">
            <v>박철민</v>
          </cell>
          <cell r="B116" t="str">
            <v>1QAQ1</v>
          </cell>
        </row>
        <row r="117">
          <cell r="A117" t="str">
            <v>조은영</v>
          </cell>
          <cell r="B117" t="str">
            <v>1SAL2</v>
          </cell>
        </row>
        <row r="118">
          <cell r="A118" t="str">
            <v>유동호</v>
          </cell>
          <cell r="B118" t="str">
            <v>1SAL2</v>
          </cell>
        </row>
        <row r="119">
          <cell r="A119" t="str">
            <v>정태기</v>
          </cell>
          <cell r="B119" t="str">
            <v>1SAL4</v>
          </cell>
        </row>
        <row r="120">
          <cell r="A120" t="str">
            <v>박선규</v>
          </cell>
          <cell r="B120" t="str">
            <v>1SAL4</v>
          </cell>
        </row>
        <row r="121">
          <cell r="A121" t="str">
            <v>정인애</v>
          </cell>
          <cell r="B121" t="str">
            <v>1SAL4</v>
          </cell>
        </row>
        <row r="122">
          <cell r="A122" t="str">
            <v>조현오</v>
          </cell>
          <cell r="B122" t="str">
            <v>1SAL4</v>
          </cell>
        </row>
        <row r="123">
          <cell r="A123" t="str">
            <v>윤은숙</v>
          </cell>
          <cell r="B123" t="str">
            <v>1SAL4</v>
          </cell>
        </row>
        <row r="124">
          <cell r="A124" t="str">
            <v>주지영</v>
          </cell>
          <cell r="B124" t="str">
            <v>1SAL4</v>
          </cell>
        </row>
        <row r="125">
          <cell r="A125" t="str">
            <v>김현자</v>
          </cell>
          <cell r="B125" t="str">
            <v>1SAL4</v>
          </cell>
        </row>
        <row r="126">
          <cell r="A126" t="str">
            <v>유승국</v>
          </cell>
          <cell r="B126" t="str">
            <v>1SAL4</v>
          </cell>
        </row>
        <row r="127">
          <cell r="A127" t="str">
            <v>이웅보</v>
          </cell>
          <cell r="B127" t="str">
            <v>1SAL4</v>
          </cell>
        </row>
        <row r="128">
          <cell r="A128" t="str">
            <v>김채연</v>
          </cell>
          <cell r="B128" t="str">
            <v>1SAL4</v>
          </cell>
        </row>
        <row r="129">
          <cell r="A129" t="str">
            <v>윤선영</v>
          </cell>
          <cell r="B129" t="str">
            <v>1SAM2</v>
          </cell>
        </row>
        <row r="130">
          <cell r="A130" t="str">
            <v>김정민</v>
          </cell>
          <cell r="B130" t="str">
            <v>1SAM2</v>
          </cell>
        </row>
        <row r="131">
          <cell r="A131" t="str">
            <v>조준선</v>
          </cell>
          <cell r="B131" t="str">
            <v>1SAM2</v>
          </cell>
        </row>
        <row r="132">
          <cell r="A132" t="str">
            <v>조하</v>
          </cell>
          <cell r="B132" t="str">
            <v>1SAM2</v>
          </cell>
        </row>
        <row r="133">
          <cell r="A133" t="str">
            <v>황홍제</v>
          </cell>
          <cell r="B133" t="str">
            <v>1SAM2</v>
          </cell>
        </row>
        <row r="134">
          <cell r="A134" t="str">
            <v>이소영</v>
          </cell>
          <cell r="B134" t="str">
            <v>1SAM3</v>
          </cell>
        </row>
        <row r="135">
          <cell r="A135" t="str">
            <v>김연준</v>
          </cell>
          <cell r="B135" t="str">
            <v>1SAM3</v>
          </cell>
        </row>
        <row r="136">
          <cell r="A136" t="str">
            <v>김중호</v>
          </cell>
          <cell r="B136" t="str">
            <v>1SAM3</v>
          </cell>
        </row>
        <row r="137">
          <cell r="A137" t="str">
            <v>한지혜</v>
          </cell>
          <cell r="B137" t="str">
            <v>1SAM3</v>
          </cell>
        </row>
        <row r="138">
          <cell r="A138" t="str">
            <v>김석호</v>
          </cell>
          <cell r="B138" t="str">
            <v>1SAM3</v>
          </cell>
        </row>
        <row r="139">
          <cell r="A139" t="str">
            <v>이하정</v>
          </cell>
          <cell r="B139" t="str">
            <v>1SAM3</v>
          </cell>
        </row>
        <row r="140">
          <cell r="A140" t="str">
            <v>조한신</v>
          </cell>
          <cell r="B140" t="str">
            <v>1SAS1</v>
          </cell>
        </row>
        <row r="141">
          <cell r="A141" t="str">
            <v>윤미야</v>
          </cell>
          <cell r="B141" t="str">
            <v>1SAS1</v>
          </cell>
        </row>
        <row r="142">
          <cell r="A142" t="str">
            <v>허은영</v>
          </cell>
          <cell r="B142" t="str">
            <v>1SAS1</v>
          </cell>
        </row>
        <row r="143">
          <cell r="A143" t="str">
            <v>최민일</v>
          </cell>
          <cell r="B143" t="str">
            <v>1SAS1</v>
          </cell>
        </row>
        <row r="144">
          <cell r="A144" t="str">
            <v>정지은</v>
          </cell>
          <cell r="B144" t="str">
            <v>1SAS1</v>
          </cell>
        </row>
        <row r="145">
          <cell r="A145" t="str">
            <v>강명희</v>
          </cell>
          <cell r="B145" t="str">
            <v>1SAY1</v>
          </cell>
        </row>
        <row r="146">
          <cell r="A146" t="str">
            <v>권유은</v>
          </cell>
          <cell r="B146" t="str">
            <v>1SAY1</v>
          </cell>
        </row>
        <row r="147">
          <cell r="A147" t="str">
            <v>나원희</v>
          </cell>
          <cell r="B147" t="str">
            <v>1SAY1</v>
          </cell>
        </row>
        <row r="148">
          <cell r="A148" t="str">
            <v>박주완</v>
          </cell>
          <cell r="B148" t="str">
            <v>1SAY1</v>
          </cell>
        </row>
        <row r="149">
          <cell r="A149" t="str">
            <v>김정운</v>
          </cell>
          <cell r="B149" t="str">
            <v>1SAY1</v>
          </cell>
        </row>
        <row r="150">
          <cell r="A150" t="str">
            <v>이상호</v>
          </cell>
          <cell r="B150" t="str">
            <v>5GAG1</v>
          </cell>
        </row>
        <row r="151">
          <cell r="A151" t="str">
            <v>김영호</v>
          </cell>
          <cell r="B151" t="str">
            <v>5LAT1</v>
          </cell>
        </row>
        <row r="152">
          <cell r="A152" t="str">
            <v>홍성균</v>
          </cell>
          <cell r="B152" t="str">
            <v>5LAT1</v>
          </cell>
        </row>
        <row r="153">
          <cell r="A153" t="str">
            <v>김덕제</v>
          </cell>
          <cell r="B153" t="str">
            <v>5LAT1</v>
          </cell>
        </row>
        <row r="154">
          <cell r="A154" t="str">
            <v>박호신</v>
          </cell>
          <cell r="B154" t="str">
            <v>5MAD1</v>
          </cell>
        </row>
        <row r="155">
          <cell r="A155" t="str">
            <v>최규용</v>
          </cell>
          <cell r="B155" t="str">
            <v>5MAD1</v>
          </cell>
        </row>
        <row r="156">
          <cell r="A156" t="str">
            <v>김범연</v>
          </cell>
          <cell r="B156" t="str">
            <v>5MAD1</v>
          </cell>
        </row>
        <row r="157">
          <cell r="A157" t="str">
            <v>강명성</v>
          </cell>
          <cell r="B157" t="str">
            <v>5MAT1</v>
          </cell>
        </row>
        <row r="158">
          <cell r="A158" t="str">
            <v>염경자</v>
          </cell>
          <cell r="B158" t="str">
            <v>5MAT1</v>
          </cell>
        </row>
        <row r="159">
          <cell r="A159" t="str">
            <v>손영애</v>
          </cell>
          <cell r="B159" t="str">
            <v>5MAT1</v>
          </cell>
        </row>
        <row r="160">
          <cell r="A160" t="str">
            <v>임철수</v>
          </cell>
          <cell r="B160" t="str">
            <v>5MAT1</v>
          </cell>
        </row>
        <row r="161">
          <cell r="A161" t="str">
            <v>김종택</v>
          </cell>
          <cell r="B161" t="str">
            <v>5MBD1</v>
          </cell>
        </row>
        <row r="162">
          <cell r="A162" t="str">
            <v>전창규</v>
          </cell>
          <cell r="B162" t="str">
            <v>5MBD1</v>
          </cell>
        </row>
        <row r="163">
          <cell r="A163" t="str">
            <v>허성웅</v>
          </cell>
          <cell r="B163" t="str">
            <v>5MBD1</v>
          </cell>
        </row>
        <row r="164">
          <cell r="A164" t="str">
            <v>이효재</v>
          </cell>
          <cell r="B164" t="str">
            <v>5MBD1</v>
          </cell>
        </row>
        <row r="165">
          <cell r="A165" t="str">
            <v>김홍석</v>
          </cell>
          <cell r="B165" t="str">
            <v>5MBM1</v>
          </cell>
        </row>
        <row r="166">
          <cell r="A166" t="str">
            <v>조성중</v>
          </cell>
          <cell r="B166" t="str">
            <v>5MBT2</v>
          </cell>
        </row>
        <row r="167">
          <cell r="A167" t="str">
            <v>이명숙</v>
          </cell>
          <cell r="B167" t="str">
            <v>5MBT2</v>
          </cell>
        </row>
        <row r="168">
          <cell r="A168" t="str">
            <v>조계순</v>
          </cell>
          <cell r="B168" t="str">
            <v>5MBT2</v>
          </cell>
        </row>
        <row r="169">
          <cell r="A169" t="str">
            <v>이미경</v>
          </cell>
          <cell r="B169" t="str">
            <v>5MBT2</v>
          </cell>
        </row>
        <row r="170">
          <cell r="A170" t="str">
            <v>박순희</v>
          </cell>
          <cell r="B170" t="str">
            <v>5MBT2</v>
          </cell>
        </row>
        <row r="171">
          <cell r="A171" t="str">
            <v>박경진</v>
          </cell>
          <cell r="B171" t="str">
            <v>5MBT2</v>
          </cell>
        </row>
        <row r="172">
          <cell r="A172" t="str">
            <v>이명숙-B</v>
          </cell>
          <cell r="B172" t="str">
            <v>5MBT2</v>
          </cell>
        </row>
        <row r="173">
          <cell r="A173" t="str">
            <v>권금향</v>
          </cell>
          <cell r="B173" t="str">
            <v>5MBT6</v>
          </cell>
        </row>
        <row r="174">
          <cell r="A174" t="str">
            <v>김영환</v>
          </cell>
          <cell r="B174" t="str">
            <v>5PAP1</v>
          </cell>
        </row>
        <row r="175">
          <cell r="A175" t="str">
            <v>신영승</v>
          </cell>
          <cell r="B175" t="str">
            <v>5QAQ1</v>
          </cell>
        </row>
        <row r="176">
          <cell r="A176" t="str">
            <v>장원규</v>
          </cell>
          <cell r="B176" t="str">
            <v>5QAQ1</v>
          </cell>
        </row>
        <row r="177">
          <cell r="A177" t="str">
            <v>안병선</v>
          </cell>
          <cell r="B177" t="str">
            <v>5QAQ1</v>
          </cell>
        </row>
        <row r="178">
          <cell r="A178" t="str">
            <v>김락현</v>
          </cell>
          <cell r="B178" t="str">
            <v>5QAQ1</v>
          </cell>
        </row>
        <row r="179">
          <cell r="A179" t="str">
            <v>전충식</v>
          </cell>
          <cell r="B179" t="str">
            <v>5QAQ1</v>
          </cell>
        </row>
        <row r="180">
          <cell r="A180" t="str">
            <v>이준희</v>
          </cell>
          <cell r="B180" t="str">
            <v>5QAQ1</v>
          </cell>
        </row>
        <row r="181">
          <cell r="A181" t="str">
            <v>송호민</v>
          </cell>
          <cell r="B181" t="str">
            <v>5SAM2</v>
          </cell>
        </row>
        <row r="182">
          <cell r="A182" t="str">
            <v>조은정</v>
          </cell>
          <cell r="B182" t="str">
            <v>5SAM2</v>
          </cell>
        </row>
        <row r="183">
          <cell r="A183" t="str">
            <v>이병철</v>
          </cell>
          <cell r="B183" t="str">
            <v>5SAY1</v>
          </cell>
        </row>
        <row r="184">
          <cell r="A184" t="str">
            <v>김수민</v>
          </cell>
          <cell r="B184" t="str">
            <v>5SAY1</v>
          </cell>
        </row>
        <row r="185">
          <cell r="A185" t="str">
            <v>장현인</v>
          </cell>
          <cell r="B185" t="str">
            <v>5SAY1</v>
          </cell>
        </row>
        <row r="186">
          <cell r="A186" t="str">
            <v>김기양</v>
          </cell>
          <cell r="B186" t="str">
            <v>5SAY1</v>
          </cell>
        </row>
        <row r="187">
          <cell r="A187" t="str">
            <v>신덕수</v>
          </cell>
          <cell r="B187" t="str">
            <v>5SAY1</v>
          </cell>
        </row>
        <row r="188">
          <cell r="A188" t="str">
            <v>김은숙</v>
          </cell>
          <cell r="B188" t="str">
            <v>5SAY2</v>
          </cell>
        </row>
        <row r="189">
          <cell r="A189" t="str">
            <v>이정진</v>
          </cell>
          <cell r="B189" t="str">
            <v>5SAY2</v>
          </cell>
        </row>
        <row r="190">
          <cell r="A190" t="str">
            <v>오혜연</v>
          </cell>
          <cell r="B190" t="str">
            <v>5SAY2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VXXX"/>
      <sheetName val="간지"/>
      <sheetName val="갑지"/>
      <sheetName val="총괄"/>
      <sheetName val="세부"/>
      <sheetName val="목록"/>
      <sheetName val="대가"/>
      <sheetName val="노임"/>
      <sheetName val="자재"/>
      <sheetName val="일위산출"/>
      <sheetName val="직노"/>
      <sheetName val="분전함신설"/>
      <sheetName val="접지1종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O3" t="str">
            <v>▣ 수목 일위대가 목록</v>
          </cell>
        </row>
      </sheetData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표지(1)"/>
      <sheetName val="목차"/>
      <sheetName val="간지1"/>
      <sheetName val="공사원가서"/>
      <sheetName val="간지2"/>
      <sheetName val="예산조서"/>
      <sheetName val="공사원가"/>
      <sheetName val="예산조서1"/>
      <sheetName val="설계수량 (2)"/>
      <sheetName val="소프트웨어"/>
      <sheetName val="직접경비"/>
      <sheetName val="설계수량"/>
      <sheetName val="익산개수"/>
      <sheetName val="관촌개수"/>
      <sheetName val="임실개수"/>
      <sheetName val="봉천개수"/>
      <sheetName val="오수개수"/>
      <sheetName val="개수기준"/>
      <sheetName val="목록"/>
      <sheetName val="일위산출"/>
      <sheetName val="4.설계예산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가.</v>
          </cell>
        </row>
      </sheetData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(신설)"/>
      <sheetName val="1공구총(신설)"/>
      <sheetName val="2공구총(신설)"/>
      <sheetName val="교육설비(2공구)"/>
      <sheetName val="총(신설)(참고)"/>
      <sheetName val="#REF"/>
      <sheetName val="일위대가"/>
      <sheetName val="총(철거)"/>
      <sheetName val="BID"/>
      <sheetName val="설계수량"/>
      <sheetName val="도담구내 개소별 명세"/>
      <sheetName val="공사설계서"/>
      <sheetName val="수량산출"/>
      <sheetName val="일위산출"/>
      <sheetName val="48신설단가"/>
      <sheetName val="Sheet1"/>
      <sheetName val="분전함신설"/>
      <sheetName val="접지1종"/>
      <sheetName val="내역"/>
      <sheetName val="콘_재료분리_1_"/>
      <sheetName val="48일위"/>
      <sheetName val="일위대가표"/>
      <sheetName val="UNIT"/>
      <sheetName val="산출1"/>
      <sheetName val="8.수량산출 (2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"/>
      <sheetName val="자재단가"/>
      <sheetName val="48수량"/>
      <sheetName val="48인공"/>
      <sheetName val="48일위"/>
      <sheetName val="48수량(기존)"/>
      <sheetName val="48인공(기존)"/>
      <sheetName val="48일위(기존)"/>
      <sheetName val="총괄표"/>
      <sheetName val="공내역"/>
      <sheetName val="공내역(기존)"/>
      <sheetName val="수량계산"/>
      <sheetName val="일위산출"/>
      <sheetName val="일위대가 "/>
      <sheetName val="전체"/>
      <sheetName val="수량산출"/>
      <sheetName val="단가산출"/>
      <sheetName val="설계수량"/>
      <sheetName val="8.수량산출 (2)"/>
      <sheetName val="단가"/>
      <sheetName val="잡비산출"/>
      <sheetName val="내역서(1단계1공구)"/>
      <sheetName val="공종구간"/>
      <sheetName val="예비"/>
      <sheetName val="총(신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서식변경사항"/>
      <sheetName val="안내문 "/>
      <sheetName val="작성사례"/>
      <sheetName val="붙임1 연말정산내역처리결과"/>
      <sheetName val="붙임2-1  지급조서명세서(2001년분)"/>
      <sheetName val="붙임2-2  지급조서명세서(2002년분)"/>
      <sheetName val="붙임2-3  지급조서명세서(2003년분)"/>
      <sheetName val="붙임3 발행기관코드"/>
      <sheetName val="재직사항"/>
      <sheetName val="설계명세서"/>
      <sheetName val="자료입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단가산출"/>
      <sheetName val="수량산출"/>
      <sheetName val="인공산출"/>
      <sheetName val="노임"/>
      <sheetName val="자재"/>
      <sheetName val="노임단가"/>
      <sheetName val="노단"/>
      <sheetName val="36단가"/>
      <sheetName val="36수량"/>
      <sheetName val="집계표"/>
      <sheetName val="관급자재"/>
      <sheetName val="인건비"/>
      <sheetName val="철거산출근거"/>
      <sheetName val="전력내역"/>
      <sheetName val="내역집계표"/>
      <sheetName val="2공종별예산조서"/>
      <sheetName val="코드표"/>
      <sheetName val="노무비"/>
      <sheetName val="9GNG운반"/>
      <sheetName val="3.설계예산내역서(예산서)"/>
      <sheetName val="2.예정공정표"/>
      <sheetName val="48단가"/>
      <sheetName val="22단가"/>
      <sheetName val="49단가"/>
      <sheetName val="48산출"/>
      <sheetName val="22산출"/>
      <sheetName val="49산출"/>
      <sheetName val="총(신설)"/>
      <sheetName val="수목표준대가"/>
      <sheetName val="48일위"/>
      <sheetName val="C-노임단가"/>
      <sheetName val="건축내역"/>
      <sheetName val="8.수량산출 (2)"/>
      <sheetName val="48일위(기존)"/>
    </sheetNames>
    <sheetDataSet>
      <sheetData sheetId="0"/>
      <sheetData sheetId="1"/>
      <sheetData sheetId="2"/>
      <sheetData sheetId="3"/>
      <sheetData sheetId="4">
        <row r="2">
          <cell r="D2">
            <v>2000.2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일위대가"/>
      <sheetName val="Sheet1"/>
      <sheetName val="1,2공구원가계산서"/>
      <sheetName val="2공구산출내역"/>
      <sheetName val="1공구산출내역서"/>
      <sheetName val="일위산출근거"/>
      <sheetName val="자재단가"/>
      <sheetName val="약품공급2"/>
      <sheetName val="전체"/>
      <sheetName val="단가비교"/>
      <sheetName val="철거산출근거"/>
      <sheetName val="직노"/>
      <sheetName val="하조서"/>
      <sheetName val="자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급여명세서"/>
      <sheetName val="급여계약서"/>
      <sheetName val="연봉데이타"/>
    </sheetNames>
    <sheetDataSet>
      <sheetData sheetId="0" refreshError="1"/>
      <sheetData sheetId="1" refreshError="1"/>
      <sheetData sheetId="2">
        <row r="1">
          <cell r="A1" t="str">
            <v>성명</v>
          </cell>
          <cell r="B1" t="str">
            <v>사번</v>
          </cell>
          <cell r="C1" t="str">
            <v>소속코드</v>
          </cell>
          <cell r="D1" t="str">
            <v>소속(1)</v>
          </cell>
          <cell r="E1" t="str">
            <v>소속(2)</v>
          </cell>
          <cell r="F1" t="str">
            <v>직무</v>
          </cell>
          <cell r="G1" t="str">
            <v>호칭</v>
          </cell>
          <cell r="H1" t="str">
            <v>급</v>
          </cell>
          <cell r="I1" t="str">
            <v>호</v>
          </cell>
          <cell r="J1" t="str">
            <v>급호</v>
          </cell>
          <cell r="K1" t="str">
            <v>직군</v>
          </cell>
          <cell r="L1" t="str">
            <v>역할등급</v>
          </cell>
          <cell r="M1" t="str">
            <v>평가등급</v>
          </cell>
          <cell r="N1" t="str">
            <v>역할급</v>
          </cell>
          <cell r="O1" t="str">
            <v>기타급여</v>
          </cell>
          <cell r="P1" t="str">
            <v>변동급</v>
          </cell>
          <cell r="Q1" t="str">
            <v>지급율</v>
          </cell>
          <cell r="R1" t="str">
            <v>역할급</v>
          </cell>
          <cell r="S1" t="str">
            <v>역할조정급</v>
          </cell>
          <cell r="T1" t="str">
            <v>팀장수당</v>
          </cell>
          <cell r="U1" t="str">
            <v>인센티브</v>
          </cell>
          <cell r="V1" t="str">
            <v>역할급삭감</v>
          </cell>
          <cell r="W1" t="str">
            <v>기타급여</v>
          </cell>
          <cell r="X1" t="str">
            <v>변동급</v>
          </cell>
          <cell r="Y1" t="str">
            <v>변동급삭감</v>
          </cell>
          <cell r="Z1" t="str">
            <v>변동급추가</v>
          </cell>
          <cell r="AA1" t="str">
            <v>변동급조정</v>
          </cell>
          <cell r="AB1" t="str">
            <v>총연봉</v>
          </cell>
          <cell r="AC1" t="str">
            <v>역할급</v>
          </cell>
          <cell r="AD1" t="str">
            <v>변동급</v>
          </cell>
          <cell r="AE1" t="str">
            <v>역할조정급</v>
          </cell>
          <cell r="AF1" t="str">
            <v>기타급여1</v>
          </cell>
          <cell r="AG1" t="str">
            <v>팀장수당</v>
          </cell>
          <cell r="AH1" t="str">
            <v>인센티브</v>
          </cell>
          <cell r="AI1" t="str">
            <v>출납수당</v>
          </cell>
          <cell r="AJ1" t="str">
            <v>조사수당</v>
          </cell>
          <cell r="AK1" t="str">
            <v>기타급여2</v>
          </cell>
          <cell r="AL1" t="str">
            <v>연간급여계</v>
          </cell>
          <cell r="AM1" t="str">
            <v>순번</v>
          </cell>
        </row>
        <row r="2">
          <cell r="A2" t="str">
            <v>최웅길</v>
          </cell>
          <cell r="B2">
            <v>9131237</v>
          </cell>
          <cell r="C2" t="str">
            <v>0002440</v>
          </cell>
          <cell r="D2" t="str">
            <v>NC사업부</v>
          </cell>
          <cell r="E2" t="str">
            <v>NC사업부</v>
          </cell>
          <cell r="F2" t="str">
            <v>인큐지원역</v>
          </cell>
          <cell r="G2" t="str">
            <v>차장</v>
          </cell>
          <cell r="H2" t="str">
            <v>21</v>
          </cell>
          <cell r="I2" t="str">
            <v>05</v>
          </cell>
          <cell r="J2">
            <v>2105</v>
          </cell>
          <cell r="K2" t="str">
            <v>일반직</v>
          </cell>
          <cell r="L2" t="str">
            <v>G1</v>
          </cell>
          <cell r="M2" t="str">
            <v>B</v>
          </cell>
          <cell r="N2">
            <v>47310000</v>
          </cell>
          <cell r="O2">
            <v>1200000</v>
          </cell>
          <cell r="P2">
            <v>12925750</v>
          </cell>
          <cell r="Q2">
            <v>1</v>
          </cell>
          <cell r="R2">
            <v>47310000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1200000</v>
          </cell>
          <cell r="X2">
            <v>12925750</v>
          </cell>
          <cell r="Y2">
            <v>-586200</v>
          </cell>
          <cell r="Z2">
            <v>0</v>
          </cell>
          <cell r="AA2">
            <v>0</v>
          </cell>
          <cell r="AB2">
            <v>60849550</v>
          </cell>
          <cell r="AC2">
            <v>47310000</v>
          </cell>
          <cell r="AD2">
            <v>12339550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K2">
            <v>1200000</v>
          </cell>
          <cell r="AL2">
            <v>60849550</v>
          </cell>
          <cell r="AM2">
            <v>2</v>
          </cell>
        </row>
        <row r="3">
          <cell r="A3" t="str">
            <v>엄정순</v>
          </cell>
          <cell r="B3">
            <v>9132195</v>
          </cell>
          <cell r="C3" t="str">
            <v>0002441</v>
          </cell>
          <cell r="D3" t="str">
            <v>NC사업부</v>
          </cell>
          <cell r="E3" t="str">
            <v>Bancassurance</v>
          </cell>
          <cell r="F3" t="str">
            <v>교육지원</v>
          </cell>
          <cell r="G3" t="str">
            <v>대리</v>
          </cell>
          <cell r="H3" t="str">
            <v>31</v>
          </cell>
          <cell r="I3" t="str">
            <v>04</v>
          </cell>
          <cell r="J3">
            <v>3104</v>
          </cell>
          <cell r="K3" t="str">
            <v>사무직</v>
          </cell>
          <cell r="L3" t="str">
            <v>G3</v>
          </cell>
          <cell r="M3" t="str">
            <v>A</v>
          </cell>
          <cell r="N3">
            <v>37699440</v>
          </cell>
          <cell r="O3">
            <v>1200000</v>
          </cell>
          <cell r="P3">
            <v>6214000</v>
          </cell>
          <cell r="Q3">
            <v>1.5</v>
          </cell>
          <cell r="R3">
            <v>37699440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1200000</v>
          </cell>
          <cell r="X3">
            <v>9321000</v>
          </cell>
          <cell r="Y3">
            <v>0</v>
          </cell>
          <cell r="Z3">
            <v>0</v>
          </cell>
          <cell r="AA3">
            <v>0</v>
          </cell>
          <cell r="AB3">
            <v>48220440</v>
          </cell>
          <cell r="AC3">
            <v>37699440</v>
          </cell>
          <cell r="AD3">
            <v>9321000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K3">
            <v>1200000</v>
          </cell>
          <cell r="AL3">
            <v>48220440</v>
          </cell>
          <cell r="AM3">
            <v>3</v>
          </cell>
        </row>
        <row r="4">
          <cell r="A4" t="str">
            <v>정중환</v>
          </cell>
          <cell r="B4">
            <v>9132977</v>
          </cell>
          <cell r="C4" t="str">
            <v>0002441</v>
          </cell>
          <cell r="D4" t="str">
            <v>NC사업부</v>
          </cell>
          <cell r="E4" t="str">
            <v>Bancassurance</v>
          </cell>
          <cell r="F4" t="str">
            <v>영업매니저</v>
          </cell>
          <cell r="G4" t="str">
            <v>과장</v>
          </cell>
          <cell r="H4" t="str">
            <v>22</v>
          </cell>
          <cell r="I4" t="str">
            <v>05</v>
          </cell>
          <cell r="J4">
            <v>2205</v>
          </cell>
          <cell r="K4" t="str">
            <v>일반직</v>
          </cell>
          <cell r="L4" t="str">
            <v>G2</v>
          </cell>
          <cell r="M4" t="str">
            <v>A</v>
          </cell>
          <cell r="N4">
            <v>39795000</v>
          </cell>
          <cell r="O4">
            <v>1200000</v>
          </cell>
          <cell r="P4">
            <v>9416730</v>
          </cell>
          <cell r="Q4">
            <v>1.5</v>
          </cell>
          <cell r="R4">
            <v>39795000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1200000</v>
          </cell>
          <cell r="X4">
            <v>14125100</v>
          </cell>
          <cell r="Y4">
            <v>0</v>
          </cell>
          <cell r="Z4">
            <v>440490</v>
          </cell>
          <cell r="AA4">
            <v>0</v>
          </cell>
          <cell r="AB4">
            <v>55560590</v>
          </cell>
          <cell r="AC4">
            <v>39795000</v>
          </cell>
          <cell r="AD4">
            <v>14565590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K4">
            <v>1200000</v>
          </cell>
          <cell r="AL4">
            <v>55560590</v>
          </cell>
          <cell r="AM4">
            <v>4</v>
          </cell>
        </row>
        <row r="5">
          <cell r="A5" t="str">
            <v>신동운</v>
          </cell>
          <cell r="B5">
            <v>9133825</v>
          </cell>
          <cell r="C5" t="str">
            <v>0002441</v>
          </cell>
          <cell r="D5" t="str">
            <v>NC사업부</v>
          </cell>
          <cell r="E5" t="str">
            <v>Bancassurance</v>
          </cell>
          <cell r="F5" t="str">
            <v>영업매니저</v>
          </cell>
          <cell r="G5" t="str">
            <v>과장</v>
          </cell>
          <cell r="H5" t="str">
            <v>22</v>
          </cell>
          <cell r="I5" t="str">
            <v>05</v>
          </cell>
          <cell r="J5">
            <v>2205</v>
          </cell>
          <cell r="K5" t="str">
            <v>일반직</v>
          </cell>
          <cell r="L5" t="str">
            <v>G2</v>
          </cell>
          <cell r="M5" t="str">
            <v>B</v>
          </cell>
          <cell r="N5">
            <v>39795000</v>
          </cell>
          <cell r="O5">
            <v>1200000</v>
          </cell>
          <cell r="P5">
            <v>9168200</v>
          </cell>
          <cell r="Q5">
            <v>1</v>
          </cell>
          <cell r="R5">
            <v>39795000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1200000</v>
          </cell>
          <cell r="X5">
            <v>9168200</v>
          </cell>
          <cell r="Y5">
            <v>0</v>
          </cell>
          <cell r="Z5">
            <v>0</v>
          </cell>
          <cell r="AA5">
            <v>0</v>
          </cell>
          <cell r="AB5">
            <v>50163200</v>
          </cell>
          <cell r="AC5">
            <v>39795000</v>
          </cell>
          <cell r="AD5">
            <v>9168200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K5">
            <v>1200000</v>
          </cell>
          <cell r="AL5">
            <v>50163200</v>
          </cell>
          <cell r="AM5">
            <v>5</v>
          </cell>
        </row>
        <row r="6">
          <cell r="A6" t="str">
            <v>김정환</v>
          </cell>
          <cell r="B6">
            <v>9134376</v>
          </cell>
          <cell r="C6" t="str">
            <v>0002441</v>
          </cell>
          <cell r="D6" t="str">
            <v>NC사업부</v>
          </cell>
          <cell r="E6" t="str">
            <v>Bancassurance</v>
          </cell>
          <cell r="F6" t="str">
            <v>제휴개발</v>
          </cell>
          <cell r="G6" t="str">
            <v>과장</v>
          </cell>
          <cell r="H6" t="str">
            <v>22</v>
          </cell>
          <cell r="I6" t="str">
            <v>04</v>
          </cell>
          <cell r="J6">
            <v>2204</v>
          </cell>
          <cell r="K6" t="str">
            <v>일반직</v>
          </cell>
          <cell r="L6" t="str">
            <v>G1</v>
          </cell>
          <cell r="M6" t="str">
            <v>S</v>
          </cell>
          <cell r="N6">
            <v>39486000</v>
          </cell>
          <cell r="O6">
            <v>1200000</v>
          </cell>
          <cell r="P6">
            <v>8999090</v>
          </cell>
          <cell r="Q6">
            <v>2</v>
          </cell>
          <cell r="R6">
            <v>39486000</v>
          </cell>
          <cell r="S6">
            <v>5000000</v>
          </cell>
          <cell r="T6">
            <v>0</v>
          </cell>
          <cell r="U6">
            <v>0</v>
          </cell>
          <cell r="V6">
            <v>0</v>
          </cell>
          <cell r="W6">
            <v>1200000</v>
          </cell>
          <cell r="X6">
            <v>17998180</v>
          </cell>
          <cell r="Y6">
            <v>-586200</v>
          </cell>
          <cell r="Z6">
            <v>587320</v>
          </cell>
          <cell r="AA6">
            <v>-1600000</v>
          </cell>
          <cell r="AB6">
            <v>62085300</v>
          </cell>
          <cell r="AC6">
            <v>39486000</v>
          </cell>
          <cell r="AD6">
            <v>16399300</v>
          </cell>
          <cell r="AE6">
            <v>5000000</v>
          </cell>
          <cell r="AF6">
            <v>0</v>
          </cell>
          <cell r="AG6">
            <v>0</v>
          </cell>
          <cell r="AH6">
            <v>0</v>
          </cell>
          <cell r="AK6">
            <v>1200000</v>
          </cell>
          <cell r="AL6">
            <v>62085300</v>
          </cell>
          <cell r="AM6">
            <v>6</v>
          </cell>
        </row>
        <row r="7">
          <cell r="A7" t="str">
            <v>오순교</v>
          </cell>
          <cell r="B7">
            <v>9133981</v>
          </cell>
          <cell r="C7" t="str">
            <v>0002441</v>
          </cell>
          <cell r="D7" t="str">
            <v>NC사업부</v>
          </cell>
          <cell r="E7" t="str">
            <v>Bancassurance</v>
          </cell>
          <cell r="F7" t="str">
            <v>마케팅지원</v>
          </cell>
          <cell r="G7" t="str">
            <v>과장</v>
          </cell>
          <cell r="H7" t="str">
            <v>22</v>
          </cell>
          <cell r="I7" t="str">
            <v>04</v>
          </cell>
          <cell r="J7">
            <v>2204</v>
          </cell>
          <cell r="K7" t="str">
            <v>일반직</v>
          </cell>
          <cell r="L7" t="str">
            <v>G2</v>
          </cell>
          <cell r="M7" t="str">
            <v>B</v>
          </cell>
          <cell r="N7">
            <v>39606000</v>
          </cell>
          <cell r="O7">
            <v>1200000</v>
          </cell>
          <cell r="P7">
            <v>8999090</v>
          </cell>
          <cell r="Q7">
            <v>1</v>
          </cell>
          <cell r="R7">
            <v>39606000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1200000</v>
          </cell>
          <cell r="X7">
            <v>8999090</v>
          </cell>
          <cell r="Y7">
            <v>0</v>
          </cell>
          <cell r="Z7">
            <v>0</v>
          </cell>
          <cell r="AA7">
            <v>0</v>
          </cell>
          <cell r="AB7">
            <v>49805090</v>
          </cell>
          <cell r="AC7">
            <v>39606000</v>
          </cell>
          <cell r="AD7">
            <v>8999090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K7">
            <v>1200000</v>
          </cell>
          <cell r="AL7">
            <v>49805090</v>
          </cell>
          <cell r="AM7">
            <v>7</v>
          </cell>
        </row>
        <row r="8">
          <cell r="A8" t="str">
            <v>정영화</v>
          </cell>
          <cell r="B8">
            <v>9133612</v>
          </cell>
          <cell r="C8" t="str">
            <v>0002441</v>
          </cell>
          <cell r="D8" t="str">
            <v>NC사업부</v>
          </cell>
          <cell r="E8" t="str">
            <v>Bancassurance</v>
          </cell>
          <cell r="F8" t="str">
            <v>영업매니저</v>
          </cell>
          <cell r="G8" t="str">
            <v>과장</v>
          </cell>
          <cell r="H8" t="str">
            <v>22</v>
          </cell>
          <cell r="I8" t="str">
            <v>04</v>
          </cell>
          <cell r="J8">
            <v>2204</v>
          </cell>
          <cell r="K8" t="str">
            <v>일반직</v>
          </cell>
          <cell r="L8" t="str">
            <v>G2</v>
          </cell>
          <cell r="M8" t="str">
            <v>C</v>
          </cell>
          <cell r="N8">
            <v>39606000</v>
          </cell>
          <cell r="O8">
            <v>1200000</v>
          </cell>
          <cell r="P8">
            <v>9122760</v>
          </cell>
          <cell r="Q8">
            <v>0.5</v>
          </cell>
          <cell r="R8">
            <v>39606000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1200000</v>
          </cell>
          <cell r="X8">
            <v>4561380</v>
          </cell>
          <cell r="Y8">
            <v>0</v>
          </cell>
          <cell r="Z8">
            <v>0</v>
          </cell>
          <cell r="AA8">
            <v>0</v>
          </cell>
          <cell r="AB8">
            <v>45367380</v>
          </cell>
          <cell r="AC8">
            <v>39606000</v>
          </cell>
          <cell r="AD8">
            <v>4561380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K8">
            <v>1200000</v>
          </cell>
          <cell r="AL8">
            <v>45367380</v>
          </cell>
          <cell r="AM8">
            <v>8</v>
          </cell>
        </row>
        <row r="9">
          <cell r="A9" t="str">
            <v>심승보</v>
          </cell>
          <cell r="B9">
            <v>9134686</v>
          </cell>
          <cell r="C9" t="str">
            <v>0002441</v>
          </cell>
          <cell r="D9" t="str">
            <v>NC사업부</v>
          </cell>
          <cell r="E9" t="str">
            <v>Bancassurance</v>
          </cell>
          <cell r="F9" t="str">
            <v>제휴개발</v>
          </cell>
          <cell r="G9" t="str">
            <v>대리</v>
          </cell>
          <cell r="H9" t="str">
            <v>22</v>
          </cell>
          <cell r="I9" t="str">
            <v>03</v>
          </cell>
          <cell r="J9">
            <v>2203</v>
          </cell>
          <cell r="K9" t="str">
            <v>일반직</v>
          </cell>
          <cell r="L9" t="str">
            <v>G1</v>
          </cell>
          <cell r="M9" t="str">
            <v>A</v>
          </cell>
          <cell r="N9">
            <v>39213000</v>
          </cell>
          <cell r="O9">
            <v>1200000</v>
          </cell>
          <cell r="P9">
            <v>8811480</v>
          </cell>
          <cell r="Q9">
            <v>1.5</v>
          </cell>
          <cell r="R9">
            <v>39213000</v>
          </cell>
          <cell r="S9">
            <v>5000000</v>
          </cell>
          <cell r="T9">
            <v>0</v>
          </cell>
          <cell r="U9">
            <v>0</v>
          </cell>
          <cell r="V9">
            <v>0</v>
          </cell>
          <cell r="W9">
            <v>1200000</v>
          </cell>
          <cell r="X9">
            <v>13217220</v>
          </cell>
          <cell r="Y9">
            <v>-586200</v>
          </cell>
          <cell r="Z9">
            <v>440490</v>
          </cell>
          <cell r="AA9">
            <v>-1200000</v>
          </cell>
          <cell r="AB9">
            <v>57284510</v>
          </cell>
          <cell r="AC9">
            <v>39213000</v>
          </cell>
          <cell r="AD9">
            <v>11871510</v>
          </cell>
          <cell r="AE9">
            <v>5000000</v>
          </cell>
          <cell r="AF9">
            <v>0</v>
          </cell>
          <cell r="AG9">
            <v>0</v>
          </cell>
          <cell r="AH9">
            <v>0</v>
          </cell>
          <cell r="AK9">
            <v>1200000</v>
          </cell>
          <cell r="AL9">
            <v>57284510</v>
          </cell>
          <cell r="AM9">
            <v>9</v>
          </cell>
        </row>
        <row r="10">
          <cell r="A10" t="str">
            <v>임공섭</v>
          </cell>
          <cell r="B10">
            <v>9133035</v>
          </cell>
          <cell r="C10" t="str">
            <v>0002441</v>
          </cell>
          <cell r="D10" t="str">
            <v>NC사업부</v>
          </cell>
          <cell r="E10" t="str">
            <v>Bancassurance</v>
          </cell>
          <cell r="F10" t="str">
            <v>영업매니저</v>
          </cell>
          <cell r="G10" t="str">
            <v>대리</v>
          </cell>
          <cell r="H10" t="str">
            <v>22</v>
          </cell>
          <cell r="I10" t="str">
            <v>03</v>
          </cell>
          <cell r="J10">
            <v>2203</v>
          </cell>
          <cell r="K10" t="str">
            <v>일반직</v>
          </cell>
          <cell r="L10" t="str">
            <v>G2</v>
          </cell>
          <cell r="M10" t="str">
            <v>C</v>
          </cell>
          <cell r="N10">
            <v>39333000</v>
          </cell>
          <cell r="O10">
            <v>1200000</v>
          </cell>
          <cell r="P10">
            <v>9302760</v>
          </cell>
          <cell r="Q10">
            <v>0.5</v>
          </cell>
          <cell r="R10">
            <v>39333000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1200000</v>
          </cell>
          <cell r="X10">
            <v>4651380</v>
          </cell>
          <cell r="Y10">
            <v>0</v>
          </cell>
          <cell r="Z10">
            <v>0</v>
          </cell>
          <cell r="AA10">
            <v>0</v>
          </cell>
          <cell r="AB10">
            <v>45184380</v>
          </cell>
          <cell r="AC10">
            <v>39333000</v>
          </cell>
          <cell r="AD10">
            <v>4651380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K10">
            <v>1200000</v>
          </cell>
          <cell r="AL10">
            <v>45184380</v>
          </cell>
          <cell r="AM10">
            <v>10</v>
          </cell>
        </row>
        <row r="11">
          <cell r="A11" t="str">
            <v>김대중</v>
          </cell>
          <cell r="B11">
            <v>9133043</v>
          </cell>
          <cell r="C11" t="str">
            <v>0002441</v>
          </cell>
          <cell r="D11" t="str">
            <v>NC사업부</v>
          </cell>
          <cell r="E11" t="str">
            <v>Bancassurance</v>
          </cell>
          <cell r="F11" t="str">
            <v>방카슈랑스보전</v>
          </cell>
          <cell r="G11" t="str">
            <v>대리</v>
          </cell>
          <cell r="H11" t="str">
            <v>22</v>
          </cell>
          <cell r="I11" t="str">
            <v>02</v>
          </cell>
          <cell r="J11">
            <v>2202</v>
          </cell>
          <cell r="K11" t="str">
            <v>일반직</v>
          </cell>
          <cell r="L11" t="str">
            <v>G2</v>
          </cell>
          <cell r="M11" t="str">
            <v>B</v>
          </cell>
          <cell r="N11">
            <v>39060000</v>
          </cell>
          <cell r="O11">
            <v>1200000</v>
          </cell>
          <cell r="P11">
            <v>9235420</v>
          </cell>
          <cell r="Q11">
            <v>1</v>
          </cell>
          <cell r="R11">
            <v>39060000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1200000</v>
          </cell>
          <cell r="X11">
            <v>9235420</v>
          </cell>
          <cell r="Y11">
            <v>0</v>
          </cell>
          <cell r="Z11">
            <v>0</v>
          </cell>
          <cell r="AA11">
            <v>0</v>
          </cell>
          <cell r="AB11">
            <v>49495420</v>
          </cell>
          <cell r="AC11">
            <v>39060000</v>
          </cell>
          <cell r="AD11">
            <v>9235420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K11">
            <v>1200000</v>
          </cell>
          <cell r="AL11">
            <v>49495420</v>
          </cell>
          <cell r="AM11">
            <v>11</v>
          </cell>
        </row>
        <row r="12">
          <cell r="A12" t="str">
            <v>강현호</v>
          </cell>
          <cell r="B12">
            <v>9117579</v>
          </cell>
          <cell r="C12" t="str">
            <v>0002441</v>
          </cell>
          <cell r="D12" t="str">
            <v>NC사업부</v>
          </cell>
          <cell r="E12" t="str">
            <v>Bancassurance</v>
          </cell>
          <cell r="F12" t="str">
            <v>영업매니저</v>
          </cell>
          <cell r="G12" t="str">
            <v>대리</v>
          </cell>
          <cell r="H12" t="str">
            <v>22</v>
          </cell>
          <cell r="I12" t="str">
            <v>02</v>
          </cell>
          <cell r="J12">
            <v>2202</v>
          </cell>
          <cell r="K12" t="str">
            <v>일반직</v>
          </cell>
          <cell r="L12" t="str">
            <v>G2</v>
          </cell>
          <cell r="M12" t="str">
            <v>B</v>
          </cell>
          <cell r="N12">
            <v>39060000</v>
          </cell>
          <cell r="O12">
            <v>1200000</v>
          </cell>
          <cell r="P12">
            <v>8869520</v>
          </cell>
          <cell r="Q12">
            <v>1</v>
          </cell>
          <cell r="R12">
            <v>39060000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1200000</v>
          </cell>
          <cell r="X12">
            <v>8869520</v>
          </cell>
          <cell r="Y12">
            <v>0</v>
          </cell>
          <cell r="Z12">
            <v>0</v>
          </cell>
          <cell r="AA12">
            <v>0</v>
          </cell>
          <cell r="AB12">
            <v>49129520</v>
          </cell>
          <cell r="AC12">
            <v>39060000</v>
          </cell>
          <cell r="AD12">
            <v>8869520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K12">
            <v>1200000</v>
          </cell>
          <cell r="AL12">
            <v>49129520</v>
          </cell>
          <cell r="AM12">
            <v>12</v>
          </cell>
        </row>
        <row r="13">
          <cell r="A13" t="str">
            <v>이정관</v>
          </cell>
          <cell r="B13">
            <v>9132012</v>
          </cell>
          <cell r="C13" t="str">
            <v>0002441</v>
          </cell>
          <cell r="D13" t="str">
            <v>NC사업부</v>
          </cell>
          <cell r="E13" t="str">
            <v>Bancassurance</v>
          </cell>
          <cell r="F13" t="str">
            <v>영업매니저</v>
          </cell>
          <cell r="G13" t="str">
            <v>과장</v>
          </cell>
          <cell r="H13" t="str">
            <v>21</v>
          </cell>
          <cell r="I13" t="str">
            <v>01</v>
          </cell>
          <cell r="J13">
            <v>2101</v>
          </cell>
          <cell r="K13" t="str">
            <v>일반직</v>
          </cell>
          <cell r="L13" t="str">
            <v>G1</v>
          </cell>
          <cell r="M13" t="str">
            <v>S</v>
          </cell>
          <cell r="N13">
            <v>45930000</v>
          </cell>
          <cell r="O13">
            <v>1200000</v>
          </cell>
          <cell r="P13">
            <v>12018210</v>
          </cell>
          <cell r="Q13">
            <v>2</v>
          </cell>
          <cell r="R13">
            <v>45930000</v>
          </cell>
          <cell r="S13">
            <v>5000000</v>
          </cell>
          <cell r="T13">
            <v>0</v>
          </cell>
          <cell r="U13">
            <v>0</v>
          </cell>
          <cell r="V13">
            <v>0</v>
          </cell>
          <cell r="W13">
            <v>1200000</v>
          </cell>
          <cell r="X13">
            <v>24036420</v>
          </cell>
          <cell r="Y13">
            <v>-586200</v>
          </cell>
          <cell r="Z13">
            <v>592700</v>
          </cell>
          <cell r="AA13">
            <v>-1500000</v>
          </cell>
          <cell r="AB13">
            <v>74672920</v>
          </cell>
          <cell r="AC13">
            <v>45930000</v>
          </cell>
          <cell r="AD13">
            <v>22542920</v>
          </cell>
          <cell r="AE13">
            <v>5000000</v>
          </cell>
          <cell r="AF13">
            <v>0</v>
          </cell>
          <cell r="AG13">
            <v>0</v>
          </cell>
          <cell r="AH13">
            <v>0</v>
          </cell>
          <cell r="AK13">
            <v>1200000</v>
          </cell>
          <cell r="AL13">
            <v>74672920</v>
          </cell>
          <cell r="AM13">
            <v>13</v>
          </cell>
        </row>
        <row r="14">
          <cell r="A14" t="str">
            <v>김방수</v>
          </cell>
          <cell r="B14">
            <v>9134350</v>
          </cell>
          <cell r="C14" t="str">
            <v>0002441</v>
          </cell>
          <cell r="D14" t="str">
            <v>NC사업부</v>
          </cell>
          <cell r="E14" t="str">
            <v>Bancassurance</v>
          </cell>
          <cell r="F14" t="str">
            <v>상품지원</v>
          </cell>
          <cell r="G14" t="str">
            <v>과장</v>
          </cell>
          <cell r="H14" t="str">
            <v>21</v>
          </cell>
          <cell r="I14" t="str">
            <v>01</v>
          </cell>
          <cell r="J14">
            <v>2101</v>
          </cell>
          <cell r="K14" t="str">
            <v>일반직</v>
          </cell>
          <cell r="L14" t="str">
            <v>G1</v>
          </cell>
          <cell r="M14" t="str">
            <v>S</v>
          </cell>
          <cell r="N14">
            <v>45690000</v>
          </cell>
          <cell r="O14">
            <v>1200000</v>
          </cell>
          <cell r="P14">
            <v>11164440</v>
          </cell>
          <cell r="Q14">
            <v>2</v>
          </cell>
          <cell r="R14">
            <v>45690000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1200000</v>
          </cell>
          <cell r="X14">
            <v>22328880</v>
          </cell>
          <cell r="Y14">
            <v>-586200</v>
          </cell>
          <cell r="Z14">
            <v>592700</v>
          </cell>
          <cell r="AA14">
            <v>0</v>
          </cell>
          <cell r="AB14">
            <v>69225380</v>
          </cell>
          <cell r="AC14">
            <v>45690000</v>
          </cell>
          <cell r="AD14">
            <v>22335380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K14">
            <v>1200000</v>
          </cell>
          <cell r="AL14">
            <v>69225380</v>
          </cell>
          <cell r="AM14">
            <v>14</v>
          </cell>
        </row>
        <row r="15">
          <cell r="A15" t="str">
            <v>오완섭</v>
          </cell>
          <cell r="B15">
            <v>9133450</v>
          </cell>
          <cell r="C15" t="str">
            <v>0002441</v>
          </cell>
          <cell r="D15" t="str">
            <v>NC사업부</v>
          </cell>
          <cell r="E15" t="str">
            <v>Bancassurance</v>
          </cell>
          <cell r="F15" t="str">
            <v>제휴개발</v>
          </cell>
          <cell r="G15" t="str">
            <v>과장</v>
          </cell>
          <cell r="H15" t="str">
            <v>21</v>
          </cell>
          <cell r="I15" t="str">
            <v>01</v>
          </cell>
          <cell r="J15">
            <v>2101</v>
          </cell>
          <cell r="K15" t="str">
            <v>일반직</v>
          </cell>
          <cell r="L15" t="str">
            <v>G1</v>
          </cell>
          <cell r="M15" t="str">
            <v>A</v>
          </cell>
          <cell r="N15">
            <v>45810000</v>
          </cell>
          <cell r="O15">
            <v>1200000</v>
          </cell>
          <cell r="P15">
            <v>11306740</v>
          </cell>
          <cell r="Q15">
            <v>1.5</v>
          </cell>
          <cell r="R15">
            <v>45810000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1200000</v>
          </cell>
          <cell r="X15">
            <v>16960110</v>
          </cell>
          <cell r="Y15">
            <v>-586200</v>
          </cell>
          <cell r="Z15">
            <v>444520</v>
          </cell>
          <cell r="AA15">
            <v>0</v>
          </cell>
          <cell r="AB15">
            <v>63828430</v>
          </cell>
          <cell r="AC15">
            <v>45810000</v>
          </cell>
          <cell r="AD15">
            <v>16818430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K15">
            <v>1200000</v>
          </cell>
          <cell r="AL15">
            <v>63828430</v>
          </cell>
          <cell r="AM15">
            <v>15</v>
          </cell>
        </row>
        <row r="16">
          <cell r="A16" t="str">
            <v>백승준</v>
          </cell>
          <cell r="B16">
            <v>9133434</v>
          </cell>
          <cell r="C16" t="str">
            <v>0002441</v>
          </cell>
          <cell r="D16" t="str">
            <v>NC사업부</v>
          </cell>
          <cell r="E16" t="str">
            <v>Bancassurance</v>
          </cell>
          <cell r="F16" t="str">
            <v>교육지원</v>
          </cell>
          <cell r="G16" t="str">
            <v>과장</v>
          </cell>
          <cell r="H16" t="str">
            <v>21</v>
          </cell>
          <cell r="I16" t="str">
            <v>01</v>
          </cell>
          <cell r="J16">
            <v>2101</v>
          </cell>
          <cell r="K16" t="str">
            <v>일반직</v>
          </cell>
          <cell r="L16" t="str">
            <v>G1</v>
          </cell>
          <cell r="M16" t="str">
            <v>A</v>
          </cell>
          <cell r="N16">
            <v>45810000</v>
          </cell>
          <cell r="O16">
            <v>1200000</v>
          </cell>
          <cell r="P16">
            <v>11306740</v>
          </cell>
          <cell r="Q16">
            <v>1.5</v>
          </cell>
          <cell r="R16">
            <v>45810000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1200000</v>
          </cell>
          <cell r="X16">
            <v>16960110</v>
          </cell>
          <cell r="Y16">
            <v>-586200</v>
          </cell>
          <cell r="Z16">
            <v>444520</v>
          </cell>
          <cell r="AA16">
            <v>0</v>
          </cell>
          <cell r="AB16">
            <v>63828430</v>
          </cell>
          <cell r="AC16">
            <v>45810000</v>
          </cell>
          <cell r="AD16">
            <v>16818430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K16">
            <v>1200000</v>
          </cell>
          <cell r="AL16">
            <v>63828430</v>
          </cell>
          <cell r="AM16">
            <v>16</v>
          </cell>
        </row>
        <row r="17">
          <cell r="A17" t="str">
            <v>김계관</v>
          </cell>
          <cell r="B17">
            <v>9132004</v>
          </cell>
          <cell r="C17" t="str">
            <v>0002441</v>
          </cell>
          <cell r="D17" t="str">
            <v>NC사업부</v>
          </cell>
          <cell r="E17" t="str">
            <v>Bancassurance</v>
          </cell>
          <cell r="F17" t="str">
            <v>영업매니저</v>
          </cell>
          <cell r="G17" t="str">
            <v>과장</v>
          </cell>
          <cell r="H17" t="str">
            <v>21</v>
          </cell>
          <cell r="I17" t="str">
            <v>01</v>
          </cell>
          <cell r="J17">
            <v>2101</v>
          </cell>
          <cell r="K17" t="str">
            <v>일반직</v>
          </cell>
          <cell r="L17" t="str">
            <v>G1</v>
          </cell>
          <cell r="M17" t="str">
            <v>A</v>
          </cell>
          <cell r="N17">
            <v>45930000</v>
          </cell>
          <cell r="O17">
            <v>1200000</v>
          </cell>
          <cell r="P17">
            <v>12018210</v>
          </cell>
          <cell r="Q17">
            <v>1.5</v>
          </cell>
          <cell r="R17">
            <v>45930000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1200000</v>
          </cell>
          <cell r="X17">
            <v>18027320</v>
          </cell>
          <cell r="Y17">
            <v>-586200</v>
          </cell>
          <cell r="Z17">
            <v>444520</v>
          </cell>
          <cell r="AA17">
            <v>-1500000</v>
          </cell>
          <cell r="AB17">
            <v>63515640</v>
          </cell>
          <cell r="AC17">
            <v>45930000</v>
          </cell>
          <cell r="AD17">
            <v>16385640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K17">
            <v>1200000</v>
          </cell>
          <cell r="AL17">
            <v>63515640</v>
          </cell>
          <cell r="AM17">
            <v>17</v>
          </cell>
        </row>
        <row r="18">
          <cell r="A18" t="str">
            <v>송기운</v>
          </cell>
          <cell r="B18">
            <v>9132306</v>
          </cell>
          <cell r="C18" t="str">
            <v>0002441</v>
          </cell>
          <cell r="D18" t="str">
            <v>NC사업부</v>
          </cell>
          <cell r="E18" t="str">
            <v>Bancassurance</v>
          </cell>
          <cell r="F18" t="str">
            <v>영업매니저</v>
          </cell>
          <cell r="G18" t="str">
            <v>과장</v>
          </cell>
          <cell r="H18" t="str">
            <v>21</v>
          </cell>
          <cell r="I18" t="str">
            <v>01</v>
          </cell>
          <cell r="J18">
            <v>2101</v>
          </cell>
          <cell r="K18" t="str">
            <v>일반직</v>
          </cell>
          <cell r="L18" t="str">
            <v>G1</v>
          </cell>
          <cell r="M18" t="str">
            <v>B</v>
          </cell>
          <cell r="N18">
            <v>45810000</v>
          </cell>
          <cell r="O18">
            <v>1200000</v>
          </cell>
          <cell r="P18">
            <v>11875920</v>
          </cell>
          <cell r="Q18">
            <v>1</v>
          </cell>
          <cell r="R18">
            <v>45810000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1200000</v>
          </cell>
          <cell r="X18">
            <v>11875920</v>
          </cell>
          <cell r="Y18">
            <v>-586200</v>
          </cell>
          <cell r="Z18">
            <v>0</v>
          </cell>
          <cell r="AA18">
            <v>0</v>
          </cell>
          <cell r="AB18">
            <v>58299720</v>
          </cell>
          <cell r="AC18">
            <v>45810000</v>
          </cell>
          <cell r="AD18">
            <v>11289720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K18">
            <v>1200000</v>
          </cell>
          <cell r="AL18">
            <v>58299720</v>
          </cell>
          <cell r="AM18">
            <v>18</v>
          </cell>
        </row>
        <row r="19">
          <cell r="A19" t="str">
            <v>김대홍</v>
          </cell>
          <cell r="B19">
            <v>9132446</v>
          </cell>
          <cell r="C19" t="str">
            <v>0002441</v>
          </cell>
          <cell r="D19" t="str">
            <v>NC사업부</v>
          </cell>
          <cell r="E19" t="str">
            <v>Bancassurance</v>
          </cell>
          <cell r="F19" t="str">
            <v>영업매니저</v>
          </cell>
          <cell r="G19" t="str">
            <v>과장</v>
          </cell>
          <cell r="H19" t="str">
            <v>21</v>
          </cell>
          <cell r="I19" t="str">
            <v>01</v>
          </cell>
          <cell r="J19">
            <v>2101</v>
          </cell>
          <cell r="K19" t="str">
            <v>일반직</v>
          </cell>
          <cell r="L19" t="str">
            <v>G1</v>
          </cell>
          <cell r="M19" t="str">
            <v>B</v>
          </cell>
          <cell r="N19">
            <v>45810000</v>
          </cell>
          <cell r="O19">
            <v>1200000</v>
          </cell>
          <cell r="P19">
            <v>11733620</v>
          </cell>
          <cell r="Q19">
            <v>1</v>
          </cell>
          <cell r="R19">
            <v>45810000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1200000</v>
          </cell>
          <cell r="X19">
            <v>11733620</v>
          </cell>
          <cell r="Y19">
            <v>-586200</v>
          </cell>
          <cell r="Z19">
            <v>0</v>
          </cell>
          <cell r="AA19">
            <v>0</v>
          </cell>
          <cell r="AB19">
            <v>58157420</v>
          </cell>
          <cell r="AC19">
            <v>45810000</v>
          </cell>
          <cell r="AD19">
            <v>11147420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K19">
            <v>1200000</v>
          </cell>
          <cell r="AL19">
            <v>58157420</v>
          </cell>
          <cell r="AM19">
            <v>19</v>
          </cell>
        </row>
        <row r="20">
          <cell r="A20" t="str">
            <v>이규영</v>
          </cell>
          <cell r="B20">
            <v>9132969</v>
          </cell>
          <cell r="C20" t="str">
            <v>0002441</v>
          </cell>
          <cell r="D20" t="str">
            <v>NC사업부</v>
          </cell>
          <cell r="E20" t="str">
            <v>Bancassurance</v>
          </cell>
          <cell r="F20" t="str">
            <v>제휴개발</v>
          </cell>
          <cell r="G20" t="str">
            <v>과장</v>
          </cell>
          <cell r="H20" t="str">
            <v>21</v>
          </cell>
          <cell r="I20" t="str">
            <v>01</v>
          </cell>
          <cell r="J20">
            <v>2101</v>
          </cell>
          <cell r="K20" t="str">
            <v>일반직</v>
          </cell>
          <cell r="L20" t="str">
            <v>G1</v>
          </cell>
          <cell r="M20" t="str">
            <v>B</v>
          </cell>
          <cell r="N20">
            <v>45810000</v>
          </cell>
          <cell r="O20">
            <v>1200000</v>
          </cell>
          <cell r="P20">
            <v>11591330</v>
          </cell>
          <cell r="Q20">
            <v>1</v>
          </cell>
          <cell r="R20">
            <v>45810000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1200000</v>
          </cell>
          <cell r="X20">
            <v>11591330</v>
          </cell>
          <cell r="Y20">
            <v>-586200</v>
          </cell>
          <cell r="Z20">
            <v>0</v>
          </cell>
          <cell r="AA20">
            <v>0</v>
          </cell>
          <cell r="AB20">
            <v>58015130</v>
          </cell>
          <cell r="AC20">
            <v>45810000</v>
          </cell>
          <cell r="AD20">
            <v>11005130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K20">
            <v>1200000</v>
          </cell>
          <cell r="AL20">
            <v>58015130</v>
          </cell>
          <cell r="AM20">
            <v>20</v>
          </cell>
        </row>
        <row r="21">
          <cell r="A21" t="str">
            <v>박춘근</v>
          </cell>
          <cell r="B21">
            <v>9133906</v>
          </cell>
          <cell r="C21" t="str">
            <v>0002441</v>
          </cell>
          <cell r="D21" t="str">
            <v>NC사업부</v>
          </cell>
          <cell r="E21" t="str">
            <v>Bancassurance</v>
          </cell>
          <cell r="F21" t="str">
            <v>영업매니저</v>
          </cell>
          <cell r="G21" t="str">
            <v>과장</v>
          </cell>
          <cell r="H21" t="str">
            <v>21</v>
          </cell>
          <cell r="I21" t="str">
            <v>01</v>
          </cell>
          <cell r="J21">
            <v>2101</v>
          </cell>
          <cell r="K21" t="str">
            <v>일반직</v>
          </cell>
          <cell r="L21" t="str">
            <v>G1</v>
          </cell>
          <cell r="M21" t="str">
            <v>B</v>
          </cell>
          <cell r="N21">
            <v>45810000</v>
          </cell>
          <cell r="O21">
            <v>1200000</v>
          </cell>
          <cell r="P21">
            <v>11164440</v>
          </cell>
          <cell r="Q21">
            <v>1</v>
          </cell>
          <cell r="R21">
            <v>45810000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1200000</v>
          </cell>
          <cell r="X21">
            <v>11164440</v>
          </cell>
          <cell r="Y21">
            <v>-586200</v>
          </cell>
          <cell r="Z21">
            <v>0</v>
          </cell>
          <cell r="AA21">
            <v>0</v>
          </cell>
          <cell r="AB21">
            <v>57588240</v>
          </cell>
          <cell r="AC21">
            <v>45810000</v>
          </cell>
          <cell r="AD21">
            <v>10578240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K21">
            <v>1200000</v>
          </cell>
          <cell r="AL21">
            <v>57588240</v>
          </cell>
          <cell r="AM21">
            <v>21</v>
          </cell>
        </row>
        <row r="22">
          <cell r="A22" t="str">
            <v>이진수</v>
          </cell>
          <cell r="B22">
            <v>9131814</v>
          </cell>
          <cell r="C22" t="str">
            <v>0002441</v>
          </cell>
          <cell r="D22" t="str">
            <v>NC사업부</v>
          </cell>
          <cell r="E22" t="str">
            <v>Bancassurance</v>
          </cell>
          <cell r="F22" t="str">
            <v>영업매니저</v>
          </cell>
          <cell r="G22" t="str">
            <v>과장</v>
          </cell>
          <cell r="H22" t="str">
            <v>21</v>
          </cell>
          <cell r="I22" t="str">
            <v>01</v>
          </cell>
          <cell r="J22">
            <v>2101</v>
          </cell>
          <cell r="K22" t="str">
            <v>일반직</v>
          </cell>
          <cell r="L22" t="str">
            <v>G1</v>
          </cell>
          <cell r="M22" t="str">
            <v>C</v>
          </cell>
          <cell r="N22">
            <v>45930000</v>
          </cell>
          <cell r="O22">
            <v>1200000</v>
          </cell>
          <cell r="P22">
            <v>12018210</v>
          </cell>
          <cell r="Q22">
            <v>0.5</v>
          </cell>
          <cell r="R22">
            <v>45930000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1200000</v>
          </cell>
          <cell r="X22">
            <v>6009110</v>
          </cell>
          <cell r="Y22">
            <v>-586200</v>
          </cell>
          <cell r="Z22">
            <v>0</v>
          </cell>
          <cell r="AA22">
            <v>3000000</v>
          </cell>
          <cell r="AB22">
            <v>55552910</v>
          </cell>
          <cell r="AC22">
            <v>45930000</v>
          </cell>
          <cell r="AD22">
            <v>8422910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K22">
            <v>1200000</v>
          </cell>
          <cell r="AL22">
            <v>55552910</v>
          </cell>
          <cell r="AM22">
            <v>22</v>
          </cell>
        </row>
        <row r="23">
          <cell r="A23" t="str">
            <v>이상옥</v>
          </cell>
          <cell r="B23">
            <v>9131385</v>
          </cell>
          <cell r="C23" t="str">
            <v>0002441</v>
          </cell>
          <cell r="D23" t="str">
            <v>NC사업부</v>
          </cell>
          <cell r="E23" t="str">
            <v>Bancassurance</v>
          </cell>
          <cell r="F23" t="str">
            <v>영업매니저</v>
          </cell>
          <cell r="G23" t="str">
            <v>차장</v>
          </cell>
          <cell r="H23" t="str">
            <v>21</v>
          </cell>
          <cell r="I23" t="str">
            <v>01</v>
          </cell>
          <cell r="J23">
            <v>2101</v>
          </cell>
          <cell r="K23" t="str">
            <v>일반직</v>
          </cell>
          <cell r="L23" t="str">
            <v>G1</v>
          </cell>
          <cell r="M23" t="str">
            <v>C</v>
          </cell>
          <cell r="N23">
            <v>45930000</v>
          </cell>
          <cell r="O23">
            <v>1200000</v>
          </cell>
          <cell r="P23">
            <v>12302800</v>
          </cell>
          <cell r="Q23">
            <v>0.5</v>
          </cell>
          <cell r="R23">
            <v>45930000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1200000</v>
          </cell>
          <cell r="X23">
            <v>6151400</v>
          </cell>
          <cell r="Y23">
            <v>-586200</v>
          </cell>
          <cell r="Z23">
            <v>0</v>
          </cell>
          <cell r="AA23">
            <v>0</v>
          </cell>
          <cell r="AB23">
            <v>52695200</v>
          </cell>
          <cell r="AC23">
            <v>45930000</v>
          </cell>
          <cell r="AD23">
            <v>5565200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K23">
            <v>1200000</v>
          </cell>
          <cell r="AL23">
            <v>52695200</v>
          </cell>
          <cell r="AM23">
            <v>23</v>
          </cell>
        </row>
        <row r="24">
          <cell r="A24" t="str">
            <v>김종윤</v>
          </cell>
          <cell r="B24">
            <v>9133442</v>
          </cell>
          <cell r="C24" t="str">
            <v>0002441</v>
          </cell>
          <cell r="D24" t="str">
            <v>NC사업부</v>
          </cell>
          <cell r="E24" t="str">
            <v>Bancassurance</v>
          </cell>
          <cell r="F24" t="str">
            <v>제휴개발</v>
          </cell>
          <cell r="G24" t="str">
            <v>과장</v>
          </cell>
          <cell r="H24" t="str">
            <v>21</v>
          </cell>
          <cell r="I24" t="str">
            <v>01</v>
          </cell>
          <cell r="J24">
            <v>2101</v>
          </cell>
          <cell r="K24" t="str">
            <v>일반직</v>
          </cell>
          <cell r="L24" t="str">
            <v>G1</v>
          </cell>
          <cell r="M24" t="str">
            <v>C</v>
          </cell>
          <cell r="N24">
            <v>45810000</v>
          </cell>
          <cell r="O24">
            <v>1200000</v>
          </cell>
          <cell r="P24">
            <v>11306740</v>
          </cell>
          <cell r="Q24">
            <v>0.5</v>
          </cell>
          <cell r="R24">
            <v>45810000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1200000</v>
          </cell>
          <cell r="X24">
            <v>5653370</v>
          </cell>
          <cell r="Y24">
            <v>-586200</v>
          </cell>
          <cell r="Z24">
            <v>0</v>
          </cell>
          <cell r="AA24">
            <v>0</v>
          </cell>
          <cell r="AB24">
            <v>52077170</v>
          </cell>
          <cell r="AC24">
            <v>45810000</v>
          </cell>
          <cell r="AD24">
            <v>5067170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K24">
            <v>1200000</v>
          </cell>
          <cell r="AL24">
            <v>52077170</v>
          </cell>
          <cell r="AM24">
            <v>24</v>
          </cell>
        </row>
        <row r="25">
          <cell r="A25" t="str">
            <v>조범성</v>
          </cell>
          <cell r="B25">
            <v>9133809</v>
          </cell>
          <cell r="C25" t="str">
            <v>0002441</v>
          </cell>
          <cell r="D25" t="str">
            <v>NC사업부</v>
          </cell>
          <cell r="E25" t="str">
            <v>Bancassurance</v>
          </cell>
          <cell r="F25" t="str">
            <v>제휴개발</v>
          </cell>
          <cell r="G25" t="str">
            <v>과장</v>
          </cell>
          <cell r="H25" t="str">
            <v>21</v>
          </cell>
          <cell r="I25" t="str">
            <v>01</v>
          </cell>
          <cell r="J25">
            <v>2101</v>
          </cell>
          <cell r="K25" t="str">
            <v>일반직</v>
          </cell>
          <cell r="L25" t="str">
            <v>G1</v>
          </cell>
          <cell r="M25" t="str">
            <v>D</v>
          </cell>
          <cell r="N25">
            <v>45810000</v>
          </cell>
          <cell r="O25">
            <v>1200000</v>
          </cell>
          <cell r="P25">
            <v>11306740</v>
          </cell>
          <cell r="Q25">
            <v>0</v>
          </cell>
          <cell r="R25">
            <v>45810000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1200000</v>
          </cell>
          <cell r="X25">
            <v>0</v>
          </cell>
          <cell r="Y25">
            <v>0</v>
          </cell>
          <cell r="Z25">
            <v>0</v>
          </cell>
          <cell r="AA25">
            <v>2800000</v>
          </cell>
          <cell r="AB25">
            <v>49810000</v>
          </cell>
          <cell r="AC25">
            <v>45810000</v>
          </cell>
          <cell r="AD25">
            <v>2800000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K25">
            <v>1200000</v>
          </cell>
          <cell r="AL25">
            <v>49810000</v>
          </cell>
          <cell r="AM25">
            <v>25</v>
          </cell>
        </row>
        <row r="26">
          <cell r="A26" t="str">
            <v>유재준</v>
          </cell>
          <cell r="B26">
            <v>9131520</v>
          </cell>
          <cell r="C26" t="str">
            <v>0002441</v>
          </cell>
          <cell r="D26" t="str">
            <v>NC사업부</v>
          </cell>
          <cell r="E26" t="str">
            <v>Bancassurance</v>
          </cell>
          <cell r="F26" t="str">
            <v>팀장</v>
          </cell>
          <cell r="G26" t="str">
            <v>팀장</v>
          </cell>
          <cell r="H26" t="str">
            <v>12</v>
          </cell>
          <cell r="I26" t="str">
            <v>01</v>
          </cell>
          <cell r="J26">
            <v>1201</v>
          </cell>
          <cell r="K26" t="str">
            <v>일반직</v>
          </cell>
          <cell r="L26" t="str">
            <v>G1</v>
          </cell>
          <cell r="M26" t="str">
            <v>S</v>
          </cell>
          <cell r="N26">
            <v>51697500</v>
          </cell>
          <cell r="O26">
            <v>1200000</v>
          </cell>
          <cell r="P26">
            <v>13670830</v>
          </cell>
          <cell r="Q26">
            <v>2</v>
          </cell>
          <cell r="R26">
            <v>51697500</v>
          </cell>
          <cell r="S26">
            <v>5000000</v>
          </cell>
          <cell r="T26">
            <v>5000000</v>
          </cell>
          <cell r="U26">
            <v>0</v>
          </cell>
          <cell r="V26">
            <v>0</v>
          </cell>
          <cell r="W26">
            <v>1200000</v>
          </cell>
          <cell r="X26">
            <v>27341660</v>
          </cell>
          <cell r="Y26">
            <v>0</v>
          </cell>
          <cell r="Z26">
            <v>0</v>
          </cell>
          <cell r="AA26">
            <v>0</v>
          </cell>
          <cell r="AB26">
            <v>90239160</v>
          </cell>
          <cell r="AC26">
            <v>51697500</v>
          </cell>
          <cell r="AD26">
            <v>27341660</v>
          </cell>
          <cell r="AE26">
            <v>5000000</v>
          </cell>
          <cell r="AF26">
            <v>5000000</v>
          </cell>
          <cell r="AG26">
            <v>5000000</v>
          </cell>
          <cell r="AH26">
            <v>0</v>
          </cell>
          <cell r="AK26">
            <v>1200000</v>
          </cell>
          <cell r="AL26">
            <v>90239160</v>
          </cell>
          <cell r="AM26">
            <v>26</v>
          </cell>
        </row>
        <row r="27">
          <cell r="A27" t="str">
            <v>마승룡</v>
          </cell>
          <cell r="B27">
            <v>9132683</v>
          </cell>
          <cell r="C27" t="str">
            <v>0002441</v>
          </cell>
          <cell r="D27" t="str">
            <v>NC사업부</v>
          </cell>
          <cell r="E27" t="str">
            <v>Bancassurance</v>
          </cell>
          <cell r="F27" t="str">
            <v>제휴개발</v>
          </cell>
          <cell r="G27" t="str">
            <v>차장</v>
          </cell>
          <cell r="H27" t="str">
            <v>12</v>
          </cell>
          <cell r="I27" t="str">
            <v>01</v>
          </cell>
          <cell r="J27">
            <v>1201</v>
          </cell>
          <cell r="K27" t="str">
            <v>일반직</v>
          </cell>
          <cell r="L27" t="str">
            <v>G1</v>
          </cell>
          <cell r="M27" t="str">
            <v>S</v>
          </cell>
          <cell r="N27">
            <v>51937500</v>
          </cell>
          <cell r="O27">
            <v>1200000</v>
          </cell>
          <cell r="P27">
            <v>13028870</v>
          </cell>
          <cell r="Q27">
            <v>2</v>
          </cell>
          <cell r="R27">
            <v>51937500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1200000</v>
          </cell>
          <cell r="X27">
            <v>26057740</v>
          </cell>
          <cell r="Y27">
            <v>-586200</v>
          </cell>
          <cell r="Z27">
            <v>592700</v>
          </cell>
          <cell r="AA27">
            <v>0</v>
          </cell>
          <cell r="AB27">
            <v>79201740</v>
          </cell>
          <cell r="AC27">
            <v>51937500</v>
          </cell>
          <cell r="AD27">
            <v>26064240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K27">
            <v>1200000</v>
          </cell>
          <cell r="AL27">
            <v>79201740</v>
          </cell>
          <cell r="AM27">
            <v>27</v>
          </cell>
        </row>
        <row r="28">
          <cell r="A28" t="str">
            <v>정영화</v>
          </cell>
          <cell r="B28">
            <v>9135127</v>
          </cell>
          <cell r="C28" t="str">
            <v>0002443</v>
          </cell>
          <cell r="D28" t="str">
            <v>NC사업부</v>
          </cell>
          <cell r="E28" t="str">
            <v>TM</v>
          </cell>
          <cell r="F28" t="str">
            <v>스폰서관리</v>
          </cell>
          <cell r="G28" t="str">
            <v>사원</v>
          </cell>
          <cell r="H28" t="str">
            <v>41</v>
          </cell>
          <cell r="I28" t="str">
            <v>09</v>
          </cell>
          <cell r="J28">
            <v>4109</v>
          </cell>
          <cell r="K28" t="str">
            <v>일반직</v>
          </cell>
          <cell r="L28" t="str">
            <v>G2</v>
          </cell>
          <cell r="M28" t="str">
            <v>C</v>
          </cell>
          <cell r="N28">
            <v>27721500</v>
          </cell>
          <cell r="O28">
            <v>1200000</v>
          </cell>
          <cell r="P28">
            <v>6778470</v>
          </cell>
          <cell r="Q28">
            <v>0.5</v>
          </cell>
          <cell r="R28">
            <v>27721500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1200000</v>
          </cell>
          <cell r="X28">
            <v>3389240</v>
          </cell>
          <cell r="Y28">
            <v>0</v>
          </cell>
          <cell r="Z28">
            <v>0</v>
          </cell>
          <cell r="AA28">
            <v>0</v>
          </cell>
          <cell r="AB28">
            <v>32310740</v>
          </cell>
          <cell r="AC28">
            <v>27721500</v>
          </cell>
          <cell r="AD28">
            <v>3389240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K28">
            <v>1200000</v>
          </cell>
          <cell r="AL28">
            <v>32310740</v>
          </cell>
          <cell r="AM28">
            <v>28</v>
          </cell>
        </row>
        <row r="29">
          <cell r="A29" t="str">
            <v>진점배</v>
          </cell>
          <cell r="B29">
            <v>9132217</v>
          </cell>
          <cell r="C29" t="str">
            <v>0002443</v>
          </cell>
          <cell r="D29" t="str">
            <v>NC사업부</v>
          </cell>
          <cell r="E29" t="str">
            <v>TM</v>
          </cell>
          <cell r="F29" t="str">
            <v>TM매니저</v>
          </cell>
          <cell r="G29" t="str">
            <v>대리</v>
          </cell>
          <cell r="H29" t="str">
            <v>31</v>
          </cell>
          <cell r="I29" t="str">
            <v>04</v>
          </cell>
          <cell r="J29">
            <v>3104</v>
          </cell>
          <cell r="K29" t="str">
            <v>사무직</v>
          </cell>
          <cell r="L29" t="str">
            <v>G3</v>
          </cell>
          <cell r="M29" t="str">
            <v>A</v>
          </cell>
          <cell r="N29">
            <v>37699440</v>
          </cell>
          <cell r="O29">
            <v>1200000</v>
          </cell>
          <cell r="P29">
            <v>6214000</v>
          </cell>
          <cell r="Q29">
            <v>1.5</v>
          </cell>
          <cell r="R29">
            <v>37699440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1200000</v>
          </cell>
          <cell r="X29">
            <v>9321000</v>
          </cell>
          <cell r="Y29">
            <v>0</v>
          </cell>
          <cell r="Z29">
            <v>0</v>
          </cell>
          <cell r="AA29">
            <v>0</v>
          </cell>
          <cell r="AB29">
            <v>48220440</v>
          </cell>
          <cell r="AC29">
            <v>37699440</v>
          </cell>
          <cell r="AD29">
            <v>9321000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K29">
            <v>1200000</v>
          </cell>
          <cell r="AL29">
            <v>48220440</v>
          </cell>
          <cell r="AM29">
            <v>29</v>
          </cell>
        </row>
        <row r="30">
          <cell r="A30" t="str">
            <v>이영식</v>
          </cell>
          <cell r="B30">
            <v>9134023</v>
          </cell>
          <cell r="C30" t="str">
            <v>0002443</v>
          </cell>
          <cell r="D30" t="str">
            <v>NC사업부</v>
          </cell>
          <cell r="E30" t="str">
            <v>TM</v>
          </cell>
          <cell r="F30" t="str">
            <v>TM기획</v>
          </cell>
          <cell r="G30" t="str">
            <v>대리</v>
          </cell>
          <cell r="H30" t="str">
            <v>22</v>
          </cell>
          <cell r="I30" t="str">
            <v>03</v>
          </cell>
          <cell r="J30">
            <v>2203</v>
          </cell>
          <cell r="K30" t="str">
            <v>일반직</v>
          </cell>
          <cell r="L30" t="str">
            <v>G1</v>
          </cell>
          <cell r="M30" t="str">
            <v>B</v>
          </cell>
          <cell r="N30">
            <v>39333000</v>
          </cell>
          <cell r="O30">
            <v>1200000</v>
          </cell>
          <cell r="P30">
            <v>8934300</v>
          </cell>
          <cell r="Q30">
            <v>1</v>
          </cell>
          <cell r="R30">
            <v>39333000</v>
          </cell>
          <cell r="S30">
            <v>5000000</v>
          </cell>
          <cell r="T30">
            <v>0</v>
          </cell>
          <cell r="U30">
            <v>0</v>
          </cell>
          <cell r="V30">
            <v>0</v>
          </cell>
          <cell r="W30">
            <v>1200000</v>
          </cell>
          <cell r="X30">
            <v>8934300</v>
          </cell>
          <cell r="Y30">
            <v>-586200</v>
          </cell>
          <cell r="Z30">
            <v>0</v>
          </cell>
          <cell r="AA30">
            <v>0</v>
          </cell>
          <cell r="AB30">
            <v>53881100</v>
          </cell>
          <cell r="AC30">
            <v>39333000</v>
          </cell>
          <cell r="AD30">
            <v>8348100</v>
          </cell>
          <cell r="AE30">
            <v>5000000</v>
          </cell>
          <cell r="AF30">
            <v>0</v>
          </cell>
          <cell r="AG30">
            <v>0</v>
          </cell>
          <cell r="AH30">
            <v>0</v>
          </cell>
          <cell r="AK30">
            <v>1200000</v>
          </cell>
          <cell r="AL30">
            <v>53881100</v>
          </cell>
          <cell r="AM30">
            <v>30</v>
          </cell>
        </row>
        <row r="31">
          <cell r="A31" t="str">
            <v>황인호</v>
          </cell>
          <cell r="B31">
            <v>9134031</v>
          </cell>
          <cell r="C31" t="str">
            <v>0002443</v>
          </cell>
          <cell r="D31" t="str">
            <v>NC사업부</v>
          </cell>
          <cell r="E31" t="str">
            <v>TM</v>
          </cell>
          <cell r="F31" t="str">
            <v>제휴개발</v>
          </cell>
          <cell r="G31" t="str">
            <v>대리</v>
          </cell>
          <cell r="H31" t="str">
            <v>22</v>
          </cell>
          <cell r="I31" t="str">
            <v>03</v>
          </cell>
          <cell r="J31">
            <v>2203</v>
          </cell>
          <cell r="K31" t="str">
            <v>일반직</v>
          </cell>
          <cell r="L31" t="str">
            <v>G2</v>
          </cell>
          <cell r="M31" t="str">
            <v>D</v>
          </cell>
          <cell r="N31">
            <v>39333000</v>
          </cell>
          <cell r="O31">
            <v>1200000</v>
          </cell>
          <cell r="P31">
            <v>8934300</v>
          </cell>
          <cell r="Q31">
            <v>0</v>
          </cell>
          <cell r="R31">
            <v>39333000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1200000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40533000</v>
          </cell>
          <cell r="AC31">
            <v>39333000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K31">
            <v>1200000</v>
          </cell>
          <cell r="AL31">
            <v>40533000</v>
          </cell>
          <cell r="AM31">
            <v>31</v>
          </cell>
        </row>
        <row r="32">
          <cell r="A32" t="str">
            <v>황인오</v>
          </cell>
          <cell r="B32">
            <v>9132080</v>
          </cell>
          <cell r="C32" t="str">
            <v>0002443</v>
          </cell>
          <cell r="D32" t="str">
            <v>NC사업부</v>
          </cell>
          <cell r="E32" t="str">
            <v>TM</v>
          </cell>
          <cell r="F32" t="str">
            <v>교육매니저</v>
          </cell>
          <cell r="G32" t="str">
            <v>차장</v>
          </cell>
          <cell r="H32" t="str">
            <v>21</v>
          </cell>
          <cell r="I32" t="str">
            <v>01</v>
          </cell>
          <cell r="J32">
            <v>2101</v>
          </cell>
          <cell r="K32" t="str">
            <v>일반직</v>
          </cell>
          <cell r="L32" t="str">
            <v>G1</v>
          </cell>
          <cell r="M32" t="str">
            <v>B</v>
          </cell>
          <cell r="N32">
            <v>45930000</v>
          </cell>
          <cell r="O32">
            <v>1200000</v>
          </cell>
          <cell r="P32">
            <v>11875920</v>
          </cell>
          <cell r="Q32">
            <v>1</v>
          </cell>
          <cell r="R32">
            <v>45930000</v>
          </cell>
          <cell r="S32">
            <v>5000000</v>
          </cell>
          <cell r="T32">
            <v>0</v>
          </cell>
          <cell r="U32">
            <v>0</v>
          </cell>
          <cell r="V32">
            <v>0</v>
          </cell>
          <cell r="W32">
            <v>1200000</v>
          </cell>
          <cell r="X32">
            <v>11875920</v>
          </cell>
          <cell r="Y32">
            <v>-586200</v>
          </cell>
          <cell r="Z32">
            <v>0</v>
          </cell>
          <cell r="AA32">
            <v>0</v>
          </cell>
          <cell r="AB32">
            <v>63419720</v>
          </cell>
          <cell r="AC32">
            <v>45930000</v>
          </cell>
          <cell r="AD32">
            <v>11289720</v>
          </cell>
          <cell r="AE32">
            <v>5000000</v>
          </cell>
          <cell r="AF32">
            <v>0</v>
          </cell>
          <cell r="AG32">
            <v>0</v>
          </cell>
          <cell r="AH32">
            <v>0</v>
          </cell>
          <cell r="AK32">
            <v>1200000</v>
          </cell>
          <cell r="AL32">
            <v>63419720</v>
          </cell>
          <cell r="AM32">
            <v>32</v>
          </cell>
        </row>
        <row r="33">
          <cell r="A33" t="str">
            <v>김창준</v>
          </cell>
          <cell r="B33">
            <v>9132691</v>
          </cell>
          <cell r="C33" t="str">
            <v>0002443</v>
          </cell>
          <cell r="D33" t="str">
            <v>NC사업부</v>
          </cell>
          <cell r="E33" t="str">
            <v>TM</v>
          </cell>
          <cell r="F33" t="str">
            <v>TM기획</v>
          </cell>
          <cell r="G33" t="str">
            <v>과장</v>
          </cell>
          <cell r="H33" t="str">
            <v>21</v>
          </cell>
          <cell r="I33" t="str">
            <v>01</v>
          </cell>
          <cell r="J33">
            <v>2101</v>
          </cell>
          <cell r="K33" t="str">
            <v>일반직</v>
          </cell>
          <cell r="L33" t="str">
            <v>G1</v>
          </cell>
          <cell r="M33" t="str">
            <v>B</v>
          </cell>
          <cell r="N33">
            <v>45810000</v>
          </cell>
          <cell r="O33">
            <v>1200000</v>
          </cell>
          <cell r="P33">
            <v>11591330</v>
          </cell>
          <cell r="Q33">
            <v>1</v>
          </cell>
          <cell r="R33">
            <v>45810000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1200000</v>
          </cell>
          <cell r="X33">
            <v>11591330</v>
          </cell>
          <cell r="Y33">
            <v>-586200</v>
          </cell>
          <cell r="Z33">
            <v>0</v>
          </cell>
          <cell r="AA33">
            <v>0</v>
          </cell>
          <cell r="AB33">
            <v>58015130</v>
          </cell>
          <cell r="AC33">
            <v>45810000</v>
          </cell>
          <cell r="AD33">
            <v>11005130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K33">
            <v>1200000</v>
          </cell>
          <cell r="AL33">
            <v>58015130</v>
          </cell>
          <cell r="AM33">
            <v>33</v>
          </cell>
        </row>
        <row r="34">
          <cell r="A34" t="str">
            <v>박상호</v>
          </cell>
          <cell r="B34">
            <v>9133469</v>
          </cell>
          <cell r="C34" t="str">
            <v>0002443</v>
          </cell>
          <cell r="D34" t="str">
            <v>NC사업부</v>
          </cell>
          <cell r="E34" t="str">
            <v>TM</v>
          </cell>
          <cell r="F34" t="str">
            <v>제휴개발</v>
          </cell>
          <cell r="G34" t="str">
            <v>과장</v>
          </cell>
          <cell r="H34" t="str">
            <v>21</v>
          </cell>
          <cell r="I34" t="str">
            <v>01</v>
          </cell>
          <cell r="J34">
            <v>2101</v>
          </cell>
          <cell r="K34" t="str">
            <v>일반직</v>
          </cell>
          <cell r="L34" t="str">
            <v>G1</v>
          </cell>
          <cell r="M34" t="str">
            <v>B</v>
          </cell>
          <cell r="N34">
            <v>45810000</v>
          </cell>
          <cell r="O34">
            <v>1200000</v>
          </cell>
          <cell r="P34">
            <v>11306740</v>
          </cell>
          <cell r="Q34">
            <v>1</v>
          </cell>
          <cell r="R34">
            <v>45810000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1200000</v>
          </cell>
          <cell r="X34">
            <v>11306740</v>
          </cell>
          <cell r="Y34">
            <v>-586200</v>
          </cell>
          <cell r="Z34">
            <v>0</v>
          </cell>
          <cell r="AA34">
            <v>0</v>
          </cell>
          <cell r="AB34">
            <v>57730540</v>
          </cell>
          <cell r="AC34">
            <v>45810000</v>
          </cell>
          <cell r="AD34">
            <v>10720540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K34">
            <v>1200000</v>
          </cell>
          <cell r="AL34">
            <v>57730540</v>
          </cell>
          <cell r="AM34">
            <v>34</v>
          </cell>
        </row>
        <row r="35">
          <cell r="A35" t="str">
            <v>이준우</v>
          </cell>
          <cell r="B35">
            <v>9132365</v>
          </cell>
          <cell r="C35" t="str">
            <v>0002443</v>
          </cell>
          <cell r="D35" t="str">
            <v>NC사업부</v>
          </cell>
          <cell r="E35" t="str">
            <v>TM</v>
          </cell>
          <cell r="F35" t="str">
            <v>제휴개발</v>
          </cell>
          <cell r="G35" t="str">
            <v>차장</v>
          </cell>
          <cell r="H35" t="str">
            <v>12</v>
          </cell>
          <cell r="I35" t="str">
            <v>01</v>
          </cell>
          <cell r="J35">
            <v>1201</v>
          </cell>
          <cell r="K35" t="str">
            <v>일반직</v>
          </cell>
          <cell r="L35" t="str">
            <v>G1</v>
          </cell>
          <cell r="M35" t="str">
            <v>A</v>
          </cell>
          <cell r="N35">
            <v>51937500</v>
          </cell>
          <cell r="O35">
            <v>1200000</v>
          </cell>
          <cell r="P35">
            <v>13349850</v>
          </cell>
          <cell r="Q35">
            <v>1.5</v>
          </cell>
          <cell r="R35">
            <v>51937500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1200000</v>
          </cell>
          <cell r="X35">
            <v>20024780</v>
          </cell>
          <cell r="Y35">
            <v>-586200</v>
          </cell>
          <cell r="Z35">
            <v>444520</v>
          </cell>
          <cell r="AA35">
            <v>0</v>
          </cell>
          <cell r="AB35">
            <v>73020600</v>
          </cell>
          <cell r="AC35">
            <v>51937500</v>
          </cell>
          <cell r="AD35">
            <v>19883100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K35">
            <v>1200000</v>
          </cell>
          <cell r="AL35">
            <v>73020600</v>
          </cell>
          <cell r="AM35">
            <v>35</v>
          </cell>
        </row>
        <row r="36">
          <cell r="A36" t="str">
            <v>김보극</v>
          </cell>
          <cell r="B36">
            <v>9135011</v>
          </cell>
          <cell r="C36" t="str">
            <v>0002445</v>
          </cell>
          <cell r="D36" t="str">
            <v>NC사업부</v>
          </cell>
          <cell r="E36" t="str">
            <v>AM</v>
          </cell>
          <cell r="F36" t="str">
            <v>AM기획</v>
          </cell>
          <cell r="G36" t="str">
            <v>주임</v>
          </cell>
          <cell r="H36" t="str">
            <v>41</v>
          </cell>
          <cell r="I36" t="str">
            <v>09</v>
          </cell>
          <cell r="J36">
            <v>4109</v>
          </cell>
          <cell r="K36" t="str">
            <v>일반직</v>
          </cell>
          <cell r="L36" t="str">
            <v>G1</v>
          </cell>
          <cell r="M36" t="str">
            <v>C</v>
          </cell>
          <cell r="N36">
            <v>27721500</v>
          </cell>
          <cell r="O36">
            <v>1200000</v>
          </cell>
          <cell r="P36">
            <v>6069480</v>
          </cell>
          <cell r="Q36">
            <v>0.5</v>
          </cell>
          <cell r="R36">
            <v>27721500</v>
          </cell>
          <cell r="S36">
            <v>5000000</v>
          </cell>
          <cell r="T36">
            <v>0</v>
          </cell>
          <cell r="U36">
            <v>0</v>
          </cell>
          <cell r="V36">
            <v>0</v>
          </cell>
          <cell r="W36">
            <v>1200000</v>
          </cell>
          <cell r="X36">
            <v>3034740</v>
          </cell>
          <cell r="Y36">
            <v>0</v>
          </cell>
          <cell r="Z36">
            <v>0</v>
          </cell>
          <cell r="AA36">
            <v>0</v>
          </cell>
          <cell r="AB36">
            <v>36956240</v>
          </cell>
          <cell r="AC36">
            <v>27721500</v>
          </cell>
          <cell r="AD36">
            <v>3034740</v>
          </cell>
          <cell r="AE36">
            <v>5000000</v>
          </cell>
          <cell r="AF36">
            <v>0</v>
          </cell>
          <cell r="AG36">
            <v>0</v>
          </cell>
          <cell r="AH36">
            <v>0</v>
          </cell>
          <cell r="AK36">
            <v>1200000</v>
          </cell>
          <cell r="AL36">
            <v>36956240</v>
          </cell>
          <cell r="AM36">
            <v>36</v>
          </cell>
        </row>
        <row r="37">
          <cell r="A37" t="str">
            <v>김영미</v>
          </cell>
          <cell r="B37">
            <v>9133159</v>
          </cell>
          <cell r="C37" t="str">
            <v>0002445</v>
          </cell>
          <cell r="D37" t="str">
            <v>NC사업부</v>
          </cell>
          <cell r="E37" t="str">
            <v>AM</v>
          </cell>
          <cell r="F37" t="str">
            <v>영업지원</v>
          </cell>
          <cell r="G37" t="str">
            <v>주임</v>
          </cell>
          <cell r="H37" t="str">
            <v>31</v>
          </cell>
          <cell r="I37" t="str">
            <v>02</v>
          </cell>
          <cell r="J37">
            <v>3102</v>
          </cell>
          <cell r="K37" t="str">
            <v>사무직</v>
          </cell>
          <cell r="L37" t="str">
            <v>G3</v>
          </cell>
          <cell r="M37" t="str">
            <v>C</v>
          </cell>
          <cell r="N37">
            <v>36801380</v>
          </cell>
          <cell r="O37">
            <v>1200000</v>
          </cell>
          <cell r="P37">
            <v>6134000</v>
          </cell>
          <cell r="Q37">
            <v>0.5</v>
          </cell>
          <cell r="R37">
            <v>36801380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1200000</v>
          </cell>
          <cell r="X37">
            <v>3067000</v>
          </cell>
          <cell r="Y37">
            <v>0</v>
          </cell>
          <cell r="Z37">
            <v>0</v>
          </cell>
          <cell r="AA37">
            <v>0</v>
          </cell>
          <cell r="AB37">
            <v>41068380</v>
          </cell>
          <cell r="AC37">
            <v>36801380</v>
          </cell>
          <cell r="AD37">
            <v>3067000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K37">
            <v>1200000</v>
          </cell>
          <cell r="AL37">
            <v>41068380</v>
          </cell>
          <cell r="AM37">
            <v>37</v>
          </cell>
        </row>
        <row r="38">
          <cell r="A38" t="str">
            <v>김윤미</v>
          </cell>
          <cell r="B38">
            <v>9132527</v>
          </cell>
          <cell r="C38" t="str">
            <v>0002445</v>
          </cell>
          <cell r="D38" t="str">
            <v>NC사업부</v>
          </cell>
          <cell r="E38" t="str">
            <v>AM</v>
          </cell>
          <cell r="F38" t="str">
            <v>영업지원</v>
          </cell>
          <cell r="G38" t="str">
            <v>주임</v>
          </cell>
          <cell r="H38" t="str">
            <v>31</v>
          </cell>
          <cell r="I38" t="str">
            <v>01</v>
          </cell>
          <cell r="J38">
            <v>3101</v>
          </cell>
          <cell r="K38" t="str">
            <v>사무직</v>
          </cell>
          <cell r="L38" t="str">
            <v>G3</v>
          </cell>
          <cell r="M38" t="str">
            <v>B</v>
          </cell>
          <cell r="N38">
            <v>36742370</v>
          </cell>
          <cell r="O38">
            <v>1200000</v>
          </cell>
          <cell r="P38">
            <v>6086000</v>
          </cell>
          <cell r="Q38">
            <v>1</v>
          </cell>
          <cell r="R38">
            <v>36742370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1200000</v>
          </cell>
          <cell r="X38">
            <v>6086000</v>
          </cell>
          <cell r="Y38">
            <v>0</v>
          </cell>
          <cell r="Z38">
            <v>0</v>
          </cell>
          <cell r="AA38">
            <v>0</v>
          </cell>
          <cell r="AB38">
            <v>44028370</v>
          </cell>
          <cell r="AC38">
            <v>36742370</v>
          </cell>
          <cell r="AD38">
            <v>6086000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K38">
            <v>1200000</v>
          </cell>
          <cell r="AL38">
            <v>44028370</v>
          </cell>
          <cell r="AM38">
            <v>38</v>
          </cell>
        </row>
        <row r="39">
          <cell r="A39" t="str">
            <v>정재홍</v>
          </cell>
          <cell r="B39">
            <v>9117617</v>
          </cell>
          <cell r="C39" t="str">
            <v>0002445</v>
          </cell>
          <cell r="D39" t="str">
            <v>NC사업부</v>
          </cell>
          <cell r="E39" t="str">
            <v>AM</v>
          </cell>
          <cell r="F39" t="str">
            <v>제휴개발</v>
          </cell>
          <cell r="G39" t="str">
            <v>대리</v>
          </cell>
          <cell r="H39" t="str">
            <v>22</v>
          </cell>
          <cell r="I39" t="str">
            <v>02</v>
          </cell>
          <cell r="J39">
            <v>2202</v>
          </cell>
          <cell r="K39" t="str">
            <v>일반직</v>
          </cell>
          <cell r="L39" t="str">
            <v>G2</v>
          </cell>
          <cell r="M39" t="str">
            <v>B</v>
          </cell>
          <cell r="N39">
            <v>39060000</v>
          </cell>
          <cell r="O39">
            <v>1200000</v>
          </cell>
          <cell r="P39">
            <v>8869520</v>
          </cell>
          <cell r="Q39">
            <v>1</v>
          </cell>
          <cell r="R39">
            <v>39060000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1200000</v>
          </cell>
          <cell r="X39">
            <v>8869520</v>
          </cell>
          <cell r="Y39">
            <v>0</v>
          </cell>
          <cell r="Z39">
            <v>0</v>
          </cell>
          <cell r="AA39">
            <v>0</v>
          </cell>
          <cell r="AB39">
            <v>49129520</v>
          </cell>
          <cell r="AC39">
            <v>39060000</v>
          </cell>
          <cell r="AD39">
            <v>8869520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K39">
            <v>1200000</v>
          </cell>
          <cell r="AL39">
            <v>49129520</v>
          </cell>
          <cell r="AM39">
            <v>39</v>
          </cell>
        </row>
        <row r="40">
          <cell r="A40" t="str">
            <v>정민경</v>
          </cell>
          <cell r="B40">
            <v>9134821</v>
          </cell>
          <cell r="C40" t="str">
            <v>0002445</v>
          </cell>
          <cell r="D40" t="str">
            <v>NC사업부</v>
          </cell>
          <cell r="E40" t="str">
            <v>AM</v>
          </cell>
          <cell r="F40" t="str">
            <v>영업지원</v>
          </cell>
          <cell r="G40" t="str">
            <v>과장</v>
          </cell>
          <cell r="H40" t="str">
            <v>21</v>
          </cell>
          <cell r="I40" t="str">
            <v>01</v>
          </cell>
          <cell r="J40">
            <v>2101</v>
          </cell>
          <cell r="K40" t="str">
            <v>일반직</v>
          </cell>
          <cell r="L40" t="str">
            <v>G1</v>
          </cell>
          <cell r="M40" t="str">
            <v>A</v>
          </cell>
          <cell r="N40">
            <v>45690000</v>
          </cell>
          <cell r="O40">
            <v>1200000</v>
          </cell>
          <cell r="P40">
            <v>10879850</v>
          </cell>
          <cell r="Q40">
            <v>1.5</v>
          </cell>
          <cell r="R40">
            <v>45690000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1200000</v>
          </cell>
          <cell r="X40">
            <v>16319780</v>
          </cell>
          <cell r="Y40">
            <v>-586200</v>
          </cell>
          <cell r="Z40">
            <v>444520</v>
          </cell>
          <cell r="AA40">
            <v>0</v>
          </cell>
          <cell r="AB40">
            <v>63068100</v>
          </cell>
          <cell r="AC40">
            <v>45690000</v>
          </cell>
          <cell r="AD40">
            <v>16178100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K40">
            <v>1200000</v>
          </cell>
          <cell r="AL40">
            <v>63068100</v>
          </cell>
          <cell r="AM40">
            <v>40</v>
          </cell>
        </row>
        <row r="41">
          <cell r="A41" t="str">
            <v>임종수</v>
          </cell>
          <cell r="B41">
            <v>9132144</v>
          </cell>
          <cell r="C41" t="str">
            <v>0002445</v>
          </cell>
          <cell r="D41" t="str">
            <v>NC사업부</v>
          </cell>
          <cell r="E41" t="str">
            <v>AM</v>
          </cell>
          <cell r="F41" t="str">
            <v>제휴개발</v>
          </cell>
          <cell r="G41" t="str">
            <v>과장</v>
          </cell>
          <cell r="H41" t="str">
            <v>21</v>
          </cell>
          <cell r="I41" t="str">
            <v>01</v>
          </cell>
          <cell r="J41">
            <v>2101</v>
          </cell>
          <cell r="K41" t="str">
            <v>일반직</v>
          </cell>
          <cell r="L41" t="str">
            <v>G1</v>
          </cell>
          <cell r="M41" t="str">
            <v>C</v>
          </cell>
          <cell r="N41">
            <v>45930000</v>
          </cell>
          <cell r="O41">
            <v>1200000</v>
          </cell>
          <cell r="P41">
            <v>11875920</v>
          </cell>
          <cell r="Q41">
            <v>0.5</v>
          </cell>
          <cell r="R41">
            <v>45930000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1200000</v>
          </cell>
          <cell r="X41">
            <v>5937960</v>
          </cell>
          <cell r="Y41">
            <v>-586200</v>
          </cell>
          <cell r="Z41">
            <v>0</v>
          </cell>
          <cell r="AA41">
            <v>0</v>
          </cell>
          <cell r="AB41">
            <v>52481760</v>
          </cell>
          <cell r="AC41">
            <v>45930000</v>
          </cell>
          <cell r="AD41">
            <v>5351760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K41">
            <v>1200000</v>
          </cell>
          <cell r="AL41">
            <v>52481760</v>
          </cell>
          <cell r="AM41">
            <v>41</v>
          </cell>
        </row>
        <row r="42">
          <cell r="A42" t="str">
            <v>문준희</v>
          </cell>
          <cell r="B42">
            <v>9131890</v>
          </cell>
          <cell r="C42" t="str">
            <v>0002445</v>
          </cell>
          <cell r="D42" t="str">
            <v>NC사업부</v>
          </cell>
          <cell r="E42" t="str">
            <v>AM</v>
          </cell>
          <cell r="F42" t="str">
            <v>영업지원</v>
          </cell>
          <cell r="G42" t="str">
            <v>과장</v>
          </cell>
          <cell r="H42" t="str">
            <v>21</v>
          </cell>
          <cell r="I42" t="str">
            <v>01</v>
          </cell>
          <cell r="J42">
            <v>2101</v>
          </cell>
          <cell r="K42" t="str">
            <v>일반직</v>
          </cell>
          <cell r="L42" t="str">
            <v>G1</v>
          </cell>
          <cell r="M42" t="str">
            <v>D</v>
          </cell>
          <cell r="N42">
            <v>45930000</v>
          </cell>
          <cell r="O42">
            <v>1200000</v>
          </cell>
          <cell r="P42">
            <v>12018210</v>
          </cell>
          <cell r="Q42">
            <v>0</v>
          </cell>
          <cell r="R42">
            <v>45930000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1200000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47130000</v>
          </cell>
          <cell r="AC42">
            <v>45930000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K42">
            <v>1200000</v>
          </cell>
          <cell r="AL42">
            <v>47130000</v>
          </cell>
          <cell r="AM42">
            <v>42</v>
          </cell>
        </row>
        <row r="43">
          <cell r="A43" t="str">
            <v>이종호</v>
          </cell>
          <cell r="B43">
            <v>9131733</v>
          </cell>
          <cell r="C43" t="str">
            <v>0002445</v>
          </cell>
          <cell r="D43" t="str">
            <v>NC사업부</v>
          </cell>
          <cell r="E43" t="str">
            <v>AM</v>
          </cell>
          <cell r="F43" t="str">
            <v>팀장</v>
          </cell>
          <cell r="G43" t="str">
            <v>팀장</v>
          </cell>
          <cell r="H43" t="str">
            <v>12</v>
          </cell>
          <cell r="I43" t="str">
            <v>01</v>
          </cell>
          <cell r="J43">
            <v>1201</v>
          </cell>
          <cell r="K43" t="str">
            <v>일반직</v>
          </cell>
          <cell r="L43" t="str">
            <v>G1</v>
          </cell>
          <cell r="M43" t="str">
            <v>B</v>
          </cell>
          <cell r="N43">
            <v>51697500</v>
          </cell>
          <cell r="O43">
            <v>1200000</v>
          </cell>
          <cell r="P43">
            <v>13510340</v>
          </cell>
          <cell r="Q43">
            <v>1</v>
          </cell>
          <cell r="R43">
            <v>51697500</v>
          </cell>
          <cell r="S43">
            <v>0</v>
          </cell>
          <cell r="T43">
            <v>5000000</v>
          </cell>
          <cell r="U43">
            <v>0</v>
          </cell>
          <cell r="V43">
            <v>0</v>
          </cell>
          <cell r="W43">
            <v>1200000</v>
          </cell>
          <cell r="X43">
            <v>13510340</v>
          </cell>
          <cell r="Y43">
            <v>0</v>
          </cell>
          <cell r="Z43">
            <v>0</v>
          </cell>
          <cell r="AA43">
            <v>0</v>
          </cell>
          <cell r="AB43">
            <v>71407840</v>
          </cell>
          <cell r="AC43">
            <v>51697500</v>
          </cell>
          <cell r="AD43">
            <v>13510340</v>
          </cell>
          <cell r="AE43">
            <v>0</v>
          </cell>
          <cell r="AF43">
            <v>5000000</v>
          </cell>
          <cell r="AG43">
            <v>5000000</v>
          </cell>
          <cell r="AH43">
            <v>0</v>
          </cell>
          <cell r="AK43">
            <v>1200000</v>
          </cell>
          <cell r="AL43">
            <v>71407840</v>
          </cell>
          <cell r="AM43">
            <v>43</v>
          </cell>
        </row>
        <row r="44">
          <cell r="A44" t="str">
            <v>심혜경</v>
          </cell>
          <cell r="B44">
            <v>9096504</v>
          </cell>
          <cell r="C44" t="str">
            <v>0002447</v>
          </cell>
          <cell r="D44" t="str">
            <v>NC사업부</v>
          </cell>
          <cell r="E44" t="str">
            <v>기업복지</v>
          </cell>
          <cell r="F44" t="str">
            <v>법인유지</v>
          </cell>
          <cell r="G44" t="str">
            <v>주임</v>
          </cell>
          <cell r="H44" t="str">
            <v>31</v>
          </cell>
          <cell r="I44" t="str">
            <v>01</v>
          </cell>
          <cell r="J44">
            <v>3101</v>
          </cell>
          <cell r="K44" t="str">
            <v>사무직</v>
          </cell>
          <cell r="L44" t="str">
            <v>G3</v>
          </cell>
          <cell r="M44" t="str">
            <v>B</v>
          </cell>
          <cell r="N44">
            <v>36742370</v>
          </cell>
          <cell r="O44">
            <v>1200000</v>
          </cell>
          <cell r="P44">
            <v>6086000</v>
          </cell>
          <cell r="Q44">
            <v>1</v>
          </cell>
          <cell r="R44">
            <v>36742370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1200000</v>
          </cell>
          <cell r="X44">
            <v>6086000</v>
          </cell>
          <cell r="Y44">
            <v>0</v>
          </cell>
          <cell r="Z44">
            <v>0</v>
          </cell>
          <cell r="AA44">
            <v>0</v>
          </cell>
          <cell r="AB44">
            <v>44028370</v>
          </cell>
          <cell r="AC44">
            <v>36742370</v>
          </cell>
          <cell r="AD44">
            <v>6086000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K44">
            <v>1200000</v>
          </cell>
          <cell r="AL44">
            <v>44028370</v>
          </cell>
          <cell r="AM44">
            <v>44</v>
          </cell>
        </row>
        <row r="45">
          <cell r="A45" t="str">
            <v>김성표</v>
          </cell>
          <cell r="B45">
            <v>9133620</v>
          </cell>
          <cell r="C45" t="str">
            <v>0002447</v>
          </cell>
          <cell r="D45" t="str">
            <v>NC사업부</v>
          </cell>
          <cell r="E45" t="str">
            <v>기업복지</v>
          </cell>
          <cell r="F45" t="str">
            <v>법인유지</v>
          </cell>
          <cell r="G45" t="str">
            <v>과장</v>
          </cell>
          <cell r="H45" t="str">
            <v>22</v>
          </cell>
          <cell r="I45" t="str">
            <v>04</v>
          </cell>
          <cell r="J45">
            <v>2204</v>
          </cell>
          <cell r="K45" t="str">
            <v>일반직</v>
          </cell>
          <cell r="L45" t="str">
            <v>G2</v>
          </cell>
          <cell r="M45" t="str">
            <v>B</v>
          </cell>
          <cell r="N45">
            <v>39606000</v>
          </cell>
          <cell r="O45">
            <v>1200000</v>
          </cell>
          <cell r="P45">
            <v>9122760</v>
          </cell>
          <cell r="Q45">
            <v>1</v>
          </cell>
          <cell r="R45">
            <v>39606000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1200000</v>
          </cell>
          <cell r="X45">
            <v>9122760</v>
          </cell>
          <cell r="Y45">
            <v>0</v>
          </cell>
          <cell r="Z45">
            <v>0</v>
          </cell>
          <cell r="AA45">
            <v>0</v>
          </cell>
          <cell r="AB45">
            <v>49928760</v>
          </cell>
          <cell r="AC45">
            <v>39606000</v>
          </cell>
          <cell r="AD45">
            <v>9122760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K45">
            <v>1200000</v>
          </cell>
          <cell r="AL45">
            <v>49928760</v>
          </cell>
          <cell r="AM45">
            <v>45</v>
          </cell>
        </row>
        <row r="46">
          <cell r="A46" t="str">
            <v>정성섭</v>
          </cell>
          <cell r="B46">
            <v>9117218</v>
          </cell>
          <cell r="C46" t="str">
            <v>0002447</v>
          </cell>
          <cell r="D46" t="str">
            <v>NC사업부</v>
          </cell>
          <cell r="E46" t="str">
            <v>기업복지</v>
          </cell>
          <cell r="F46" t="str">
            <v>법인유지</v>
          </cell>
          <cell r="G46" t="str">
            <v>과장</v>
          </cell>
          <cell r="H46" t="str">
            <v>22</v>
          </cell>
          <cell r="I46" t="str">
            <v>04</v>
          </cell>
          <cell r="J46">
            <v>2204</v>
          </cell>
          <cell r="K46" t="str">
            <v>일반직</v>
          </cell>
          <cell r="L46" t="str">
            <v>G2</v>
          </cell>
          <cell r="M46" t="str">
            <v>B</v>
          </cell>
          <cell r="N46">
            <v>39606000</v>
          </cell>
          <cell r="O46">
            <v>1200000</v>
          </cell>
          <cell r="P46">
            <v>8999090</v>
          </cell>
          <cell r="Q46">
            <v>1</v>
          </cell>
          <cell r="R46">
            <v>39606000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1200000</v>
          </cell>
          <cell r="X46">
            <v>8999090</v>
          </cell>
          <cell r="Y46">
            <v>0</v>
          </cell>
          <cell r="Z46">
            <v>0</v>
          </cell>
          <cell r="AA46">
            <v>0</v>
          </cell>
          <cell r="AB46">
            <v>49805090</v>
          </cell>
          <cell r="AC46">
            <v>39606000</v>
          </cell>
          <cell r="AD46">
            <v>8999090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K46">
            <v>1200000</v>
          </cell>
          <cell r="AL46">
            <v>49805090</v>
          </cell>
          <cell r="AM46">
            <v>46</v>
          </cell>
        </row>
        <row r="47">
          <cell r="A47" t="str">
            <v>배윤환</v>
          </cell>
          <cell r="B47">
            <v>9134228</v>
          </cell>
          <cell r="C47" t="str">
            <v>0002447</v>
          </cell>
          <cell r="D47" t="str">
            <v>NC사업부</v>
          </cell>
          <cell r="E47" t="str">
            <v>기업복지</v>
          </cell>
          <cell r="F47" t="str">
            <v>법인영업</v>
          </cell>
          <cell r="G47" t="str">
            <v>대리</v>
          </cell>
          <cell r="H47" t="str">
            <v>22</v>
          </cell>
          <cell r="I47" t="str">
            <v>01</v>
          </cell>
          <cell r="J47">
            <v>2201</v>
          </cell>
          <cell r="K47" t="str">
            <v>일반직</v>
          </cell>
          <cell r="L47" t="str">
            <v>G2</v>
          </cell>
          <cell r="M47" t="str">
            <v>B</v>
          </cell>
          <cell r="N47">
            <v>38787000</v>
          </cell>
          <cell r="O47">
            <v>1200000</v>
          </cell>
          <cell r="P47">
            <v>8804730</v>
          </cell>
          <cell r="Q47">
            <v>1</v>
          </cell>
          <cell r="R47">
            <v>38787000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1200000</v>
          </cell>
          <cell r="X47">
            <v>8804730</v>
          </cell>
          <cell r="Y47">
            <v>0</v>
          </cell>
          <cell r="Z47">
            <v>0</v>
          </cell>
          <cell r="AA47">
            <v>0</v>
          </cell>
          <cell r="AB47">
            <v>48791730</v>
          </cell>
          <cell r="AC47">
            <v>38787000</v>
          </cell>
          <cell r="AD47">
            <v>8804730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K47">
            <v>1200000</v>
          </cell>
          <cell r="AL47">
            <v>48791730</v>
          </cell>
          <cell r="AM47">
            <v>47</v>
          </cell>
        </row>
        <row r="48">
          <cell r="A48" t="str">
            <v>이윤극</v>
          </cell>
          <cell r="B48">
            <v>9131750</v>
          </cell>
          <cell r="C48" t="str">
            <v>0002447</v>
          </cell>
          <cell r="D48" t="str">
            <v>NC사업부</v>
          </cell>
          <cell r="E48" t="str">
            <v>기업복지</v>
          </cell>
          <cell r="F48" t="str">
            <v>법인교육지원</v>
          </cell>
          <cell r="G48" t="str">
            <v>차장</v>
          </cell>
          <cell r="H48" t="str">
            <v>21</v>
          </cell>
          <cell r="I48" t="str">
            <v>01</v>
          </cell>
          <cell r="J48">
            <v>2101</v>
          </cell>
          <cell r="K48" t="str">
            <v>일반직</v>
          </cell>
          <cell r="L48" t="str">
            <v>G1</v>
          </cell>
          <cell r="M48" t="str">
            <v>B</v>
          </cell>
          <cell r="N48">
            <v>45930000</v>
          </cell>
          <cell r="O48">
            <v>1200000</v>
          </cell>
          <cell r="P48">
            <v>12018210</v>
          </cell>
          <cell r="Q48">
            <v>1</v>
          </cell>
          <cell r="R48">
            <v>45930000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1200000</v>
          </cell>
          <cell r="X48">
            <v>12018210</v>
          </cell>
          <cell r="Y48">
            <v>-586200</v>
          </cell>
          <cell r="Z48">
            <v>0</v>
          </cell>
          <cell r="AA48">
            <v>0</v>
          </cell>
          <cell r="AB48">
            <v>58562010</v>
          </cell>
          <cell r="AC48">
            <v>45930000</v>
          </cell>
          <cell r="AD48">
            <v>11432010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K48">
            <v>1200000</v>
          </cell>
          <cell r="AL48">
            <v>58562010</v>
          </cell>
          <cell r="AM48">
            <v>48</v>
          </cell>
        </row>
        <row r="49">
          <cell r="A49" t="str">
            <v>황병탁</v>
          </cell>
          <cell r="B49">
            <v>9131121</v>
          </cell>
          <cell r="C49" t="str">
            <v>0002447</v>
          </cell>
          <cell r="D49" t="str">
            <v>NC사업부</v>
          </cell>
          <cell r="E49" t="str">
            <v>기업복지</v>
          </cell>
          <cell r="F49" t="str">
            <v>법인영업지원</v>
          </cell>
          <cell r="G49" t="str">
            <v>차장</v>
          </cell>
          <cell r="H49" t="str">
            <v>12</v>
          </cell>
          <cell r="I49" t="str">
            <v>01</v>
          </cell>
          <cell r="J49">
            <v>1201</v>
          </cell>
          <cell r="K49" t="str">
            <v>일반직</v>
          </cell>
          <cell r="L49" t="str">
            <v>G1</v>
          </cell>
          <cell r="M49" t="str">
            <v>B</v>
          </cell>
          <cell r="N49">
            <v>52177500</v>
          </cell>
          <cell r="O49">
            <v>1200000</v>
          </cell>
          <cell r="P49">
            <v>14794280</v>
          </cell>
          <cell r="Q49">
            <v>1</v>
          </cell>
          <cell r="R49">
            <v>52177500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1200000</v>
          </cell>
          <cell r="X49">
            <v>14794280</v>
          </cell>
          <cell r="Y49">
            <v>-586200</v>
          </cell>
          <cell r="Z49">
            <v>0</v>
          </cell>
          <cell r="AA49">
            <v>0</v>
          </cell>
          <cell r="AB49">
            <v>67585580</v>
          </cell>
          <cell r="AC49">
            <v>52177500</v>
          </cell>
          <cell r="AD49">
            <v>14208080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K49">
            <v>1200000</v>
          </cell>
          <cell r="AL49">
            <v>67585580</v>
          </cell>
          <cell r="AM49">
            <v>49</v>
          </cell>
        </row>
        <row r="50">
          <cell r="A50" t="str">
            <v>정호교</v>
          </cell>
          <cell r="B50">
            <v>9131288</v>
          </cell>
          <cell r="C50" t="str">
            <v>0002447</v>
          </cell>
          <cell r="D50" t="str">
            <v>NC사업부</v>
          </cell>
          <cell r="E50" t="str">
            <v>기업복지</v>
          </cell>
          <cell r="F50" t="str">
            <v>법인영업</v>
          </cell>
          <cell r="G50" t="str">
            <v>차장</v>
          </cell>
          <cell r="H50" t="str">
            <v>12</v>
          </cell>
          <cell r="I50" t="str">
            <v>01</v>
          </cell>
          <cell r="J50">
            <v>1201</v>
          </cell>
          <cell r="K50" t="str">
            <v>일반직</v>
          </cell>
          <cell r="L50" t="str">
            <v>G1</v>
          </cell>
          <cell r="M50" t="str">
            <v>B</v>
          </cell>
          <cell r="N50">
            <v>52057500</v>
          </cell>
          <cell r="O50">
            <v>1200000</v>
          </cell>
          <cell r="P50">
            <v>14152310</v>
          </cell>
          <cell r="Q50">
            <v>1</v>
          </cell>
          <cell r="R50">
            <v>52057500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1200000</v>
          </cell>
          <cell r="X50">
            <v>14152310</v>
          </cell>
          <cell r="Y50">
            <v>-586200</v>
          </cell>
          <cell r="Z50">
            <v>0</v>
          </cell>
          <cell r="AA50">
            <v>0</v>
          </cell>
          <cell r="AB50">
            <v>66823610</v>
          </cell>
          <cell r="AC50">
            <v>52057500</v>
          </cell>
          <cell r="AD50">
            <v>13566110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K50">
            <v>1200000</v>
          </cell>
          <cell r="AL50">
            <v>66823610</v>
          </cell>
          <cell r="AM50">
            <v>50</v>
          </cell>
        </row>
        <row r="51">
          <cell r="A51" t="str">
            <v>최은석</v>
          </cell>
          <cell r="B51">
            <v>9131105</v>
          </cell>
          <cell r="C51" t="str">
            <v>0002447</v>
          </cell>
          <cell r="D51" t="str">
            <v>NC사업부</v>
          </cell>
          <cell r="E51" t="str">
            <v>기업복지</v>
          </cell>
          <cell r="F51" t="str">
            <v>팀장</v>
          </cell>
          <cell r="G51" t="str">
            <v>팀장</v>
          </cell>
          <cell r="H51" t="str">
            <v>11</v>
          </cell>
          <cell r="I51" t="str">
            <v>01</v>
          </cell>
          <cell r="J51">
            <v>1101</v>
          </cell>
          <cell r="K51" t="str">
            <v>일반직</v>
          </cell>
          <cell r="L51" t="str">
            <v>G1</v>
          </cell>
          <cell r="M51" t="str">
            <v>D</v>
          </cell>
          <cell r="N51">
            <v>59181000</v>
          </cell>
          <cell r="O51">
            <v>1200000</v>
          </cell>
          <cell r="P51">
            <v>16762470</v>
          </cell>
          <cell r="Q51">
            <v>0</v>
          </cell>
          <cell r="R51">
            <v>59181000</v>
          </cell>
          <cell r="S51">
            <v>0</v>
          </cell>
          <cell r="T51">
            <v>5000000</v>
          </cell>
          <cell r="U51">
            <v>0</v>
          </cell>
          <cell r="V51">
            <v>0</v>
          </cell>
          <cell r="W51">
            <v>1200000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65381000</v>
          </cell>
          <cell r="AC51">
            <v>59181000</v>
          </cell>
          <cell r="AD51">
            <v>0</v>
          </cell>
          <cell r="AE51">
            <v>0</v>
          </cell>
          <cell r="AF51">
            <v>5000000</v>
          </cell>
          <cell r="AG51">
            <v>5000000</v>
          </cell>
          <cell r="AH51">
            <v>0</v>
          </cell>
          <cell r="AK51">
            <v>1200000</v>
          </cell>
          <cell r="AL51">
            <v>65381000</v>
          </cell>
          <cell r="AM51">
            <v>51</v>
          </cell>
        </row>
        <row r="52">
          <cell r="A52" t="str">
            <v>조민식</v>
          </cell>
          <cell r="B52">
            <v>9134970</v>
          </cell>
          <cell r="C52" t="str">
            <v>0002460</v>
          </cell>
          <cell r="D52" t="str">
            <v>리스크관리</v>
          </cell>
          <cell r="E52" t="str">
            <v>리스크관리</v>
          </cell>
          <cell r="F52" t="str">
            <v>재무기획</v>
          </cell>
          <cell r="G52" t="str">
            <v>주임</v>
          </cell>
          <cell r="H52" t="str">
            <v>31</v>
          </cell>
          <cell r="I52" t="str">
            <v>02</v>
          </cell>
          <cell r="J52">
            <v>3102</v>
          </cell>
          <cell r="K52" t="str">
            <v>일반직</v>
          </cell>
          <cell r="L52" t="str">
            <v>G2</v>
          </cell>
          <cell r="M52" t="str">
            <v>B</v>
          </cell>
          <cell r="N52">
            <v>33883500</v>
          </cell>
          <cell r="O52">
            <v>1200000</v>
          </cell>
          <cell r="P52">
            <v>7419380</v>
          </cell>
          <cell r="Q52">
            <v>1</v>
          </cell>
          <cell r="R52">
            <v>33883500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1200000</v>
          </cell>
          <cell r="X52">
            <v>7419380</v>
          </cell>
          <cell r="Y52">
            <v>0</v>
          </cell>
          <cell r="Z52">
            <v>0</v>
          </cell>
          <cell r="AA52">
            <v>0</v>
          </cell>
          <cell r="AB52">
            <v>42502880</v>
          </cell>
          <cell r="AC52">
            <v>33883500</v>
          </cell>
          <cell r="AD52">
            <v>7419380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K52">
            <v>1200000</v>
          </cell>
          <cell r="AL52">
            <v>42502880</v>
          </cell>
          <cell r="AM52">
            <v>52</v>
          </cell>
        </row>
        <row r="53">
          <cell r="A53" t="str">
            <v>임보연</v>
          </cell>
          <cell r="B53">
            <v>9134961</v>
          </cell>
          <cell r="C53" t="str">
            <v>0002460</v>
          </cell>
          <cell r="D53" t="str">
            <v>리스크관리</v>
          </cell>
          <cell r="E53" t="str">
            <v>리스크관리</v>
          </cell>
          <cell r="F53" t="str">
            <v>신용위험분석</v>
          </cell>
          <cell r="G53" t="str">
            <v>주임</v>
          </cell>
          <cell r="H53" t="str">
            <v>31</v>
          </cell>
          <cell r="I53" t="str">
            <v>02</v>
          </cell>
          <cell r="J53">
            <v>3102</v>
          </cell>
          <cell r="K53" t="str">
            <v>일반직</v>
          </cell>
          <cell r="L53" t="str">
            <v>G2</v>
          </cell>
          <cell r="M53" t="str">
            <v>D</v>
          </cell>
          <cell r="N53">
            <v>33883500</v>
          </cell>
          <cell r="O53">
            <v>1200000</v>
          </cell>
          <cell r="P53">
            <v>8276300</v>
          </cell>
          <cell r="Q53">
            <v>0</v>
          </cell>
          <cell r="R53">
            <v>33883500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1200000</v>
          </cell>
          <cell r="X53">
            <v>0</v>
          </cell>
          <cell r="Y53">
            <v>0</v>
          </cell>
          <cell r="Z53">
            <v>0</v>
          </cell>
          <cell r="AA53">
            <v>2000000</v>
          </cell>
          <cell r="AB53">
            <v>37083500</v>
          </cell>
          <cell r="AC53">
            <v>33883500</v>
          </cell>
          <cell r="AD53">
            <v>2000000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K53">
            <v>1200000</v>
          </cell>
          <cell r="AL53">
            <v>37083500</v>
          </cell>
          <cell r="AM53">
            <v>53</v>
          </cell>
        </row>
        <row r="54">
          <cell r="A54" t="str">
            <v>이용길</v>
          </cell>
          <cell r="B54">
            <v>9133515</v>
          </cell>
          <cell r="C54" t="str">
            <v>0002460</v>
          </cell>
          <cell r="D54" t="str">
            <v>리스크관리</v>
          </cell>
          <cell r="E54" t="str">
            <v>리스크관리</v>
          </cell>
          <cell r="F54" t="str">
            <v>신용위험분석</v>
          </cell>
          <cell r="G54" t="str">
            <v>과장</v>
          </cell>
          <cell r="H54" t="str">
            <v>21</v>
          </cell>
          <cell r="I54" t="str">
            <v>01</v>
          </cell>
          <cell r="J54">
            <v>2101</v>
          </cell>
          <cell r="K54" t="str">
            <v>일반직</v>
          </cell>
          <cell r="L54" t="str">
            <v>G1</v>
          </cell>
          <cell r="M54" t="str">
            <v>B</v>
          </cell>
          <cell r="N54">
            <v>45810000</v>
          </cell>
          <cell r="O54">
            <v>1200000</v>
          </cell>
          <cell r="P54">
            <v>11306740</v>
          </cell>
          <cell r="Q54">
            <v>1</v>
          </cell>
          <cell r="R54">
            <v>45810000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1200000</v>
          </cell>
          <cell r="X54">
            <v>11306740</v>
          </cell>
          <cell r="Y54">
            <v>-586200</v>
          </cell>
          <cell r="Z54">
            <v>0</v>
          </cell>
          <cell r="AA54">
            <v>0</v>
          </cell>
          <cell r="AB54">
            <v>57730540</v>
          </cell>
          <cell r="AC54">
            <v>45810000</v>
          </cell>
          <cell r="AD54">
            <v>10720540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K54">
            <v>1200000</v>
          </cell>
          <cell r="AL54">
            <v>57730540</v>
          </cell>
          <cell r="AM54">
            <v>54</v>
          </cell>
        </row>
        <row r="55">
          <cell r="A55" t="str">
            <v>최병기</v>
          </cell>
          <cell r="B55">
            <v>9131440</v>
          </cell>
          <cell r="C55" t="str">
            <v>0002460</v>
          </cell>
          <cell r="D55" t="str">
            <v>리스크관리</v>
          </cell>
          <cell r="E55" t="str">
            <v>리스크관리</v>
          </cell>
          <cell r="F55" t="str">
            <v>팀장</v>
          </cell>
          <cell r="G55" t="str">
            <v>팀장</v>
          </cell>
          <cell r="H55" t="str">
            <v>12</v>
          </cell>
          <cell r="I55" t="str">
            <v>01</v>
          </cell>
          <cell r="J55">
            <v>1201</v>
          </cell>
          <cell r="K55" t="str">
            <v>일반직</v>
          </cell>
          <cell r="L55" t="str">
            <v>G1</v>
          </cell>
          <cell r="M55" t="str">
            <v>C</v>
          </cell>
          <cell r="N55">
            <v>51697500</v>
          </cell>
          <cell r="O55">
            <v>1200000</v>
          </cell>
          <cell r="P55">
            <v>13831320</v>
          </cell>
          <cell r="Q55">
            <v>0.5</v>
          </cell>
          <cell r="R55">
            <v>51697500</v>
          </cell>
          <cell r="S55">
            <v>0</v>
          </cell>
          <cell r="T55">
            <v>5000000</v>
          </cell>
          <cell r="U55">
            <v>0</v>
          </cell>
          <cell r="V55">
            <v>0</v>
          </cell>
          <cell r="W55">
            <v>1200000</v>
          </cell>
          <cell r="X55">
            <v>6915660</v>
          </cell>
          <cell r="Y55">
            <v>0</v>
          </cell>
          <cell r="Z55">
            <v>0</v>
          </cell>
          <cell r="AA55">
            <v>0</v>
          </cell>
          <cell r="AB55">
            <v>64813160</v>
          </cell>
          <cell r="AC55">
            <v>51697500</v>
          </cell>
          <cell r="AD55">
            <v>6915660</v>
          </cell>
          <cell r="AE55">
            <v>0</v>
          </cell>
          <cell r="AF55">
            <v>5000000</v>
          </cell>
          <cell r="AG55">
            <v>5000000</v>
          </cell>
          <cell r="AH55">
            <v>0</v>
          </cell>
          <cell r="AK55">
            <v>1200000</v>
          </cell>
          <cell r="AL55">
            <v>64813160</v>
          </cell>
          <cell r="AM55">
            <v>55</v>
          </cell>
        </row>
        <row r="56">
          <cell r="A56" t="str">
            <v>황영남</v>
          </cell>
          <cell r="B56">
            <v>9132519</v>
          </cell>
          <cell r="C56" t="str">
            <v>0002471</v>
          </cell>
          <cell r="D56" t="str">
            <v>투융자사업부</v>
          </cell>
          <cell r="E56" t="str">
            <v>대출</v>
          </cell>
          <cell r="F56" t="str">
            <v>사후관리</v>
          </cell>
          <cell r="G56" t="str">
            <v>대리</v>
          </cell>
          <cell r="H56" t="str">
            <v>31</v>
          </cell>
          <cell r="I56" t="str">
            <v>03</v>
          </cell>
          <cell r="J56">
            <v>3103</v>
          </cell>
          <cell r="K56" t="str">
            <v>사무직</v>
          </cell>
          <cell r="L56" t="str">
            <v>G3</v>
          </cell>
          <cell r="M56" t="str">
            <v>B</v>
          </cell>
          <cell r="N56">
            <v>37288860</v>
          </cell>
          <cell r="O56">
            <v>1440000</v>
          </cell>
          <cell r="P56">
            <v>6182000</v>
          </cell>
          <cell r="Q56">
            <v>1</v>
          </cell>
          <cell r="R56">
            <v>37288860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1440000</v>
          </cell>
          <cell r="X56">
            <v>6182000</v>
          </cell>
          <cell r="Y56">
            <v>0</v>
          </cell>
          <cell r="Z56">
            <v>0</v>
          </cell>
          <cell r="AA56">
            <v>0</v>
          </cell>
          <cell r="AB56">
            <v>44910860</v>
          </cell>
          <cell r="AC56">
            <v>37288860</v>
          </cell>
          <cell r="AD56">
            <v>6182000</v>
          </cell>
          <cell r="AE56">
            <v>0</v>
          </cell>
          <cell r="AF56">
            <v>240000</v>
          </cell>
          <cell r="AG56">
            <v>0</v>
          </cell>
          <cell r="AH56">
            <v>0</v>
          </cell>
          <cell r="AI56">
            <v>240000</v>
          </cell>
          <cell r="AJ56">
            <v>0</v>
          </cell>
          <cell r="AK56">
            <v>1200000</v>
          </cell>
          <cell r="AL56">
            <v>44910860</v>
          </cell>
          <cell r="AM56">
            <v>56</v>
          </cell>
        </row>
        <row r="57">
          <cell r="A57" t="str">
            <v>김홍석</v>
          </cell>
          <cell r="B57">
            <v>9133574</v>
          </cell>
          <cell r="C57" t="str">
            <v>0002471</v>
          </cell>
          <cell r="D57" t="str">
            <v>투융자사업부</v>
          </cell>
          <cell r="E57" t="str">
            <v>대출</v>
          </cell>
          <cell r="F57" t="str">
            <v>신규대출</v>
          </cell>
          <cell r="G57" t="str">
            <v>과장</v>
          </cell>
          <cell r="H57" t="str">
            <v>22</v>
          </cell>
          <cell r="I57" t="str">
            <v>05</v>
          </cell>
          <cell r="J57">
            <v>2205</v>
          </cell>
          <cell r="K57" t="str">
            <v>일반직</v>
          </cell>
          <cell r="L57" t="str">
            <v>G1</v>
          </cell>
          <cell r="M57" t="str">
            <v>A</v>
          </cell>
          <cell r="N57">
            <v>39795000</v>
          </cell>
          <cell r="O57">
            <v>1200000</v>
          </cell>
          <cell r="P57">
            <v>9168200</v>
          </cell>
          <cell r="Q57">
            <v>1.5</v>
          </cell>
          <cell r="R57">
            <v>39795000</v>
          </cell>
          <cell r="S57">
            <v>5000000</v>
          </cell>
          <cell r="T57">
            <v>0</v>
          </cell>
          <cell r="U57">
            <v>0</v>
          </cell>
          <cell r="V57">
            <v>0</v>
          </cell>
          <cell r="W57">
            <v>1200000</v>
          </cell>
          <cell r="X57">
            <v>13752300</v>
          </cell>
          <cell r="Y57">
            <v>-586200</v>
          </cell>
          <cell r="Z57">
            <v>440490</v>
          </cell>
          <cell r="AA57">
            <v>-2000000</v>
          </cell>
          <cell r="AB57">
            <v>57601590</v>
          </cell>
          <cell r="AC57">
            <v>39795000</v>
          </cell>
          <cell r="AD57">
            <v>11606590</v>
          </cell>
          <cell r="AE57">
            <v>5000000</v>
          </cell>
          <cell r="AF57">
            <v>0</v>
          </cell>
          <cell r="AG57">
            <v>0</v>
          </cell>
          <cell r="AH57">
            <v>0</v>
          </cell>
          <cell r="AK57">
            <v>1200000</v>
          </cell>
          <cell r="AL57">
            <v>57601590</v>
          </cell>
          <cell r="AM57">
            <v>57</v>
          </cell>
        </row>
        <row r="58">
          <cell r="A58" t="str">
            <v>백재철</v>
          </cell>
          <cell r="B58">
            <v>9132799</v>
          </cell>
          <cell r="C58" t="str">
            <v>0002471</v>
          </cell>
          <cell r="D58" t="str">
            <v>투융자사업부</v>
          </cell>
          <cell r="E58" t="str">
            <v>대출</v>
          </cell>
          <cell r="F58" t="str">
            <v>신규대출</v>
          </cell>
          <cell r="G58" t="str">
            <v>과장</v>
          </cell>
          <cell r="H58" t="str">
            <v>22</v>
          </cell>
          <cell r="I58" t="str">
            <v>05</v>
          </cell>
          <cell r="J58">
            <v>2205</v>
          </cell>
          <cell r="K58" t="str">
            <v>일반직</v>
          </cell>
          <cell r="L58" t="str">
            <v>G1</v>
          </cell>
          <cell r="M58" t="str">
            <v>B</v>
          </cell>
          <cell r="N58">
            <v>39795000</v>
          </cell>
          <cell r="O58">
            <v>1200000</v>
          </cell>
          <cell r="P58">
            <v>9416730</v>
          </cell>
          <cell r="Q58">
            <v>1</v>
          </cell>
          <cell r="R58">
            <v>39795000</v>
          </cell>
          <cell r="S58">
            <v>5000000</v>
          </cell>
          <cell r="T58">
            <v>0</v>
          </cell>
          <cell r="U58">
            <v>0</v>
          </cell>
          <cell r="V58">
            <v>0</v>
          </cell>
          <cell r="W58">
            <v>1200000</v>
          </cell>
          <cell r="X58">
            <v>9416730</v>
          </cell>
          <cell r="Y58">
            <v>-586200</v>
          </cell>
          <cell r="Z58">
            <v>0</v>
          </cell>
          <cell r="AA58">
            <v>0</v>
          </cell>
          <cell r="AB58">
            <v>54825530</v>
          </cell>
          <cell r="AC58">
            <v>39795000</v>
          </cell>
          <cell r="AD58">
            <v>8830530</v>
          </cell>
          <cell r="AE58">
            <v>5000000</v>
          </cell>
          <cell r="AF58">
            <v>0</v>
          </cell>
          <cell r="AG58">
            <v>0</v>
          </cell>
          <cell r="AH58">
            <v>0</v>
          </cell>
          <cell r="AK58">
            <v>1200000</v>
          </cell>
          <cell r="AL58">
            <v>54825530</v>
          </cell>
          <cell r="AM58">
            <v>58</v>
          </cell>
        </row>
        <row r="59">
          <cell r="A59" t="str">
            <v>김영민</v>
          </cell>
          <cell r="B59">
            <v>9133990</v>
          </cell>
          <cell r="C59" t="str">
            <v>0002471</v>
          </cell>
          <cell r="D59" t="str">
            <v>투융자사업부</v>
          </cell>
          <cell r="E59" t="str">
            <v>대출</v>
          </cell>
          <cell r="F59" t="str">
            <v>대출상품분석</v>
          </cell>
          <cell r="G59" t="str">
            <v>과장</v>
          </cell>
          <cell r="H59" t="str">
            <v>22</v>
          </cell>
          <cell r="I59" t="str">
            <v>04</v>
          </cell>
          <cell r="J59">
            <v>2204</v>
          </cell>
          <cell r="K59" t="str">
            <v>일반직</v>
          </cell>
          <cell r="L59" t="str">
            <v>G1</v>
          </cell>
          <cell r="M59" t="str">
            <v>S</v>
          </cell>
          <cell r="N59">
            <v>39606000</v>
          </cell>
          <cell r="O59">
            <v>1200000</v>
          </cell>
          <cell r="P59">
            <v>8999090</v>
          </cell>
          <cell r="Q59">
            <v>2</v>
          </cell>
          <cell r="R59">
            <v>39606000</v>
          </cell>
          <cell r="S59">
            <v>5000000</v>
          </cell>
          <cell r="T59">
            <v>0</v>
          </cell>
          <cell r="U59">
            <v>0</v>
          </cell>
          <cell r="V59">
            <v>0</v>
          </cell>
          <cell r="W59">
            <v>1200000</v>
          </cell>
          <cell r="X59">
            <v>17998180</v>
          </cell>
          <cell r="Y59">
            <v>-586200</v>
          </cell>
          <cell r="Z59">
            <v>587320</v>
          </cell>
          <cell r="AA59">
            <v>-2000000</v>
          </cell>
          <cell r="AB59">
            <v>61805300</v>
          </cell>
          <cell r="AC59">
            <v>39606000</v>
          </cell>
          <cell r="AD59">
            <v>15999300</v>
          </cell>
          <cell r="AE59">
            <v>5000000</v>
          </cell>
          <cell r="AF59">
            <v>0</v>
          </cell>
          <cell r="AG59">
            <v>0</v>
          </cell>
          <cell r="AH59">
            <v>0</v>
          </cell>
          <cell r="AK59">
            <v>1200000</v>
          </cell>
          <cell r="AL59">
            <v>61805300</v>
          </cell>
          <cell r="AM59">
            <v>59</v>
          </cell>
        </row>
        <row r="60">
          <cell r="A60" t="str">
            <v>이훈상</v>
          </cell>
          <cell r="B60">
            <v>9134384</v>
          </cell>
          <cell r="C60" t="str">
            <v>0002471</v>
          </cell>
          <cell r="D60" t="str">
            <v>투융자사업부</v>
          </cell>
          <cell r="E60" t="str">
            <v>대출</v>
          </cell>
          <cell r="F60" t="str">
            <v>법인심사역</v>
          </cell>
          <cell r="G60" t="str">
            <v>과장</v>
          </cell>
          <cell r="H60" t="str">
            <v>22</v>
          </cell>
          <cell r="I60" t="str">
            <v>04</v>
          </cell>
          <cell r="J60">
            <v>2204</v>
          </cell>
          <cell r="K60" t="str">
            <v>일반직</v>
          </cell>
          <cell r="L60" t="str">
            <v>G2</v>
          </cell>
          <cell r="M60" t="str">
            <v>C</v>
          </cell>
          <cell r="N60">
            <v>39486000</v>
          </cell>
          <cell r="O60">
            <v>1200000</v>
          </cell>
          <cell r="P60">
            <v>8999090</v>
          </cell>
          <cell r="Q60">
            <v>0.5</v>
          </cell>
          <cell r="R60">
            <v>39486000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1200000</v>
          </cell>
          <cell r="X60">
            <v>4499550</v>
          </cell>
          <cell r="Y60">
            <v>0</v>
          </cell>
          <cell r="Z60">
            <v>0</v>
          </cell>
          <cell r="AA60">
            <v>2000000</v>
          </cell>
          <cell r="AB60">
            <v>47185550</v>
          </cell>
          <cell r="AC60">
            <v>39486000</v>
          </cell>
          <cell r="AD60">
            <v>6499550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K60">
            <v>1200000</v>
          </cell>
          <cell r="AL60">
            <v>47185550</v>
          </cell>
          <cell r="AM60">
            <v>60</v>
          </cell>
        </row>
        <row r="61">
          <cell r="A61" t="str">
            <v>성진규</v>
          </cell>
          <cell r="B61">
            <v>9121568</v>
          </cell>
          <cell r="C61" t="str">
            <v>0002471</v>
          </cell>
          <cell r="D61" t="str">
            <v>투융자사업부</v>
          </cell>
          <cell r="E61" t="str">
            <v>대출</v>
          </cell>
          <cell r="F61" t="str">
            <v>채권회수</v>
          </cell>
          <cell r="G61" t="str">
            <v>대리</v>
          </cell>
          <cell r="H61" t="str">
            <v>22</v>
          </cell>
          <cell r="I61" t="str">
            <v>03</v>
          </cell>
          <cell r="J61">
            <v>2203</v>
          </cell>
          <cell r="K61" t="str">
            <v>일반직</v>
          </cell>
          <cell r="L61" t="str">
            <v>G2</v>
          </cell>
          <cell r="M61" t="str">
            <v>B</v>
          </cell>
          <cell r="N61">
            <v>39213000</v>
          </cell>
          <cell r="O61">
            <v>1200000</v>
          </cell>
          <cell r="P61">
            <v>8811480</v>
          </cell>
          <cell r="Q61">
            <v>1</v>
          </cell>
          <cell r="R61">
            <v>39213000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1200000</v>
          </cell>
          <cell r="X61">
            <v>8811480</v>
          </cell>
          <cell r="Y61">
            <v>0</v>
          </cell>
          <cell r="Z61">
            <v>0</v>
          </cell>
          <cell r="AA61">
            <v>0</v>
          </cell>
          <cell r="AB61">
            <v>49224480</v>
          </cell>
          <cell r="AC61">
            <v>39213000</v>
          </cell>
          <cell r="AD61">
            <v>8811480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K61">
            <v>1200000</v>
          </cell>
          <cell r="AL61">
            <v>49224480</v>
          </cell>
          <cell r="AM61">
            <v>61</v>
          </cell>
        </row>
        <row r="62">
          <cell r="A62" t="str">
            <v>반우헌</v>
          </cell>
          <cell r="B62">
            <v>9134562</v>
          </cell>
          <cell r="C62" t="str">
            <v>0002471</v>
          </cell>
          <cell r="D62" t="str">
            <v>투융자사업부</v>
          </cell>
          <cell r="E62" t="str">
            <v>대출</v>
          </cell>
          <cell r="F62" t="str">
            <v>법인심사역</v>
          </cell>
          <cell r="G62" t="str">
            <v>대리</v>
          </cell>
          <cell r="H62" t="str">
            <v>22</v>
          </cell>
          <cell r="I62" t="str">
            <v>03</v>
          </cell>
          <cell r="J62">
            <v>2203</v>
          </cell>
          <cell r="K62" t="str">
            <v>일반직</v>
          </cell>
          <cell r="L62" t="str">
            <v>G2</v>
          </cell>
          <cell r="M62" t="str">
            <v>B</v>
          </cell>
          <cell r="N62">
            <v>39213000</v>
          </cell>
          <cell r="O62">
            <v>1200000</v>
          </cell>
          <cell r="P62">
            <v>8811480</v>
          </cell>
          <cell r="Q62">
            <v>1</v>
          </cell>
          <cell r="R62">
            <v>39213000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1200000</v>
          </cell>
          <cell r="X62">
            <v>8811480</v>
          </cell>
          <cell r="Y62">
            <v>0</v>
          </cell>
          <cell r="Z62">
            <v>0</v>
          </cell>
          <cell r="AA62">
            <v>0</v>
          </cell>
          <cell r="AB62">
            <v>49224480</v>
          </cell>
          <cell r="AC62">
            <v>39213000</v>
          </cell>
          <cell r="AD62">
            <v>8811480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K62">
            <v>1200000</v>
          </cell>
          <cell r="AL62">
            <v>49224480</v>
          </cell>
          <cell r="AM62">
            <v>62</v>
          </cell>
        </row>
        <row r="63">
          <cell r="A63" t="str">
            <v>이기용</v>
          </cell>
          <cell r="B63">
            <v>9134147</v>
          </cell>
          <cell r="C63" t="str">
            <v>0002471</v>
          </cell>
          <cell r="D63" t="str">
            <v>투융자사업부</v>
          </cell>
          <cell r="E63" t="str">
            <v>대출</v>
          </cell>
          <cell r="F63" t="str">
            <v>대출상품분석</v>
          </cell>
          <cell r="G63" t="str">
            <v>대리</v>
          </cell>
          <cell r="H63" t="str">
            <v>22</v>
          </cell>
          <cell r="I63" t="str">
            <v>02</v>
          </cell>
          <cell r="J63">
            <v>2202</v>
          </cell>
          <cell r="K63" t="str">
            <v>일반직</v>
          </cell>
          <cell r="L63" t="str">
            <v>G2</v>
          </cell>
          <cell r="M63" t="str">
            <v>B</v>
          </cell>
          <cell r="N63">
            <v>39060000</v>
          </cell>
          <cell r="O63">
            <v>1200000</v>
          </cell>
          <cell r="P63">
            <v>8869520</v>
          </cell>
          <cell r="Q63">
            <v>1</v>
          </cell>
          <cell r="R63">
            <v>39060000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1200000</v>
          </cell>
          <cell r="X63">
            <v>8869520</v>
          </cell>
          <cell r="Y63">
            <v>0</v>
          </cell>
          <cell r="Z63">
            <v>0</v>
          </cell>
          <cell r="AA63">
            <v>0</v>
          </cell>
          <cell r="AB63">
            <v>49129520</v>
          </cell>
          <cell r="AC63">
            <v>39060000</v>
          </cell>
          <cell r="AD63">
            <v>8869520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K63">
            <v>1200000</v>
          </cell>
          <cell r="AL63">
            <v>49129520</v>
          </cell>
          <cell r="AM63">
            <v>63</v>
          </cell>
        </row>
        <row r="64">
          <cell r="A64" t="str">
            <v>강신창</v>
          </cell>
          <cell r="B64">
            <v>9132039</v>
          </cell>
          <cell r="C64" t="str">
            <v>0002471</v>
          </cell>
          <cell r="D64" t="str">
            <v>투융자사업부</v>
          </cell>
          <cell r="E64" t="str">
            <v>대출</v>
          </cell>
          <cell r="F64" t="str">
            <v>사후관리</v>
          </cell>
          <cell r="G64" t="str">
            <v>과장</v>
          </cell>
          <cell r="H64" t="str">
            <v>21</v>
          </cell>
          <cell r="I64" t="str">
            <v>01</v>
          </cell>
          <cell r="J64">
            <v>2101</v>
          </cell>
          <cell r="K64" t="str">
            <v>일반직</v>
          </cell>
          <cell r="L64" t="str">
            <v>G1</v>
          </cell>
          <cell r="M64" t="str">
            <v>B</v>
          </cell>
          <cell r="N64">
            <v>45930000</v>
          </cell>
          <cell r="O64">
            <v>1200000</v>
          </cell>
          <cell r="P64">
            <v>12018210</v>
          </cell>
          <cell r="Q64">
            <v>1</v>
          </cell>
          <cell r="R64">
            <v>45930000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1200000</v>
          </cell>
          <cell r="X64">
            <v>12018210</v>
          </cell>
          <cell r="Y64">
            <v>-586200</v>
          </cell>
          <cell r="Z64">
            <v>0</v>
          </cell>
          <cell r="AA64">
            <v>0</v>
          </cell>
          <cell r="AB64">
            <v>58562010</v>
          </cell>
          <cell r="AC64">
            <v>45930000</v>
          </cell>
          <cell r="AD64">
            <v>11432010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K64">
            <v>1200000</v>
          </cell>
          <cell r="AL64">
            <v>58562010</v>
          </cell>
          <cell r="AM64">
            <v>64</v>
          </cell>
        </row>
        <row r="65">
          <cell r="A65" t="str">
            <v>김근표</v>
          </cell>
          <cell r="B65">
            <v>9132942</v>
          </cell>
          <cell r="C65" t="str">
            <v>0002471</v>
          </cell>
          <cell r="D65" t="str">
            <v>투융자사업부</v>
          </cell>
          <cell r="E65" t="str">
            <v>대출</v>
          </cell>
          <cell r="F65" t="str">
            <v>법인심사역</v>
          </cell>
          <cell r="G65" t="str">
            <v>과장</v>
          </cell>
          <cell r="H65" t="str">
            <v>21</v>
          </cell>
          <cell r="I65" t="str">
            <v>01</v>
          </cell>
          <cell r="J65">
            <v>2101</v>
          </cell>
          <cell r="K65" t="str">
            <v>일반직</v>
          </cell>
          <cell r="L65" t="str">
            <v>G1</v>
          </cell>
          <cell r="M65" t="str">
            <v>B</v>
          </cell>
          <cell r="N65">
            <v>45810000</v>
          </cell>
          <cell r="O65">
            <v>1200000</v>
          </cell>
          <cell r="P65">
            <v>11591330</v>
          </cell>
          <cell r="Q65">
            <v>1</v>
          </cell>
          <cell r="R65">
            <v>45810000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1200000</v>
          </cell>
          <cell r="X65">
            <v>11591330</v>
          </cell>
          <cell r="Y65">
            <v>-586200</v>
          </cell>
          <cell r="Z65">
            <v>0</v>
          </cell>
          <cell r="AA65">
            <v>0</v>
          </cell>
          <cell r="AB65">
            <v>58015130</v>
          </cell>
          <cell r="AC65">
            <v>45810000</v>
          </cell>
          <cell r="AD65">
            <v>11005130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K65">
            <v>1200000</v>
          </cell>
          <cell r="AL65">
            <v>58015130</v>
          </cell>
          <cell r="AM65">
            <v>65</v>
          </cell>
        </row>
        <row r="66">
          <cell r="A66" t="str">
            <v>이재덕</v>
          </cell>
          <cell r="B66">
            <v>9133957</v>
          </cell>
          <cell r="C66" t="str">
            <v>0002471</v>
          </cell>
          <cell r="D66" t="str">
            <v>투융자사업부</v>
          </cell>
          <cell r="E66" t="str">
            <v>대출</v>
          </cell>
          <cell r="F66" t="str">
            <v>채권회수</v>
          </cell>
          <cell r="G66" t="str">
            <v>과장</v>
          </cell>
          <cell r="H66" t="str">
            <v>21</v>
          </cell>
          <cell r="I66" t="str">
            <v>01</v>
          </cell>
          <cell r="J66">
            <v>2101</v>
          </cell>
          <cell r="K66" t="str">
            <v>일반직</v>
          </cell>
          <cell r="L66" t="str">
            <v>G1</v>
          </cell>
          <cell r="M66" t="str">
            <v>B</v>
          </cell>
          <cell r="N66">
            <v>45810000</v>
          </cell>
          <cell r="O66">
            <v>1200000</v>
          </cell>
          <cell r="P66">
            <v>11306740</v>
          </cell>
          <cell r="Q66">
            <v>1</v>
          </cell>
          <cell r="R66">
            <v>45810000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1200000</v>
          </cell>
          <cell r="X66">
            <v>11306740</v>
          </cell>
          <cell r="Y66">
            <v>-586200</v>
          </cell>
          <cell r="Z66">
            <v>0</v>
          </cell>
          <cell r="AA66">
            <v>0</v>
          </cell>
          <cell r="AB66">
            <v>57730540</v>
          </cell>
          <cell r="AC66">
            <v>45810000</v>
          </cell>
          <cell r="AD66">
            <v>10720540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K66">
            <v>1200000</v>
          </cell>
          <cell r="AL66">
            <v>57730540</v>
          </cell>
          <cell r="AM66">
            <v>66</v>
          </cell>
        </row>
        <row r="67">
          <cell r="A67" t="str">
            <v>최영성</v>
          </cell>
          <cell r="B67">
            <v>9131628</v>
          </cell>
          <cell r="C67" t="str">
            <v>0002471</v>
          </cell>
          <cell r="D67" t="str">
            <v>투융자사업부</v>
          </cell>
          <cell r="E67" t="str">
            <v>대출</v>
          </cell>
          <cell r="F67" t="str">
            <v>신규대출</v>
          </cell>
          <cell r="G67" t="str">
            <v>과장</v>
          </cell>
          <cell r="H67" t="str">
            <v>21</v>
          </cell>
          <cell r="I67" t="str">
            <v>01</v>
          </cell>
          <cell r="J67">
            <v>2101</v>
          </cell>
          <cell r="K67" t="str">
            <v>일반직</v>
          </cell>
          <cell r="L67" t="str">
            <v>G1</v>
          </cell>
          <cell r="M67" t="str">
            <v>C</v>
          </cell>
          <cell r="N67">
            <v>45930000</v>
          </cell>
          <cell r="O67">
            <v>1200000</v>
          </cell>
          <cell r="P67">
            <v>12160510</v>
          </cell>
          <cell r="Q67">
            <v>0.5</v>
          </cell>
          <cell r="R67">
            <v>45930000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1200000</v>
          </cell>
          <cell r="X67">
            <v>6080260</v>
          </cell>
          <cell r="Y67">
            <v>-586200</v>
          </cell>
          <cell r="Z67">
            <v>0</v>
          </cell>
          <cell r="AA67">
            <v>2000000</v>
          </cell>
          <cell r="AB67">
            <v>54624060</v>
          </cell>
          <cell r="AC67">
            <v>45930000</v>
          </cell>
          <cell r="AD67">
            <v>7494060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K67">
            <v>1200000</v>
          </cell>
          <cell r="AL67">
            <v>54624060</v>
          </cell>
          <cell r="AM67">
            <v>67</v>
          </cell>
        </row>
        <row r="68">
          <cell r="A68" t="str">
            <v>방병우</v>
          </cell>
          <cell r="B68">
            <v>9131741</v>
          </cell>
          <cell r="C68" t="str">
            <v>0002471</v>
          </cell>
          <cell r="D68" t="str">
            <v>투융자사업부</v>
          </cell>
          <cell r="E68" t="str">
            <v>대출</v>
          </cell>
          <cell r="F68" t="str">
            <v>팀장</v>
          </cell>
          <cell r="G68" t="str">
            <v>팀장</v>
          </cell>
          <cell r="H68" t="str">
            <v>12</v>
          </cell>
          <cell r="I68" t="str">
            <v>01</v>
          </cell>
          <cell r="J68">
            <v>1201</v>
          </cell>
          <cell r="K68" t="str">
            <v>일반직</v>
          </cell>
          <cell r="L68" t="str">
            <v>G1</v>
          </cell>
          <cell r="M68" t="str">
            <v>B</v>
          </cell>
          <cell r="N68">
            <v>51697500</v>
          </cell>
          <cell r="O68">
            <v>1200000</v>
          </cell>
          <cell r="P68">
            <v>13510340</v>
          </cell>
          <cell r="Q68">
            <v>1</v>
          </cell>
          <cell r="R68">
            <v>51697500</v>
          </cell>
          <cell r="S68">
            <v>0</v>
          </cell>
          <cell r="T68">
            <v>5000000</v>
          </cell>
          <cell r="U68">
            <v>0</v>
          </cell>
          <cell r="V68">
            <v>0</v>
          </cell>
          <cell r="W68">
            <v>1200000</v>
          </cell>
          <cell r="X68">
            <v>13510340</v>
          </cell>
          <cell r="Y68">
            <v>0</v>
          </cell>
          <cell r="Z68">
            <v>0</v>
          </cell>
          <cell r="AA68">
            <v>0</v>
          </cell>
          <cell r="AB68">
            <v>71407840</v>
          </cell>
          <cell r="AC68">
            <v>51697500</v>
          </cell>
          <cell r="AD68">
            <v>13510340</v>
          </cell>
          <cell r="AE68">
            <v>0</v>
          </cell>
          <cell r="AF68">
            <v>5000000</v>
          </cell>
          <cell r="AG68">
            <v>5000000</v>
          </cell>
          <cell r="AH68">
            <v>0</v>
          </cell>
          <cell r="AK68">
            <v>1200000</v>
          </cell>
          <cell r="AL68">
            <v>71407840</v>
          </cell>
          <cell r="AM68">
            <v>68</v>
          </cell>
        </row>
        <row r="69">
          <cell r="A69" t="str">
            <v>김녹윤</v>
          </cell>
          <cell r="B69">
            <v>9131768</v>
          </cell>
          <cell r="C69" t="str">
            <v>0002475</v>
          </cell>
          <cell r="D69" t="str">
            <v>투융자사업부</v>
          </cell>
          <cell r="E69" t="str">
            <v>특별계정운용</v>
          </cell>
          <cell r="F69" t="str">
            <v>특별계정운용</v>
          </cell>
          <cell r="G69" t="str">
            <v>차장</v>
          </cell>
          <cell r="H69" t="str">
            <v>21</v>
          </cell>
          <cell r="I69" t="str">
            <v>01</v>
          </cell>
          <cell r="J69">
            <v>2101</v>
          </cell>
          <cell r="K69" t="str">
            <v>일반직</v>
          </cell>
          <cell r="L69" t="str">
            <v>G1</v>
          </cell>
          <cell r="M69" t="str">
            <v>B</v>
          </cell>
          <cell r="N69">
            <v>45930000</v>
          </cell>
          <cell r="O69">
            <v>1200000</v>
          </cell>
          <cell r="P69">
            <v>12018210</v>
          </cell>
          <cell r="Q69">
            <v>1</v>
          </cell>
          <cell r="R69">
            <v>45930000</v>
          </cell>
          <cell r="S69">
            <v>5000000</v>
          </cell>
          <cell r="T69">
            <v>0</v>
          </cell>
          <cell r="U69">
            <v>0</v>
          </cell>
          <cell r="V69">
            <v>0</v>
          </cell>
          <cell r="W69">
            <v>1200000</v>
          </cell>
          <cell r="X69">
            <v>12018210</v>
          </cell>
          <cell r="Y69">
            <v>-586200</v>
          </cell>
          <cell r="Z69">
            <v>0</v>
          </cell>
          <cell r="AA69">
            <v>0</v>
          </cell>
          <cell r="AB69">
            <v>63562010</v>
          </cell>
          <cell r="AC69">
            <v>45930000</v>
          </cell>
          <cell r="AD69">
            <v>11432010</v>
          </cell>
          <cell r="AE69">
            <v>5000000</v>
          </cell>
          <cell r="AF69">
            <v>0</v>
          </cell>
          <cell r="AG69">
            <v>0</v>
          </cell>
          <cell r="AH69">
            <v>0</v>
          </cell>
          <cell r="AK69">
            <v>1200000</v>
          </cell>
          <cell r="AL69">
            <v>63562010</v>
          </cell>
          <cell r="AM69">
            <v>69</v>
          </cell>
        </row>
        <row r="70">
          <cell r="A70" t="str">
            <v>성기풍</v>
          </cell>
          <cell r="B70">
            <v>9135143</v>
          </cell>
          <cell r="C70" t="str">
            <v>0002481</v>
          </cell>
          <cell r="D70" t="str">
            <v>기획/마케팅실</v>
          </cell>
          <cell r="E70" t="str">
            <v>기획관리</v>
          </cell>
          <cell r="F70" t="str">
            <v>기획조사</v>
          </cell>
          <cell r="G70" t="str">
            <v>사원</v>
          </cell>
          <cell r="H70" t="str">
            <v>41</v>
          </cell>
          <cell r="I70" t="str">
            <v>09</v>
          </cell>
          <cell r="J70">
            <v>4109</v>
          </cell>
          <cell r="K70" t="str">
            <v>일반직</v>
          </cell>
          <cell r="L70" t="str">
            <v>G2</v>
          </cell>
          <cell r="M70" t="str">
            <v>S</v>
          </cell>
          <cell r="N70">
            <v>27721500</v>
          </cell>
          <cell r="O70">
            <v>1200000</v>
          </cell>
          <cell r="P70">
            <v>6069480</v>
          </cell>
          <cell r="Q70">
            <v>2</v>
          </cell>
          <cell r="R70">
            <v>27721500</v>
          </cell>
          <cell r="S70">
            <v>5000000</v>
          </cell>
          <cell r="T70">
            <v>0</v>
          </cell>
          <cell r="U70">
            <v>0</v>
          </cell>
          <cell r="V70">
            <v>0</v>
          </cell>
          <cell r="W70">
            <v>1200000</v>
          </cell>
          <cell r="X70">
            <v>12138960</v>
          </cell>
          <cell r="Y70">
            <v>0</v>
          </cell>
          <cell r="Z70">
            <v>587320</v>
          </cell>
          <cell r="AA70">
            <v>0</v>
          </cell>
          <cell r="AB70">
            <v>46647780</v>
          </cell>
          <cell r="AC70">
            <v>27721500</v>
          </cell>
          <cell r="AD70">
            <v>12726280</v>
          </cell>
          <cell r="AE70">
            <v>5000000</v>
          </cell>
          <cell r="AF70">
            <v>0</v>
          </cell>
          <cell r="AG70">
            <v>0</v>
          </cell>
          <cell r="AH70">
            <v>0</v>
          </cell>
          <cell r="AK70">
            <v>1200000</v>
          </cell>
          <cell r="AL70">
            <v>46647780</v>
          </cell>
          <cell r="AM70">
            <v>70</v>
          </cell>
        </row>
        <row r="71">
          <cell r="A71" t="str">
            <v>김대만</v>
          </cell>
          <cell r="B71">
            <v>9135135</v>
          </cell>
          <cell r="C71" t="str">
            <v>0002481</v>
          </cell>
          <cell r="D71" t="str">
            <v>기획/마케팅실</v>
          </cell>
          <cell r="E71" t="str">
            <v>기획관리</v>
          </cell>
          <cell r="F71" t="str">
            <v>예산</v>
          </cell>
          <cell r="G71" t="str">
            <v>사원</v>
          </cell>
          <cell r="H71" t="str">
            <v>41</v>
          </cell>
          <cell r="I71" t="str">
            <v>09</v>
          </cell>
          <cell r="J71">
            <v>4109</v>
          </cell>
          <cell r="K71" t="str">
            <v>일반직</v>
          </cell>
          <cell r="L71" t="str">
            <v>G2</v>
          </cell>
          <cell r="M71" t="str">
            <v>B</v>
          </cell>
          <cell r="N71">
            <v>27721500</v>
          </cell>
          <cell r="O71">
            <v>1200000</v>
          </cell>
          <cell r="P71">
            <v>6069480</v>
          </cell>
          <cell r="Q71">
            <v>1</v>
          </cell>
          <cell r="R71">
            <v>27721500</v>
          </cell>
          <cell r="S71">
            <v>5000000</v>
          </cell>
          <cell r="T71">
            <v>0</v>
          </cell>
          <cell r="U71">
            <v>0</v>
          </cell>
          <cell r="V71">
            <v>0</v>
          </cell>
          <cell r="W71">
            <v>1200000</v>
          </cell>
          <cell r="X71">
            <v>6069480</v>
          </cell>
          <cell r="Y71">
            <v>0</v>
          </cell>
          <cell r="Z71">
            <v>0</v>
          </cell>
          <cell r="AA71">
            <v>0</v>
          </cell>
          <cell r="AB71">
            <v>39990980</v>
          </cell>
          <cell r="AC71">
            <v>27721500</v>
          </cell>
          <cell r="AD71">
            <v>6069480</v>
          </cell>
          <cell r="AE71">
            <v>5000000</v>
          </cell>
          <cell r="AF71">
            <v>0</v>
          </cell>
          <cell r="AG71">
            <v>0</v>
          </cell>
          <cell r="AH71">
            <v>0</v>
          </cell>
          <cell r="AK71">
            <v>1200000</v>
          </cell>
          <cell r="AL71">
            <v>39990980</v>
          </cell>
          <cell r="AM71">
            <v>71</v>
          </cell>
        </row>
        <row r="72">
          <cell r="A72" t="str">
            <v>조우준</v>
          </cell>
          <cell r="B72">
            <v>9133485</v>
          </cell>
          <cell r="C72" t="str">
            <v>0002481</v>
          </cell>
          <cell r="D72" t="str">
            <v>기획/마케팅실</v>
          </cell>
          <cell r="E72" t="str">
            <v>기획관리</v>
          </cell>
          <cell r="F72" t="str">
            <v>조직평가</v>
          </cell>
          <cell r="G72" t="str">
            <v>과장</v>
          </cell>
          <cell r="H72" t="str">
            <v>21</v>
          </cell>
          <cell r="I72" t="str">
            <v>01</v>
          </cell>
          <cell r="J72">
            <v>2101</v>
          </cell>
          <cell r="K72" t="str">
            <v>일반직</v>
          </cell>
          <cell r="L72" t="str">
            <v>G1</v>
          </cell>
          <cell r="M72" t="str">
            <v>B</v>
          </cell>
          <cell r="N72">
            <v>45810000</v>
          </cell>
          <cell r="O72">
            <v>1200000</v>
          </cell>
          <cell r="P72">
            <v>11306740</v>
          </cell>
          <cell r="Q72">
            <v>1</v>
          </cell>
          <cell r="R72">
            <v>45810000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1200000</v>
          </cell>
          <cell r="X72">
            <v>11306740</v>
          </cell>
          <cell r="Y72">
            <v>-586200</v>
          </cell>
          <cell r="Z72">
            <v>0</v>
          </cell>
          <cell r="AA72">
            <v>0</v>
          </cell>
          <cell r="AB72">
            <v>57730540</v>
          </cell>
          <cell r="AC72">
            <v>45810000</v>
          </cell>
          <cell r="AD72">
            <v>10720540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K72">
            <v>1200000</v>
          </cell>
          <cell r="AL72">
            <v>57730540</v>
          </cell>
          <cell r="AM72">
            <v>72</v>
          </cell>
        </row>
        <row r="73">
          <cell r="A73" t="str">
            <v>황규훈</v>
          </cell>
          <cell r="B73">
            <v>9132721</v>
          </cell>
          <cell r="C73" t="str">
            <v>0002481</v>
          </cell>
          <cell r="D73" t="str">
            <v>기획/마케팅실</v>
          </cell>
          <cell r="E73" t="str">
            <v>기획관리</v>
          </cell>
          <cell r="F73" t="str">
            <v>일반기획</v>
          </cell>
          <cell r="G73" t="str">
            <v>과장</v>
          </cell>
          <cell r="H73" t="str">
            <v>21</v>
          </cell>
          <cell r="I73" t="str">
            <v>01</v>
          </cell>
          <cell r="J73">
            <v>2101</v>
          </cell>
          <cell r="K73" t="str">
            <v>일반직</v>
          </cell>
          <cell r="L73" t="str">
            <v>G1</v>
          </cell>
          <cell r="M73" t="str">
            <v>C</v>
          </cell>
          <cell r="N73">
            <v>45810000</v>
          </cell>
          <cell r="O73">
            <v>1200000</v>
          </cell>
          <cell r="P73">
            <v>11591330</v>
          </cell>
          <cell r="Q73">
            <v>0.5</v>
          </cell>
          <cell r="R73">
            <v>45810000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1200000</v>
          </cell>
          <cell r="X73">
            <v>5795670</v>
          </cell>
          <cell r="Y73">
            <v>-586200</v>
          </cell>
          <cell r="Z73">
            <v>0</v>
          </cell>
          <cell r="AA73">
            <v>0</v>
          </cell>
          <cell r="AB73">
            <v>52219470</v>
          </cell>
          <cell r="AC73">
            <v>45810000</v>
          </cell>
          <cell r="AD73">
            <v>5209470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K73">
            <v>1200000</v>
          </cell>
          <cell r="AL73">
            <v>52219470</v>
          </cell>
          <cell r="AM73">
            <v>73</v>
          </cell>
        </row>
        <row r="74">
          <cell r="A74" t="str">
            <v>이현정</v>
          </cell>
          <cell r="B74">
            <v>9135151</v>
          </cell>
          <cell r="C74" t="str">
            <v>0002482</v>
          </cell>
          <cell r="D74" t="str">
            <v>기획/마케팅실</v>
          </cell>
          <cell r="E74" t="str">
            <v>IT기획</v>
          </cell>
          <cell r="F74" t="str">
            <v>IT기획</v>
          </cell>
          <cell r="G74" t="str">
            <v>사원</v>
          </cell>
          <cell r="H74" t="str">
            <v>41</v>
          </cell>
          <cell r="I74" t="str">
            <v>09</v>
          </cell>
          <cell r="J74">
            <v>4109</v>
          </cell>
          <cell r="K74" t="str">
            <v>일반직</v>
          </cell>
          <cell r="L74" t="str">
            <v>G2</v>
          </cell>
          <cell r="M74" t="str">
            <v>B</v>
          </cell>
          <cell r="N74">
            <v>27721500</v>
          </cell>
          <cell r="O74">
            <v>1200000</v>
          </cell>
          <cell r="P74">
            <v>6778470</v>
          </cell>
          <cell r="Q74">
            <v>1</v>
          </cell>
          <cell r="R74">
            <v>27721500</v>
          </cell>
          <cell r="S74">
            <v>5000000</v>
          </cell>
          <cell r="T74">
            <v>0</v>
          </cell>
          <cell r="U74">
            <v>0</v>
          </cell>
          <cell r="V74">
            <v>0</v>
          </cell>
          <cell r="W74">
            <v>1200000</v>
          </cell>
          <cell r="X74">
            <v>6778470</v>
          </cell>
          <cell r="Y74">
            <v>0</v>
          </cell>
          <cell r="Z74">
            <v>0</v>
          </cell>
          <cell r="AA74">
            <v>0</v>
          </cell>
          <cell r="AB74">
            <v>40699970</v>
          </cell>
          <cell r="AC74">
            <v>27721500</v>
          </cell>
          <cell r="AD74">
            <v>6778470</v>
          </cell>
          <cell r="AE74">
            <v>5000000</v>
          </cell>
          <cell r="AF74">
            <v>0</v>
          </cell>
          <cell r="AG74">
            <v>0</v>
          </cell>
          <cell r="AH74">
            <v>0</v>
          </cell>
          <cell r="AK74">
            <v>1200000</v>
          </cell>
          <cell r="AL74">
            <v>40699970</v>
          </cell>
          <cell r="AM74">
            <v>74</v>
          </cell>
        </row>
        <row r="75">
          <cell r="A75" t="str">
            <v>김정배</v>
          </cell>
          <cell r="B75">
            <v>9133639</v>
          </cell>
          <cell r="C75" t="str">
            <v>0002482</v>
          </cell>
          <cell r="D75" t="str">
            <v>기획/마케팅실</v>
          </cell>
          <cell r="E75" t="str">
            <v>IT기획</v>
          </cell>
          <cell r="F75" t="str">
            <v>IT기획</v>
          </cell>
          <cell r="G75" t="str">
            <v>과장</v>
          </cell>
          <cell r="H75" t="str">
            <v>22</v>
          </cell>
          <cell r="I75" t="str">
            <v>04</v>
          </cell>
          <cell r="J75">
            <v>2204</v>
          </cell>
          <cell r="K75" t="str">
            <v>일반직</v>
          </cell>
          <cell r="L75" t="str">
            <v>G2</v>
          </cell>
          <cell r="M75" t="str">
            <v>B</v>
          </cell>
          <cell r="N75">
            <v>39606000</v>
          </cell>
          <cell r="O75">
            <v>1200000</v>
          </cell>
          <cell r="P75">
            <v>9122760</v>
          </cell>
          <cell r="Q75">
            <v>1</v>
          </cell>
          <cell r="R75">
            <v>39606000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1200000</v>
          </cell>
          <cell r="X75">
            <v>9122760</v>
          </cell>
          <cell r="Y75">
            <v>0</v>
          </cell>
          <cell r="Z75">
            <v>0</v>
          </cell>
          <cell r="AA75">
            <v>0</v>
          </cell>
          <cell r="AB75">
            <v>49928760</v>
          </cell>
          <cell r="AC75">
            <v>39606000</v>
          </cell>
          <cell r="AD75">
            <v>9122760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K75">
            <v>1200000</v>
          </cell>
          <cell r="AL75">
            <v>49928760</v>
          </cell>
          <cell r="AM75">
            <v>75</v>
          </cell>
        </row>
        <row r="76">
          <cell r="A76" t="str">
            <v>윤경민</v>
          </cell>
          <cell r="B76">
            <v>9134716</v>
          </cell>
          <cell r="C76" t="str">
            <v>0002485</v>
          </cell>
          <cell r="D76" t="str">
            <v>기획/마케팅실</v>
          </cell>
          <cell r="E76" t="str">
            <v>FC지원</v>
          </cell>
          <cell r="F76" t="str">
            <v>영업교육</v>
          </cell>
          <cell r="G76" t="str">
            <v>사원</v>
          </cell>
          <cell r="H76" t="str">
            <v>41</v>
          </cell>
          <cell r="I76" t="str">
            <v>08</v>
          </cell>
          <cell r="J76">
            <v>4108</v>
          </cell>
          <cell r="K76" t="str">
            <v>사무직</v>
          </cell>
          <cell r="L76" t="str">
            <v>G3</v>
          </cell>
          <cell r="M76" t="str">
            <v>C</v>
          </cell>
          <cell r="N76">
            <v>29462370</v>
          </cell>
          <cell r="O76">
            <v>1200000</v>
          </cell>
          <cell r="P76">
            <v>4926000</v>
          </cell>
          <cell r="Q76">
            <v>0.5</v>
          </cell>
          <cell r="R76">
            <v>29462370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1200000</v>
          </cell>
          <cell r="X76">
            <v>2463000</v>
          </cell>
          <cell r="Y76">
            <v>0</v>
          </cell>
          <cell r="Z76">
            <v>0</v>
          </cell>
          <cell r="AA76">
            <v>0</v>
          </cell>
          <cell r="AB76">
            <v>33125370</v>
          </cell>
          <cell r="AC76">
            <v>29462370</v>
          </cell>
          <cell r="AD76">
            <v>2463000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K76">
            <v>1200000</v>
          </cell>
          <cell r="AL76">
            <v>33125370</v>
          </cell>
          <cell r="AM76">
            <v>76</v>
          </cell>
        </row>
        <row r="77">
          <cell r="A77" t="str">
            <v>심응필</v>
          </cell>
          <cell r="B77">
            <v>9133191</v>
          </cell>
          <cell r="C77" t="str">
            <v>0002485</v>
          </cell>
          <cell r="D77" t="str">
            <v>기획/마케팅실</v>
          </cell>
          <cell r="E77" t="str">
            <v>FC지원</v>
          </cell>
          <cell r="F77" t="str">
            <v>교수역</v>
          </cell>
          <cell r="G77" t="str">
            <v>과장</v>
          </cell>
          <cell r="H77" t="str">
            <v>22</v>
          </cell>
          <cell r="I77" t="str">
            <v>07</v>
          </cell>
          <cell r="J77">
            <v>2207</v>
          </cell>
          <cell r="K77" t="str">
            <v>일반직</v>
          </cell>
          <cell r="L77" t="str">
            <v>G2</v>
          </cell>
          <cell r="M77" t="str">
            <v>B</v>
          </cell>
          <cell r="N77">
            <v>40173000</v>
          </cell>
          <cell r="O77">
            <v>1200000</v>
          </cell>
          <cell r="P77">
            <v>9384540</v>
          </cell>
          <cell r="Q77">
            <v>1</v>
          </cell>
          <cell r="R77">
            <v>40173000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1200000</v>
          </cell>
          <cell r="X77">
            <v>9384540</v>
          </cell>
          <cell r="Y77">
            <v>0</v>
          </cell>
          <cell r="Z77">
            <v>0</v>
          </cell>
          <cell r="AA77">
            <v>0</v>
          </cell>
          <cell r="AB77">
            <v>50757540</v>
          </cell>
          <cell r="AC77">
            <v>40173000</v>
          </cell>
          <cell r="AD77">
            <v>9384540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K77">
            <v>1200000</v>
          </cell>
          <cell r="AL77">
            <v>50757540</v>
          </cell>
          <cell r="AM77">
            <v>77</v>
          </cell>
        </row>
        <row r="78">
          <cell r="A78" t="str">
            <v>정훈석</v>
          </cell>
          <cell r="B78">
            <v>9133213</v>
          </cell>
          <cell r="C78" t="str">
            <v>0002485</v>
          </cell>
          <cell r="D78" t="str">
            <v>기획/마케팅실</v>
          </cell>
          <cell r="E78" t="str">
            <v>FC지원</v>
          </cell>
          <cell r="F78" t="str">
            <v>교수역</v>
          </cell>
          <cell r="G78" t="str">
            <v>과장</v>
          </cell>
          <cell r="H78" t="str">
            <v>22</v>
          </cell>
          <cell r="I78" t="str">
            <v>05</v>
          </cell>
          <cell r="J78">
            <v>2205</v>
          </cell>
          <cell r="K78" t="str">
            <v>일반직</v>
          </cell>
          <cell r="L78" t="str">
            <v>G2</v>
          </cell>
          <cell r="M78" t="str">
            <v>A</v>
          </cell>
          <cell r="N78">
            <v>39795000</v>
          </cell>
          <cell r="O78">
            <v>1200000</v>
          </cell>
          <cell r="P78">
            <v>9292470</v>
          </cell>
          <cell r="Q78">
            <v>1.5</v>
          </cell>
          <cell r="R78">
            <v>39795000</v>
          </cell>
          <cell r="S78">
            <v>5000000</v>
          </cell>
          <cell r="T78">
            <v>0</v>
          </cell>
          <cell r="U78">
            <v>0</v>
          </cell>
          <cell r="V78">
            <v>0</v>
          </cell>
          <cell r="W78">
            <v>1200000</v>
          </cell>
          <cell r="X78">
            <v>13938710</v>
          </cell>
          <cell r="Y78">
            <v>-586200</v>
          </cell>
          <cell r="Z78">
            <v>440490</v>
          </cell>
          <cell r="AA78">
            <v>0</v>
          </cell>
          <cell r="AB78">
            <v>59788000</v>
          </cell>
          <cell r="AC78">
            <v>39795000</v>
          </cell>
          <cell r="AD78">
            <v>13793000</v>
          </cell>
          <cell r="AE78">
            <v>5000000</v>
          </cell>
          <cell r="AF78">
            <v>0</v>
          </cell>
          <cell r="AG78">
            <v>0</v>
          </cell>
          <cell r="AH78">
            <v>0</v>
          </cell>
          <cell r="AK78">
            <v>1200000</v>
          </cell>
          <cell r="AL78">
            <v>59788000</v>
          </cell>
          <cell r="AM78">
            <v>78</v>
          </cell>
        </row>
        <row r="79">
          <cell r="A79" t="str">
            <v>서청종</v>
          </cell>
          <cell r="B79">
            <v>9133922</v>
          </cell>
          <cell r="C79" t="str">
            <v>0002485</v>
          </cell>
          <cell r="D79" t="str">
            <v>기획/마케팅실</v>
          </cell>
          <cell r="E79" t="str">
            <v>FC지원</v>
          </cell>
          <cell r="F79" t="str">
            <v>영업교육</v>
          </cell>
          <cell r="G79" t="str">
            <v>과장</v>
          </cell>
          <cell r="H79" t="str">
            <v>22</v>
          </cell>
          <cell r="I79" t="str">
            <v>05</v>
          </cell>
          <cell r="J79">
            <v>2205</v>
          </cell>
          <cell r="K79" t="str">
            <v>일반직</v>
          </cell>
          <cell r="L79" t="str">
            <v>G2</v>
          </cell>
          <cell r="M79" t="str">
            <v>A</v>
          </cell>
          <cell r="N79">
            <v>39795000</v>
          </cell>
          <cell r="O79">
            <v>1200000</v>
          </cell>
          <cell r="P79">
            <v>9043940</v>
          </cell>
          <cell r="Q79">
            <v>1.5</v>
          </cell>
          <cell r="R79">
            <v>39795000</v>
          </cell>
          <cell r="S79">
            <v>5000000</v>
          </cell>
          <cell r="T79">
            <v>0</v>
          </cell>
          <cell r="U79">
            <v>0</v>
          </cell>
          <cell r="V79">
            <v>0</v>
          </cell>
          <cell r="W79">
            <v>1200000</v>
          </cell>
          <cell r="X79">
            <v>13565910</v>
          </cell>
          <cell r="Y79">
            <v>-586200</v>
          </cell>
          <cell r="Z79">
            <v>440490</v>
          </cell>
          <cell r="AA79">
            <v>0</v>
          </cell>
          <cell r="AB79">
            <v>59415200</v>
          </cell>
          <cell r="AC79">
            <v>39795000</v>
          </cell>
          <cell r="AD79">
            <v>13420200</v>
          </cell>
          <cell r="AE79">
            <v>5000000</v>
          </cell>
          <cell r="AF79">
            <v>0</v>
          </cell>
          <cell r="AG79">
            <v>0</v>
          </cell>
          <cell r="AH79">
            <v>0</v>
          </cell>
          <cell r="AK79">
            <v>1200000</v>
          </cell>
          <cell r="AL79">
            <v>59415200</v>
          </cell>
          <cell r="AM79">
            <v>79</v>
          </cell>
        </row>
        <row r="80">
          <cell r="A80" t="str">
            <v>정원진</v>
          </cell>
          <cell r="B80">
            <v>9133655</v>
          </cell>
          <cell r="C80" t="str">
            <v>0002485</v>
          </cell>
          <cell r="D80" t="str">
            <v>기획/마케팅실</v>
          </cell>
          <cell r="E80" t="str">
            <v>FC지원</v>
          </cell>
          <cell r="F80" t="str">
            <v>영업교육</v>
          </cell>
          <cell r="G80" t="str">
            <v>과장</v>
          </cell>
          <cell r="H80" t="str">
            <v>22</v>
          </cell>
          <cell r="I80" t="str">
            <v>04</v>
          </cell>
          <cell r="J80">
            <v>2204</v>
          </cell>
          <cell r="K80" t="str">
            <v>일반직</v>
          </cell>
          <cell r="L80" t="str">
            <v>G2</v>
          </cell>
          <cell r="M80" t="str">
            <v>A</v>
          </cell>
          <cell r="N80">
            <v>39606000</v>
          </cell>
          <cell r="O80">
            <v>1200000</v>
          </cell>
          <cell r="P80">
            <v>9122760</v>
          </cell>
          <cell r="Q80">
            <v>1.5</v>
          </cell>
          <cell r="R80">
            <v>39606000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1200000</v>
          </cell>
          <cell r="X80">
            <v>13684140</v>
          </cell>
          <cell r="Y80">
            <v>0</v>
          </cell>
          <cell r="Z80">
            <v>440490</v>
          </cell>
          <cell r="AA80">
            <v>0</v>
          </cell>
          <cell r="AB80">
            <v>54930630</v>
          </cell>
          <cell r="AC80">
            <v>39606000</v>
          </cell>
          <cell r="AD80">
            <v>14124630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K80">
            <v>1200000</v>
          </cell>
          <cell r="AL80">
            <v>54930630</v>
          </cell>
          <cell r="AM80">
            <v>80</v>
          </cell>
        </row>
        <row r="81">
          <cell r="A81" t="str">
            <v>양현문</v>
          </cell>
          <cell r="B81">
            <v>9133647</v>
          </cell>
          <cell r="C81" t="str">
            <v>0002485</v>
          </cell>
          <cell r="D81" t="str">
            <v>기획/마케팅실</v>
          </cell>
          <cell r="E81" t="str">
            <v>FC지원</v>
          </cell>
          <cell r="F81" t="str">
            <v>교수역</v>
          </cell>
          <cell r="G81" t="str">
            <v>과장</v>
          </cell>
          <cell r="H81" t="str">
            <v>22</v>
          </cell>
          <cell r="I81" t="str">
            <v>04</v>
          </cell>
          <cell r="J81">
            <v>2204</v>
          </cell>
          <cell r="K81" t="str">
            <v>일반직</v>
          </cell>
          <cell r="L81" t="str">
            <v>G2</v>
          </cell>
          <cell r="M81" t="str">
            <v>B</v>
          </cell>
          <cell r="N81">
            <v>39606000</v>
          </cell>
          <cell r="O81">
            <v>1200000</v>
          </cell>
          <cell r="P81">
            <v>9122760</v>
          </cell>
          <cell r="Q81">
            <v>1</v>
          </cell>
          <cell r="R81">
            <v>39606000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1200000</v>
          </cell>
          <cell r="X81">
            <v>9122760</v>
          </cell>
          <cell r="Y81">
            <v>0</v>
          </cell>
          <cell r="Z81">
            <v>0</v>
          </cell>
          <cell r="AA81">
            <v>0</v>
          </cell>
          <cell r="AB81">
            <v>49928760</v>
          </cell>
          <cell r="AC81">
            <v>39606000</v>
          </cell>
          <cell r="AD81">
            <v>9122760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K81">
            <v>1200000</v>
          </cell>
          <cell r="AL81">
            <v>49928760</v>
          </cell>
          <cell r="AM81">
            <v>81</v>
          </cell>
        </row>
        <row r="82">
          <cell r="A82" t="str">
            <v>진원욱</v>
          </cell>
          <cell r="B82">
            <v>9134570</v>
          </cell>
          <cell r="C82" t="str">
            <v>0002485</v>
          </cell>
          <cell r="D82" t="str">
            <v>기획/마케팅실</v>
          </cell>
          <cell r="E82" t="str">
            <v>FC지원</v>
          </cell>
          <cell r="F82" t="str">
            <v>개인영업지원</v>
          </cell>
          <cell r="G82" t="str">
            <v>대리</v>
          </cell>
          <cell r="H82" t="str">
            <v>22</v>
          </cell>
          <cell r="I82" t="str">
            <v>03</v>
          </cell>
          <cell r="J82">
            <v>2203</v>
          </cell>
          <cell r="K82" t="str">
            <v>일반직</v>
          </cell>
          <cell r="L82" t="str">
            <v>G2</v>
          </cell>
          <cell r="M82" t="str">
            <v>A</v>
          </cell>
          <cell r="N82">
            <v>39213000</v>
          </cell>
          <cell r="O82">
            <v>1200000</v>
          </cell>
          <cell r="P82">
            <v>8811480</v>
          </cell>
          <cell r="Q82">
            <v>1.5</v>
          </cell>
          <cell r="R82">
            <v>39213000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1200000</v>
          </cell>
          <cell r="X82">
            <v>13217220</v>
          </cell>
          <cell r="Y82">
            <v>0</v>
          </cell>
          <cell r="Z82">
            <v>440490</v>
          </cell>
          <cell r="AA82">
            <v>0</v>
          </cell>
          <cell r="AB82">
            <v>54070710</v>
          </cell>
          <cell r="AC82">
            <v>39213000</v>
          </cell>
          <cell r="AD82">
            <v>13657710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K82">
            <v>1200000</v>
          </cell>
          <cell r="AL82">
            <v>54070710</v>
          </cell>
          <cell r="AM82">
            <v>82</v>
          </cell>
        </row>
        <row r="83">
          <cell r="A83" t="str">
            <v>최재용</v>
          </cell>
          <cell r="B83">
            <v>9133094</v>
          </cell>
          <cell r="C83" t="str">
            <v>0002485</v>
          </cell>
          <cell r="D83" t="str">
            <v>기획/마케팅실</v>
          </cell>
          <cell r="E83" t="str">
            <v>FC지원</v>
          </cell>
          <cell r="F83" t="str">
            <v>개인영업지원</v>
          </cell>
          <cell r="G83" t="str">
            <v>대리</v>
          </cell>
          <cell r="H83" t="str">
            <v>22</v>
          </cell>
          <cell r="I83" t="str">
            <v>03</v>
          </cell>
          <cell r="J83">
            <v>2203</v>
          </cell>
          <cell r="K83" t="str">
            <v>일반직</v>
          </cell>
          <cell r="L83" t="str">
            <v>G2</v>
          </cell>
          <cell r="M83" t="str">
            <v>C</v>
          </cell>
          <cell r="N83">
            <v>39333000</v>
          </cell>
          <cell r="O83">
            <v>1200000</v>
          </cell>
          <cell r="P83">
            <v>9179940</v>
          </cell>
          <cell r="Q83">
            <v>0.5</v>
          </cell>
          <cell r="R83">
            <v>39333000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1200000</v>
          </cell>
          <cell r="X83">
            <v>4589970</v>
          </cell>
          <cell r="Y83">
            <v>0</v>
          </cell>
          <cell r="Z83">
            <v>0</v>
          </cell>
          <cell r="AA83">
            <v>0</v>
          </cell>
          <cell r="AB83">
            <v>45122970</v>
          </cell>
          <cell r="AC83">
            <v>39333000</v>
          </cell>
          <cell r="AD83">
            <v>4589970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K83">
            <v>1200000</v>
          </cell>
          <cell r="AL83">
            <v>45122970</v>
          </cell>
          <cell r="AM83">
            <v>83</v>
          </cell>
        </row>
        <row r="84">
          <cell r="A84" t="str">
            <v>정현수</v>
          </cell>
          <cell r="B84">
            <v>9134040</v>
          </cell>
          <cell r="C84" t="str">
            <v>0002485</v>
          </cell>
          <cell r="D84" t="str">
            <v>기획/마케팅실</v>
          </cell>
          <cell r="E84" t="str">
            <v>FC지원</v>
          </cell>
          <cell r="F84" t="str">
            <v>교수역</v>
          </cell>
          <cell r="G84" t="str">
            <v>대리</v>
          </cell>
          <cell r="H84" t="str">
            <v>22</v>
          </cell>
          <cell r="I84" t="str">
            <v>03</v>
          </cell>
          <cell r="J84">
            <v>2203</v>
          </cell>
          <cell r="K84" t="str">
            <v>일반직</v>
          </cell>
          <cell r="L84" t="str">
            <v>G2</v>
          </cell>
          <cell r="M84" t="str">
            <v>C</v>
          </cell>
          <cell r="N84">
            <v>39333000</v>
          </cell>
          <cell r="O84">
            <v>1200000</v>
          </cell>
          <cell r="P84">
            <v>8934300</v>
          </cell>
          <cell r="Q84">
            <v>0.5</v>
          </cell>
          <cell r="R84">
            <v>39333000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1200000</v>
          </cell>
          <cell r="X84">
            <v>4467150</v>
          </cell>
          <cell r="Y84">
            <v>0</v>
          </cell>
          <cell r="Z84">
            <v>0</v>
          </cell>
          <cell r="AA84">
            <v>0</v>
          </cell>
          <cell r="AB84">
            <v>45000150</v>
          </cell>
          <cell r="AC84">
            <v>39333000</v>
          </cell>
          <cell r="AD84">
            <v>4467150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K84">
            <v>1200000</v>
          </cell>
          <cell r="AL84">
            <v>45000150</v>
          </cell>
          <cell r="AM84">
            <v>84</v>
          </cell>
        </row>
        <row r="85">
          <cell r="A85" t="str">
            <v>추교승</v>
          </cell>
          <cell r="B85">
            <v>9132411</v>
          </cell>
          <cell r="C85" t="str">
            <v>0002485</v>
          </cell>
          <cell r="D85" t="str">
            <v>기획/마케팅실</v>
          </cell>
          <cell r="E85" t="str">
            <v>FC지원</v>
          </cell>
          <cell r="F85" t="str">
            <v>영업교육</v>
          </cell>
          <cell r="G85" t="str">
            <v>차장</v>
          </cell>
          <cell r="H85" t="str">
            <v>21</v>
          </cell>
          <cell r="I85" t="str">
            <v>01</v>
          </cell>
          <cell r="J85">
            <v>2101</v>
          </cell>
          <cell r="K85" t="str">
            <v>일반직</v>
          </cell>
          <cell r="L85" t="str">
            <v>G1</v>
          </cell>
          <cell r="M85" t="str">
            <v>A</v>
          </cell>
          <cell r="N85">
            <v>45810000</v>
          </cell>
          <cell r="O85">
            <v>1200000</v>
          </cell>
          <cell r="P85">
            <v>11733620</v>
          </cell>
          <cell r="Q85">
            <v>1.5</v>
          </cell>
          <cell r="R85">
            <v>45810000</v>
          </cell>
          <cell r="S85">
            <v>5000000</v>
          </cell>
          <cell r="T85">
            <v>0</v>
          </cell>
          <cell r="U85">
            <v>0</v>
          </cell>
          <cell r="V85">
            <v>0</v>
          </cell>
          <cell r="W85">
            <v>1200000</v>
          </cell>
          <cell r="X85">
            <v>17600430</v>
          </cell>
          <cell r="Y85">
            <v>-586200</v>
          </cell>
          <cell r="Z85">
            <v>444520</v>
          </cell>
          <cell r="AA85">
            <v>0</v>
          </cell>
          <cell r="AB85">
            <v>69468750</v>
          </cell>
          <cell r="AC85">
            <v>45810000</v>
          </cell>
          <cell r="AD85">
            <v>17458750</v>
          </cell>
          <cell r="AE85">
            <v>5000000</v>
          </cell>
          <cell r="AF85">
            <v>0</v>
          </cell>
          <cell r="AG85">
            <v>0</v>
          </cell>
          <cell r="AH85">
            <v>0</v>
          </cell>
          <cell r="AK85">
            <v>1200000</v>
          </cell>
          <cell r="AL85">
            <v>69468750</v>
          </cell>
          <cell r="AM85">
            <v>85</v>
          </cell>
        </row>
        <row r="86">
          <cell r="A86" t="str">
            <v>정구국</v>
          </cell>
          <cell r="B86">
            <v>9132136</v>
          </cell>
          <cell r="C86" t="str">
            <v>0002485</v>
          </cell>
          <cell r="D86" t="str">
            <v>기획/마케팅실</v>
          </cell>
          <cell r="E86" t="str">
            <v>FC지원</v>
          </cell>
          <cell r="F86" t="str">
            <v>교수역</v>
          </cell>
          <cell r="G86" t="str">
            <v>차장</v>
          </cell>
          <cell r="H86" t="str">
            <v>21</v>
          </cell>
          <cell r="I86" t="str">
            <v>01</v>
          </cell>
          <cell r="J86">
            <v>2101</v>
          </cell>
          <cell r="K86" t="str">
            <v>일반직</v>
          </cell>
          <cell r="L86" t="str">
            <v>G1</v>
          </cell>
          <cell r="M86" t="str">
            <v>A</v>
          </cell>
          <cell r="N86">
            <v>45930000</v>
          </cell>
          <cell r="O86">
            <v>1200000</v>
          </cell>
          <cell r="P86">
            <v>11875920</v>
          </cell>
          <cell r="Q86">
            <v>1.5</v>
          </cell>
          <cell r="R86">
            <v>45930000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1200000</v>
          </cell>
          <cell r="X86">
            <v>17813880</v>
          </cell>
          <cell r="Y86">
            <v>-586200</v>
          </cell>
          <cell r="Z86">
            <v>444520</v>
          </cell>
          <cell r="AA86">
            <v>0</v>
          </cell>
          <cell r="AB86">
            <v>64802200</v>
          </cell>
          <cell r="AC86">
            <v>45930000</v>
          </cell>
          <cell r="AD86">
            <v>17672200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K86">
            <v>1200000</v>
          </cell>
          <cell r="AL86">
            <v>64802200</v>
          </cell>
          <cell r="AM86">
            <v>86</v>
          </cell>
        </row>
        <row r="87">
          <cell r="A87" t="str">
            <v>최태규</v>
          </cell>
          <cell r="B87">
            <v>9134899</v>
          </cell>
          <cell r="C87" t="str">
            <v>0002485</v>
          </cell>
          <cell r="D87" t="str">
            <v>기획/마케팅실</v>
          </cell>
          <cell r="E87" t="str">
            <v>FC지원</v>
          </cell>
          <cell r="F87" t="str">
            <v>교수역</v>
          </cell>
          <cell r="G87" t="str">
            <v>과장</v>
          </cell>
          <cell r="H87" t="str">
            <v>21</v>
          </cell>
          <cell r="I87" t="str">
            <v>01</v>
          </cell>
          <cell r="J87">
            <v>2101</v>
          </cell>
          <cell r="K87" t="str">
            <v>일반직</v>
          </cell>
          <cell r="L87" t="str">
            <v>G1</v>
          </cell>
          <cell r="M87" t="str">
            <v>A</v>
          </cell>
          <cell r="N87">
            <v>45690000</v>
          </cell>
          <cell r="O87">
            <v>1200000</v>
          </cell>
          <cell r="P87">
            <v>10737550</v>
          </cell>
          <cell r="Q87">
            <v>1.5</v>
          </cell>
          <cell r="R87">
            <v>45690000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1200000</v>
          </cell>
          <cell r="X87">
            <v>16106330</v>
          </cell>
          <cell r="Y87">
            <v>-586200</v>
          </cell>
          <cell r="Z87">
            <v>444520</v>
          </cell>
          <cell r="AA87">
            <v>0</v>
          </cell>
          <cell r="AB87">
            <v>62854650</v>
          </cell>
          <cell r="AC87">
            <v>45690000</v>
          </cell>
          <cell r="AD87">
            <v>15964650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K87">
            <v>1200000</v>
          </cell>
          <cell r="AL87">
            <v>62854650</v>
          </cell>
          <cell r="AM87">
            <v>87</v>
          </cell>
        </row>
        <row r="88">
          <cell r="A88" t="str">
            <v>김익재</v>
          </cell>
          <cell r="B88">
            <v>9132098</v>
          </cell>
          <cell r="C88" t="str">
            <v>0002485</v>
          </cell>
          <cell r="D88" t="str">
            <v>기획/마케팅실</v>
          </cell>
          <cell r="E88" t="str">
            <v>FC지원</v>
          </cell>
          <cell r="F88" t="str">
            <v>교수역</v>
          </cell>
          <cell r="G88" t="str">
            <v>차장</v>
          </cell>
          <cell r="H88" t="str">
            <v>21</v>
          </cell>
          <cell r="I88" t="str">
            <v>01</v>
          </cell>
          <cell r="J88">
            <v>2101</v>
          </cell>
          <cell r="K88" t="str">
            <v>일반직</v>
          </cell>
          <cell r="L88" t="str">
            <v>G1</v>
          </cell>
          <cell r="M88" t="str">
            <v>B</v>
          </cell>
          <cell r="N88">
            <v>45930000</v>
          </cell>
          <cell r="O88">
            <v>1200000</v>
          </cell>
          <cell r="P88">
            <v>11875920</v>
          </cell>
          <cell r="Q88">
            <v>1</v>
          </cell>
          <cell r="R88">
            <v>45930000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1200000</v>
          </cell>
          <cell r="X88">
            <v>11875920</v>
          </cell>
          <cell r="Y88">
            <v>-586200</v>
          </cell>
          <cell r="Z88">
            <v>0</v>
          </cell>
          <cell r="AA88">
            <v>0</v>
          </cell>
          <cell r="AB88">
            <v>58419720</v>
          </cell>
          <cell r="AC88">
            <v>45930000</v>
          </cell>
          <cell r="AD88">
            <v>11289720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K88">
            <v>1200000</v>
          </cell>
          <cell r="AL88">
            <v>58419720</v>
          </cell>
          <cell r="AM88">
            <v>88</v>
          </cell>
        </row>
        <row r="89">
          <cell r="A89" t="str">
            <v>박상흠</v>
          </cell>
          <cell r="B89">
            <v>9132454</v>
          </cell>
          <cell r="C89" t="str">
            <v>0002485</v>
          </cell>
          <cell r="D89" t="str">
            <v>기획/마케팅실</v>
          </cell>
          <cell r="E89" t="str">
            <v>FC지원</v>
          </cell>
          <cell r="F89" t="str">
            <v>교수역</v>
          </cell>
          <cell r="G89" t="str">
            <v>과장</v>
          </cell>
          <cell r="H89" t="str">
            <v>21</v>
          </cell>
          <cell r="I89" t="str">
            <v>01</v>
          </cell>
          <cell r="J89">
            <v>2101</v>
          </cell>
          <cell r="K89" t="str">
            <v>일반직</v>
          </cell>
          <cell r="L89" t="str">
            <v>G1</v>
          </cell>
          <cell r="M89" t="str">
            <v>B</v>
          </cell>
          <cell r="N89">
            <v>45810000</v>
          </cell>
          <cell r="O89">
            <v>1200000</v>
          </cell>
          <cell r="P89">
            <v>11733620</v>
          </cell>
          <cell r="Q89">
            <v>1</v>
          </cell>
          <cell r="R89">
            <v>45810000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1200000</v>
          </cell>
          <cell r="X89">
            <v>11733620</v>
          </cell>
          <cell r="Y89">
            <v>-586200</v>
          </cell>
          <cell r="Z89">
            <v>0</v>
          </cell>
          <cell r="AA89">
            <v>0</v>
          </cell>
          <cell r="AB89">
            <v>58157420</v>
          </cell>
          <cell r="AC89">
            <v>45810000</v>
          </cell>
          <cell r="AD89">
            <v>11147420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K89">
            <v>1200000</v>
          </cell>
          <cell r="AL89">
            <v>58157420</v>
          </cell>
          <cell r="AM89">
            <v>89</v>
          </cell>
        </row>
        <row r="90">
          <cell r="A90" t="str">
            <v>박화병</v>
          </cell>
          <cell r="B90">
            <v>9132896</v>
          </cell>
          <cell r="C90" t="str">
            <v>0002485</v>
          </cell>
          <cell r="D90" t="str">
            <v>기획/마케팅실</v>
          </cell>
          <cell r="E90" t="str">
            <v>FC지원</v>
          </cell>
          <cell r="F90" t="str">
            <v>교수역</v>
          </cell>
          <cell r="G90" t="str">
            <v>과장</v>
          </cell>
          <cell r="H90" t="str">
            <v>21</v>
          </cell>
          <cell r="I90" t="str">
            <v>01</v>
          </cell>
          <cell r="J90">
            <v>2101</v>
          </cell>
          <cell r="K90" t="str">
            <v>일반직</v>
          </cell>
          <cell r="L90" t="str">
            <v>G1</v>
          </cell>
          <cell r="M90" t="str">
            <v>B</v>
          </cell>
          <cell r="N90">
            <v>45810000</v>
          </cell>
          <cell r="O90">
            <v>1200000</v>
          </cell>
          <cell r="P90">
            <v>11591330</v>
          </cell>
          <cell r="Q90">
            <v>1</v>
          </cell>
          <cell r="R90">
            <v>45810000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1200000</v>
          </cell>
          <cell r="X90">
            <v>11591330</v>
          </cell>
          <cell r="Y90">
            <v>-586200</v>
          </cell>
          <cell r="Z90">
            <v>0</v>
          </cell>
          <cell r="AA90">
            <v>0</v>
          </cell>
          <cell r="AB90">
            <v>58015130</v>
          </cell>
          <cell r="AC90">
            <v>45810000</v>
          </cell>
          <cell r="AD90">
            <v>11005130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K90">
            <v>1200000</v>
          </cell>
          <cell r="AL90">
            <v>58015130</v>
          </cell>
          <cell r="AM90">
            <v>90</v>
          </cell>
        </row>
        <row r="91">
          <cell r="A91" t="str">
            <v>조연형</v>
          </cell>
          <cell r="B91">
            <v>9133329</v>
          </cell>
          <cell r="C91" t="str">
            <v>0002485</v>
          </cell>
          <cell r="D91" t="str">
            <v>기획/마케팅실</v>
          </cell>
          <cell r="E91" t="str">
            <v>FC지원</v>
          </cell>
          <cell r="F91" t="str">
            <v>교수역</v>
          </cell>
          <cell r="G91" t="str">
            <v>과장</v>
          </cell>
          <cell r="H91" t="str">
            <v>21</v>
          </cell>
          <cell r="I91" t="str">
            <v>01</v>
          </cell>
          <cell r="J91">
            <v>2101</v>
          </cell>
          <cell r="K91" t="str">
            <v>일반직</v>
          </cell>
          <cell r="L91" t="str">
            <v>G1</v>
          </cell>
          <cell r="M91" t="str">
            <v>B</v>
          </cell>
          <cell r="N91">
            <v>45810000</v>
          </cell>
          <cell r="O91">
            <v>1200000</v>
          </cell>
          <cell r="P91">
            <v>11449030</v>
          </cell>
          <cell r="Q91">
            <v>1</v>
          </cell>
          <cell r="R91">
            <v>45810000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1200000</v>
          </cell>
          <cell r="X91">
            <v>11449030</v>
          </cell>
          <cell r="Y91">
            <v>-586200</v>
          </cell>
          <cell r="Z91">
            <v>0</v>
          </cell>
          <cell r="AA91">
            <v>0</v>
          </cell>
          <cell r="AB91">
            <v>57872830</v>
          </cell>
          <cell r="AC91">
            <v>45810000</v>
          </cell>
          <cell r="AD91">
            <v>10862830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K91">
            <v>1200000</v>
          </cell>
          <cell r="AL91">
            <v>57872830</v>
          </cell>
          <cell r="AM91">
            <v>91</v>
          </cell>
        </row>
        <row r="92">
          <cell r="A92" t="str">
            <v>박현배</v>
          </cell>
          <cell r="B92">
            <v>9134813</v>
          </cell>
          <cell r="C92" t="str">
            <v>0002485</v>
          </cell>
          <cell r="D92" t="str">
            <v>기획/마케팅실</v>
          </cell>
          <cell r="E92" t="str">
            <v>FC지원</v>
          </cell>
          <cell r="F92" t="str">
            <v>교수역</v>
          </cell>
          <cell r="G92" t="str">
            <v>과장</v>
          </cell>
          <cell r="H92" t="str">
            <v>21</v>
          </cell>
          <cell r="I92" t="str">
            <v>01</v>
          </cell>
          <cell r="J92">
            <v>2101</v>
          </cell>
          <cell r="K92" t="str">
            <v>일반직</v>
          </cell>
          <cell r="L92" t="str">
            <v>G1</v>
          </cell>
          <cell r="M92" t="str">
            <v>B</v>
          </cell>
          <cell r="N92">
            <v>45690000</v>
          </cell>
          <cell r="O92">
            <v>1200000</v>
          </cell>
          <cell r="P92">
            <v>10879850</v>
          </cell>
          <cell r="Q92">
            <v>1</v>
          </cell>
          <cell r="R92">
            <v>45690000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1200000</v>
          </cell>
          <cell r="X92">
            <v>10879850</v>
          </cell>
          <cell r="Y92">
            <v>-586200</v>
          </cell>
          <cell r="Z92">
            <v>0</v>
          </cell>
          <cell r="AA92">
            <v>0</v>
          </cell>
          <cell r="AB92">
            <v>57183650</v>
          </cell>
          <cell r="AC92">
            <v>45690000</v>
          </cell>
          <cell r="AD92">
            <v>10293650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K92">
            <v>1200000</v>
          </cell>
          <cell r="AL92">
            <v>57183650</v>
          </cell>
          <cell r="AM92">
            <v>92</v>
          </cell>
        </row>
        <row r="93">
          <cell r="A93" t="str">
            <v>전성우</v>
          </cell>
          <cell r="B93">
            <v>9134830</v>
          </cell>
          <cell r="C93" t="str">
            <v>0002485</v>
          </cell>
          <cell r="D93" t="str">
            <v>기획/마케팅실</v>
          </cell>
          <cell r="E93" t="str">
            <v>FC지원</v>
          </cell>
          <cell r="F93" t="str">
            <v>교수역</v>
          </cell>
          <cell r="G93" t="str">
            <v>과장</v>
          </cell>
          <cell r="H93" t="str">
            <v>21</v>
          </cell>
          <cell r="I93" t="str">
            <v>01</v>
          </cell>
          <cell r="J93">
            <v>2101</v>
          </cell>
          <cell r="K93" t="str">
            <v>일반직</v>
          </cell>
          <cell r="L93" t="str">
            <v>G1</v>
          </cell>
          <cell r="M93" t="str">
            <v>B</v>
          </cell>
          <cell r="N93">
            <v>45690000</v>
          </cell>
          <cell r="O93">
            <v>1200000</v>
          </cell>
          <cell r="P93">
            <v>10879850</v>
          </cell>
          <cell r="Q93">
            <v>1</v>
          </cell>
          <cell r="R93">
            <v>45690000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1200000</v>
          </cell>
          <cell r="X93">
            <v>10879850</v>
          </cell>
          <cell r="Y93">
            <v>-586200</v>
          </cell>
          <cell r="Z93">
            <v>0</v>
          </cell>
          <cell r="AA93">
            <v>0</v>
          </cell>
          <cell r="AB93">
            <v>57183650</v>
          </cell>
          <cell r="AC93">
            <v>45690000</v>
          </cell>
          <cell r="AD93">
            <v>10293650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K93">
            <v>1200000</v>
          </cell>
          <cell r="AL93">
            <v>57183650</v>
          </cell>
          <cell r="AM93">
            <v>93</v>
          </cell>
        </row>
        <row r="94">
          <cell r="A94" t="str">
            <v>안근종</v>
          </cell>
          <cell r="B94">
            <v>9132900</v>
          </cell>
          <cell r="C94" t="str">
            <v>0002485</v>
          </cell>
          <cell r="D94" t="str">
            <v>기획/마케팅실</v>
          </cell>
          <cell r="E94" t="str">
            <v>FC지원</v>
          </cell>
          <cell r="F94" t="str">
            <v>개인영업지원</v>
          </cell>
          <cell r="G94" t="str">
            <v>차장</v>
          </cell>
          <cell r="H94" t="str">
            <v>21</v>
          </cell>
          <cell r="I94" t="str">
            <v>01</v>
          </cell>
          <cell r="J94">
            <v>2101</v>
          </cell>
          <cell r="K94" t="str">
            <v>일반직</v>
          </cell>
          <cell r="L94" t="str">
            <v>G1</v>
          </cell>
          <cell r="M94" t="str">
            <v>C</v>
          </cell>
          <cell r="N94">
            <v>45810000</v>
          </cell>
          <cell r="O94">
            <v>1200000</v>
          </cell>
          <cell r="P94">
            <v>11591330</v>
          </cell>
          <cell r="Q94">
            <v>0.5</v>
          </cell>
          <cell r="R94">
            <v>45810000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1200000</v>
          </cell>
          <cell r="X94">
            <v>5795670</v>
          </cell>
          <cell r="Y94">
            <v>-586200</v>
          </cell>
          <cell r="Z94">
            <v>0</v>
          </cell>
          <cell r="AA94">
            <v>2200000</v>
          </cell>
          <cell r="AB94">
            <v>54419470</v>
          </cell>
          <cell r="AC94">
            <v>45810000</v>
          </cell>
          <cell r="AD94">
            <v>7409470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K94">
            <v>1200000</v>
          </cell>
          <cell r="AL94">
            <v>54419470</v>
          </cell>
          <cell r="AM94">
            <v>94</v>
          </cell>
        </row>
        <row r="95">
          <cell r="A95" t="str">
            <v>이범준</v>
          </cell>
          <cell r="B95">
            <v>9132918</v>
          </cell>
          <cell r="C95" t="str">
            <v>0002485</v>
          </cell>
          <cell r="D95" t="str">
            <v>기획/마케팅실</v>
          </cell>
          <cell r="E95" t="str">
            <v>FC지원</v>
          </cell>
          <cell r="F95" t="str">
            <v>교수역</v>
          </cell>
          <cell r="G95" t="str">
            <v>과장</v>
          </cell>
          <cell r="H95" t="str">
            <v>21</v>
          </cell>
          <cell r="I95" t="str">
            <v>01</v>
          </cell>
          <cell r="J95">
            <v>2101</v>
          </cell>
          <cell r="K95" t="str">
            <v>일반직</v>
          </cell>
          <cell r="L95" t="str">
            <v>G1</v>
          </cell>
          <cell r="M95" t="str">
            <v>C</v>
          </cell>
          <cell r="N95">
            <v>45810000</v>
          </cell>
          <cell r="O95">
            <v>1200000</v>
          </cell>
          <cell r="P95">
            <v>11591330</v>
          </cell>
          <cell r="Q95">
            <v>0.5</v>
          </cell>
          <cell r="R95">
            <v>45810000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1200000</v>
          </cell>
          <cell r="X95">
            <v>5795670</v>
          </cell>
          <cell r="Y95">
            <v>-586200</v>
          </cell>
          <cell r="Z95">
            <v>0</v>
          </cell>
          <cell r="AA95">
            <v>0</v>
          </cell>
          <cell r="AB95">
            <v>52219470</v>
          </cell>
          <cell r="AC95">
            <v>45810000</v>
          </cell>
          <cell r="AD95">
            <v>5209470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K95">
            <v>1200000</v>
          </cell>
          <cell r="AL95">
            <v>52219470</v>
          </cell>
          <cell r="AM95">
            <v>95</v>
          </cell>
        </row>
        <row r="96">
          <cell r="A96" t="str">
            <v>송창환</v>
          </cell>
          <cell r="B96">
            <v>9132063</v>
          </cell>
          <cell r="C96" t="str">
            <v>0002485</v>
          </cell>
          <cell r="D96" t="str">
            <v>기획/마케팅실</v>
          </cell>
          <cell r="E96" t="str">
            <v>FC지원</v>
          </cell>
          <cell r="F96" t="str">
            <v>교수역</v>
          </cell>
          <cell r="G96" t="str">
            <v>차장</v>
          </cell>
          <cell r="H96" t="str">
            <v>12</v>
          </cell>
          <cell r="I96" t="str">
            <v>01</v>
          </cell>
          <cell r="J96">
            <v>1201</v>
          </cell>
          <cell r="K96" t="str">
            <v>일반직</v>
          </cell>
          <cell r="L96" t="str">
            <v>G1</v>
          </cell>
          <cell r="M96" t="str">
            <v>B</v>
          </cell>
          <cell r="N96">
            <v>52057500</v>
          </cell>
          <cell r="O96">
            <v>1200000</v>
          </cell>
          <cell r="P96">
            <v>13349850</v>
          </cell>
          <cell r="Q96">
            <v>1</v>
          </cell>
          <cell r="R96">
            <v>52057500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1200000</v>
          </cell>
          <cell r="X96">
            <v>13349850</v>
          </cell>
          <cell r="Y96">
            <v>-586200</v>
          </cell>
          <cell r="Z96">
            <v>0</v>
          </cell>
          <cell r="AA96">
            <v>0</v>
          </cell>
          <cell r="AB96">
            <v>66021150</v>
          </cell>
          <cell r="AC96">
            <v>52057500</v>
          </cell>
          <cell r="AD96">
            <v>12763650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K96">
            <v>1200000</v>
          </cell>
          <cell r="AL96">
            <v>66021150</v>
          </cell>
          <cell r="AM96">
            <v>96</v>
          </cell>
        </row>
        <row r="97">
          <cell r="A97" t="str">
            <v>박종연</v>
          </cell>
          <cell r="B97">
            <v>9135054</v>
          </cell>
          <cell r="C97" t="str">
            <v>0002486</v>
          </cell>
          <cell r="D97" t="str">
            <v>기획/마케팅실</v>
          </cell>
          <cell r="E97" t="str">
            <v>영업기획</v>
          </cell>
          <cell r="F97" t="str">
            <v>영업기획</v>
          </cell>
          <cell r="G97" t="str">
            <v>주임</v>
          </cell>
          <cell r="H97" t="str">
            <v>41</v>
          </cell>
          <cell r="I97" t="str">
            <v>09</v>
          </cell>
          <cell r="J97">
            <v>4109</v>
          </cell>
          <cell r="K97" t="str">
            <v>일반직</v>
          </cell>
          <cell r="L97" t="str">
            <v>G2</v>
          </cell>
          <cell r="M97" t="str">
            <v>B</v>
          </cell>
          <cell r="N97">
            <v>27721500</v>
          </cell>
          <cell r="O97">
            <v>1200000</v>
          </cell>
          <cell r="P97">
            <v>6069480</v>
          </cell>
          <cell r="Q97">
            <v>1</v>
          </cell>
          <cell r="R97">
            <v>27721500</v>
          </cell>
          <cell r="S97">
            <v>5000000</v>
          </cell>
          <cell r="T97">
            <v>0</v>
          </cell>
          <cell r="U97">
            <v>0</v>
          </cell>
          <cell r="V97">
            <v>0</v>
          </cell>
          <cell r="W97">
            <v>1200000</v>
          </cell>
          <cell r="X97">
            <v>6069480</v>
          </cell>
          <cell r="Y97">
            <v>0</v>
          </cell>
          <cell r="Z97">
            <v>0</v>
          </cell>
          <cell r="AA97">
            <v>0</v>
          </cell>
          <cell r="AB97">
            <v>39990980</v>
          </cell>
          <cell r="AC97">
            <v>27721500</v>
          </cell>
          <cell r="AD97">
            <v>6069480</v>
          </cell>
          <cell r="AE97">
            <v>5000000</v>
          </cell>
          <cell r="AF97">
            <v>0</v>
          </cell>
          <cell r="AG97">
            <v>0</v>
          </cell>
          <cell r="AH97">
            <v>0</v>
          </cell>
          <cell r="AK97">
            <v>1200000</v>
          </cell>
          <cell r="AL97">
            <v>39990980</v>
          </cell>
          <cell r="AM97">
            <v>97</v>
          </cell>
        </row>
        <row r="98">
          <cell r="A98" t="str">
            <v>이영하</v>
          </cell>
          <cell r="B98">
            <v>9135160</v>
          </cell>
          <cell r="C98" t="str">
            <v>0002486</v>
          </cell>
          <cell r="D98" t="str">
            <v>기획/마케팅실</v>
          </cell>
          <cell r="E98" t="str">
            <v>영업기획</v>
          </cell>
          <cell r="F98" t="str">
            <v>설계사업적</v>
          </cell>
          <cell r="G98" t="str">
            <v>사원</v>
          </cell>
          <cell r="H98" t="str">
            <v>41</v>
          </cell>
          <cell r="I98" t="str">
            <v>09</v>
          </cell>
          <cell r="J98">
            <v>4109</v>
          </cell>
          <cell r="K98" t="str">
            <v>일반직</v>
          </cell>
          <cell r="L98" t="str">
            <v>G2</v>
          </cell>
          <cell r="M98" t="str">
            <v>B</v>
          </cell>
          <cell r="N98">
            <v>27721500</v>
          </cell>
          <cell r="O98">
            <v>1200000</v>
          </cell>
          <cell r="P98">
            <v>6069480</v>
          </cell>
          <cell r="Q98">
            <v>1</v>
          </cell>
          <cell r="R98">
            <v>27721500</v>
          </cell>
          <cell r="S98">
            <v>5000000</v>
          </cell>
          <cell r="T98">
            <v>0</v>
          </cell>
          <cell r="U98">
            <v>0</v>
          </cell>
          <cell r="V98">
            <v>0</v>
          </cell>
          <cell r="W98">
            <v>1200000</v>
          </cell>
          <cell r="X98">
            <v>6069480</v>
          </cell>
          <cell r="Y98">
            <v>0</v>
          </cell>
          <cell r="Z98">
            <v>0</v>
          </cell>
          <cell r="AA98">
            <v>0</v>
          </cell>
          <cell r="AB98">
            <v>39990980</v>
          </cell>
          <cell r="AC98">
            <v>27721500</v>
          </cell>
          <cell r="AD98">
            <v>6069480</v>
          </cell>
          <cell r="AE98">
            <v>5000000</v>
          </cell>
          <cell r="AF98">
            <v>0</v>
          </cell>
          <cell r="AG98">
            <v>0</v>
          </cell>
          <cell r="AH98">
            <v>0</v>
          </cell>
          <cell r="AK98">
            <v>1200000</v>
          </cell>
          <cell r="AL98">
            <v>39990980</v>
          </cell>
          <cell r="AM98">
            <v>98</v>
          </cell>
        </row>
        <row r="99">
          <cell r="A99" t="str">
            <v>이상선</v>
          </cell>
          <cell r="B99">
            <v>9133205</v>
          </cell>
          <cell r="C99" t="str">
            <v>0002486</v>
          </cell>
          <cell r="D99" t="str">
            <v>기획/마케팅실</v>
          </cell>
          <cell r="E99" t="str">
            <v>영업기획</v>
          </cell>
          <cell r="F99" t="str">
            <v>설계사업적</v>
          </cell>
          <cell r="G99" t="str">
            <v>과장</v>
          </cell>
          <cell r="H99" t="str">
            <v>22</v>
          </cell>
          <cell r="I99" t="str">
            <v>05</v>
          </cell>
          <cell r="J99">
            <v>2205</v>
          </cell>
          <cell r="K99" t="str">
            <v>일반직</v>
          </cell>
          <cell r="L99" t="str">
            <v>G1</v>
          </cell>
          <cell r="M99" t="str">
            <v>B</v>
          </cell>
          <cell r="N99">
            <v>39795000</v>
          </cell>
          <cell r="O99">
            <v>1200000</v>
          </cell>
          <cell r="P99">
            <v>9292470</v>
          </cell>
          <cell r="Q99">
            <v>1</v>
          </cell>
          <cell r="R99">
            <v>39795000</v>
          </cell>
          <cell r="S99">
            <v>5000000</v>
          </cell>
          <cell r="T99">
            <v>0</v>
          </cell>
          <cell r="U99">
            <v>0</v>
          </cell>
          <cell r="V99">
            <v>0</v>
          </cell>
          <cell r="W99">
            <v>1200000</v>
          </cell>
          <cell r="X99">
            <v>9292470</v>
          </cell>
          <cell r="Y99">
            <v>-586200</v>
          </cell>
          <cell r="Z99">
            <v>0</v>
          </cell>
          <cell r="AA99">
            <v>0</v>
          </cell>
          <cell r="AB99">
            <v>54701270</v>
          </cell>
          <cell r="AC99">
            <v>39795000</v>
          </cell>
          <cell r="AD99">
            <v>8706270</v>
          </cell>
          <cell r="AE99">
            <v>5000000</v>
          </cell>
          <cell r="AF99">
            <v>0</v>
          </cell>
          <cell r="AG99">
            <v>0</v>
          </cell>
          <cell r="AH99">
            <v>0</v>
          </cell>
          <cell r="AK99">
            <v>1200000</v>
          </cell>
          <cell r="AL99">
            <v>54701270</v>
          </cell>
          <cell r="AM99">
            <v>99</v>
          </cell>
        </row>
        <row r="100">
          <cell r="A100" t="str">
            <v>이창규</v>
          </cell>
          <cell r="B100">
            <v>9133833</v>
          </cell>
          <cell r="C100" t="str">
            <v>0002486</v>
          </cell>
          <cell r="D100" t="str">
            <v>기획/마케팅실</v>
          </cell>
          <cell r="E100" t="str">
            <v>영업기획</v>
          </cell>
          <cell r="F100" t="str">
            <v>영업기획</v>
          </cell>
          <cell r="G100" t="str">
            <v>과장</v>
          </cell>
          <cell r="H100" t="str">
            <v>22</v>
          </cell>
          <cell r="I100" t="str">
            <v>05</v>
          </cell>
          <cell r="J100">
            <v>2205</v>
          </cell>
          <cell r="K100" t="str">
            <v>일반직</v>
          </cell>
          <cell r="L100" t="str">
            <v>G2</v>
          </cell>
          <cell r="M100" t="str">
            <v>D</v>
          </cell>
          <cell r="N100">
            <v>39795000</v>
          </cell>
          <cell r="O100">
            <v>1200000</v>
          </cell>
          <cell r="P100">
            <v>9168200</v>
          </cell>
          <cell r="Q100">
            <v>0</v>
          </cell>
          <cell r="R100">
            <v>39795000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1200000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40995000</v>
          </cell>
          <cell r="AC100">
            <v>39795000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K100">
            <v>1200000</v>
          </cell>
          <cell r="AL100">
            <v>40995000</v>
          </cell>
          <cell r="AM100">
            <v>100</v>
          </cell>
        </row>
        <row r="101">
          <cell r="A101" t="str">
            <v>주재훈</v>
          </cell>
          <cell r="B101">
            <v>9134422</v>
          </cell>
          <cell r="C101" t="str">
            <v>0002486</v>
          </cell>
          <cell r="D101" t="str">
            <v>기획/마케팅실</v>
          </cell>
          <cell r="E101" t="str">
            <v>영업기획</v>
          </cell>
          <cell r="F101" t="str">
            <v>설계사업적</v>
          </cell>
          <cell r="G101" t="str">
            <v>대리</v>
          </cell>
          <cell r="H101" t="str">
            <v>22</v>
          </cell>
          <cell r="I101" t="str">
            <v>03</v>
          </cell>
          <cell r="J101">
            <v>2203</v>
          </cell>
          <cell r="K101" t="str">
            <v>일반직</v>
          </cell>
          <cell r="L101" t="str">
            <v>G2</v>
          </cell>
          <cell r="M101" t="str">
            <v>A</v>
          </cell>
          <cell r="N101">
            <v>39213000</v>
          </cell>
          <cell r="O101">
            <v>1200000</v>
          </cell>
          <cell r="P101">
            <v>8934300</v>
          </cell>
          <cell r="Q101">
            <v>1.5</v>
          </cell>
          <cell r="R101">
            <v>39213000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1200000</v>
          </cell>
          <cell r="X101">
            <v>13401450</v>
          </cell>
          <cell r="Y101">
            <v>0</v>
          </cell>
          <cell r="Z101">
            <v>440490</v>
          </cell>
          <cell r="AA101">
            <v>0</v>
          </cell>
          <cell r="AB101">
            <v>54254940</v>
          </cell>
          <cell r="AC101">
            <v>39213000</v>
          </cell>
          <cell r="AD101">
            <v>13841940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K101">
            <v>1200000</v>
          </cell>
          <cell r="AL101">
            <v>54254940</v>
          </cell>
          <cell r="AM101">
            <v>101</v>
          </cell>
        </row>
        <row r="102">
          <cell r="A102" t="str">
            <v>서광식</v>
          </cell>
          <cell r="B102">
            <v>9133256</v>
          </cell>
          <cell r="C102" t="str">
            <v>0002486</v>
          </cell>
          <cell r="D102" t="str">
            <v>기획/마케팅실</v>
          </cell>
          <cell r="E102" t="str">
            <v>영업기획</v>
          </cell>
          <cell r="F102" t="str">
            <v>영업기획</v>
          </cell>
          <cell r="G102" t="str">
            <v>대리</v>
          </cell>
          <cell r="H102" t="str">
            <v>22</v>
          </cell>
          <cell r="I102" t="str">
            <v>03</v>
          </cell>
          <cell r="J102">
            <v>2203</v>
          </cell>
          <cell r="K102" t="str">
            <v>일반직</v>
          </cell>
          <cell r="L102" t="str">
            <v>G2</v>
          </cell>
          <cell r="M102" t="str">
            <v>A</v>
          </cell>
          <cell r="N102">
            <v>39333000</v>
          </cell>
          <cell r="O102">
            <v>1200000</v>
          </cell>
          <cell r="P102">
            <v>9179940</v>
          </cell>
          <cell r="Q102">
            <v>1.5</v>
          </cell>
          <cell r="R102">
            <v>39333000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1200000</v>
          </cell>
          <cell r="X102">
            <v>13769910</v>
          </cell>
          <cell r="Y102">
            <v>0</v>
          </cell>
          <cell r="Z102">
            <v>440490</v>
          </cell>
          <cell r="AA102">
            <v>-2200000</v>
          </cell>
          <cell r="AB102">
            <v>52543400</v>
          </cell>
          <cell r="AC102">
            <v>39333000</v>
          </cell>
          <cell r="AD102">
            <v>12010400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K102">
            <v>1200000</v>
          </cell>
          <cell r="AL102">
            <v>52543400</v>
          </cell>
          <cell r="AM102">
            <v>102</v>
          </cell>
        </row>
        <row r="103">
          <cell r="A103" t="str">
            <v>조학래</v>
          </cell>
          <cell r="B103">
            <v>9133183</v>
          </cell>
          <cell r="C103" t="str">
            <v>0002486</v>
          </cell>
          <cell r="D103" t="str">
            <v>기획/마케팅실</v>
          </cell>
          <cell r="E103" t="str">
            <v>영업기획</v>
          </cell>
          <cell r="F103" t="str">
            <v>설계사인사</v>
          </cell>
          <cell r="G103" t="str">
            <v>과장</v>
          </cell>
          <cell r="H103" t="str">
            <v>21</v>
          </cell>
          <cell r="I103" t="str">
            <v>01</v>
          </cell>
          <cell r="J103">
            <v>2101</v>
          </cell>
          <cell r="K103" t="str">
            <v>일반직</v>
          </cell>
          <cell r="L103" t="str">
            <v>G1</v>
          </cell>
          <cell r="M103" t="str">
            <v>B</v>
          </cell>
          <cell r="N103">
            <v>45810000</v>
          </cell>
          <cell r="O103">
            <v>1200000</v>
          </cell>
          <cell r="P103">
            <v>11449030</v>
          </cell>
          <cell r="Q103">
            <v>1</v>
          </cell>
          <cell r="R103">
            <v>45810000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1200000</v>
          </cell>
          <cell r="X103">
            <v>11449030</v>
          </cell>
          <cell r="Y103">
            <v>-586200</v>
          </cell>
          <cell r="Z103">
            <v>0</v>
          </cell>
          <cell r="AA103">
            <v>0</v>
          </cell>
          <cell r="AB103">
            <v>57872830</v>
          </cell>
          <cell r="AC103">
            <v>45810000</v>
          </cell>
          <cell r="AD103">
            <v>10862830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K103">
            <v>1200000</v>
          </cell>
          <cell r="AL103">
            <v>57872830</v>
          </cell>
          <cell r="AM103">
            <v>103</v>
          </cell>
        </row>
        <row r="104">
          <cell r="A104" t="str">
            <v>류성식</v>
          </cell>
          <cell r="B104">
            <v>9132381</v>
          </cell>
          <cell r="C104" t="str">
            <v>0002486</v>
          </cell>
          <cell r="D104" t="str">
            <v>기획/마케팅실</v>
          </cell>
          <cell r="E104" t="str">
            <v>영업기획</v>
          </cell>
          <cell r="F104" t="str">
            <v>팀장</v>
          </cell>
          <cell r="G104" t="str">
            <v>팀장</v>
          </cell>
          <cell r="H104" t="str">
            <v>12</v>
          </cell>
          <cell r="I104" t="str">
            <v>01</v>
          </cell>
          <cell r="J104">
            <v>1201</v>
          </cell>
          <cell r="K104" t="str">
            <v>일반직</v>
          </cell>
          <cell r="L104" t="str">
            <v>G1</v>
          </cell>
          <cell r="M104" t="str">
            <v>B</v>
          </cell>
          <cell r="N104">
            <v>51577500</v>
          </cell>
          <cell r="O104">
            <v>1200000</v>
          </cell>
          <cell r="P104">
            <v>13189360</v>
          </cell>
          <cell r="Q104">
            <v>1</v>
          </cell>
          <cell r="R104">
            <v>51577500</v>
          </cell>
          <cell r="S104">
            <v>0</v>
          </cell>
          <cell r="T104">
            <v>5000000</v>
          </cell>
          <cell r="U104">
            <v>0</v>
          </cell>
          <cell r="V104">
            <v>0</v>
          </cell>
          <cell r="W104">
            <v>1200000</v>
          </cell>
          <cell r="X104">
            <v>13189360</v>
          </cell>
          <cell r="Y104">
            <v>0</v>
          </cell>
          <cell r="Z104">
            <v>0</v>
          </cell>
          <cell r="AA104">
            <v>0</v>
          </cell>
          <cell r="AB104">
            <v>70966860</v>
          </cell>
          <cell r="AC104">
            <v>51577500</v>
          </cell>
          <cell r="AD104">
            <v>13189360</v>
          </cell>
          <cell r="AE104">
            <v>0</v>
          </cell>
          <cell r="AF104">
            <v>5000000</v>
          </cell>
          <cell r="AG104">
            <v>5000000</v>
          </cell>
          <cell r="AH104">
            <v>0</v>
          </cell>
          <cell r="AK104">
            <v>1200000</v>
          </cell>
          <cell r="AL104">
            <v>70966860</v>
          </cell>
          <cell r="AM104">
            <v>104</v>
          </cell>
        </row>
        <row r="105">
          <cell r="A105" t="str">
            <v>정은주</v>
          </cell>
          <cell r="B105">
            <v>9135097</v>
          </cell>
          <cell r="C105" t="str">
            <v>0002489</v>
          </cell>
          <cell r="D105" t="str">
            <v>기획/마케팅실</v>
          </cell>
          <cell r="E105" t="str">
            <v>CRM</v>
          </cell>
          <cell r="F105" t="str">
            <v>캠페인관리</v>
          </cell>
          <cell r="G105" t="str">
            <v>주임</v>
          </cell>
          <cell r="H105" t="str">
            <v>41</v>
          </cell>
          <cell r="I105" t="str">
            <v>09</v>
          </cell>
          <cell r="J105">
            <v>4109</v>
          </cell>
          <cell r="K105" t="str">
            <v>일반직</v>
          </cell>
          <cell r="L105" t="str">
            <v>G2</v>
          </cell>
          <cell r="M105" t="str">
            <v>B</v>
          </cell>
          <cell r="N105">
            <v>27721500</v>
          </cell>
          <cell r="O105">
            <v>1200000</v>
          </cell>
          <cell r="P105">
            <v>6778470</v>
          </cell>
          <cell r="Q105">
            <v>1</v>
          </cell>
          <cell r="R105">
            <v>27721500</v>
          </cell>
          <cell r="S105">
            <v>5000000</v>
          </cell>
          <cell r="T105">
            <v>0</v>
          </cell>
          <cell r="U105">
            <v>0</v>
          </cell>
          <cell r="V105">
            <v>0</v>
          </cell>
          <cell r="W105">
            <v>1200000</v>
          </cell>
          <cell r="X105">
            <v>6778470</v>
          </cell>
          <cell r="Y105">
            <v>0</v>
          </cell>
          <cell r="Z105">
            <v>0</v>
          </cell>
          <cell r="AA105">
            <v>0</v>
          </cell>
          <cell r="AB105">
            <v>40699970</v>
          </cell>
          <cell r="AC105">
            <v>27721500</v>
          </cell>
          <cell r="AD105">
            <v>6778470</v>
          </cell>
          <cell r="AE105">
            <v>5000000</v>
          </cell>
          <cell r="AF105">
            <v>0</v>
          </cell>
          <cell r="AG105">
            <v>0</v>
          </cell>
          <cell r="AH105">
            <v>0</v>
          </cell>
          <cell r="AK105">
            <v>1200000</v>
          </cell>
          <cell r="AL105">
            <v>40699970</v>
          </cell>
          <cell r="AM105">
            <v>105</v>
          </cell>
        </row>
        <row r="106">
          <cell r="A106" t="str">
            <v>정옥민</v>
          </cell>
          <cell r="B106">
            <v>9134988</v>
          </cell>
          <cell r="C106" t="str">
            <v>0002489</v>
          </cell>
          <cell r="D106" t="str">
            <v>기획/마케팅실</v>
          </cell>
          <cell r="E106" t="str">
            <v>CRM</v>
          </cell>
          <cell r="F106" t="str">
            <v>고객분석</v>
          </cell>
          <cell r="G106" t="str">
            <v>주임</v>
          </cell>
          <cell r="H106" t="str">
            <v>31</v>
          </cell>
          <cell r="I106" t="str">
            <v>02</v>
          </cell>
          <cell r="J106">
            <v>3102</v>
          </cell>
          <cell r="K106" t="str">
            <v>일반직</v>
          </cell>
          <cell r="L106" t="str">
            <v>G2</v>
          </cell>
          <cell r="M106" t="str">
            <v>B</v>
          </cell>
          <cell r="N106">
            <v>33883500</v>
          </cell>
          <cell r="O106">
            <v>1200000</v>
          </cell>
          <cell r="P106">
            <v>7419380</v>
          </cell>
          <cell r="Q106">
            <v>1</v>
          </cell>
          <cell r="R106">
            <v>33883500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1200000</v>
          </cell>
          <cell r="X106">
            <v>7419380</v>
          </cell>
          <cell r="Y106">
            <v>0</v>
          </cell>
          <cell r="Z106">
            <v>0</v>
          </cell>
          <cell r="AA106">
            <v>0</v>
          </cell>
          <cell r="AB106">
            <v>42502880</v>
          </cell>
          <cell r="AC106">
            <v>33883500</v>
          </cell>
          <cell r="AD106">
            <v>7419380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K106">
            <v>1200000</v>
          </cell>
          <cell r="AL106">
            <v>42502880</v>
          </cell>
          <cell r="AM106">
            <v>106</v>
          </cell>
        </row>
        <row r="107">
          <cell r="A107" t="str">
            <v>한우정</v>
          </cell>
          <cell r="B107">
            <v>9133523</v>
          </cell>
          <cell r="C107" t="str">
            <v>0002489</v>
          </cell>
          <cell r="D107" t="str">
            <v>기획/마케팅실</v>
          </cell>
          <cell r="E107" t="str">
            <v>CRM</v>
          </cell>
          <cell r="F107" t="str">
            <v>홈페이지관리</v>
          </cell>
          <cell r="G107" t="str">
            <v>과장</v>
          </cell>
          <cell r="H107" t="str">
            <v>21</v>
          </cell>
          <cell r="I107" t="str">
            <v>01</v>
          </cell>
          <cell r="J107">
            <v>2101</v>
          </cell>
          <cell r="K107" t="str">
            <v>일반직</v>
          </cell>
          <cell r="L107" t="str">
            <v>G1</v>
          </cell>
          <cell r="M107" t="str">
            <v>C</v>
          </cell>
          <cell r="N107">
            <v>45810000</v>
          </cell>
          <cell r="O107">
            <v>1200000</v>
          </cell>
          <cell r="P107">
            <v>11306740</v>
          </cell>
          <cell r="Q107">
            <v>0.5</v>
          </cell>
          <cell r="R107">
            <v>45810000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1200000</v>
          </cell>
          <cell r="X107">
            <v>5653370</v>
          </cell>
          <cell r="Y107">
            <v>-586200</v>
          </cell>
          <cell r="Z107">
            <v>0</v>
          </cell>
          <cell r="AA107">
            <v>0</v>
          </cell>
          <cell r="AB107">
            <v>52077170</v>
          </cell>
          <cell r="AC107">
            <v>45810000</v>
          </cell>
          <cell r="AD107">
            <v>5067170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K107">
            <v>1200000</v>
          </cell>
          <cell r="AL107">
            <v>52077170</v>
          </cell>
          <cell r="AM107">
            <v>107</v>
          </cell>
        </row>
        <row r="108">
          <cell r="A108" t="str">
            <v>박천호</v>
          </cell>
          <cell r="B108">
            <v>9135100</v>
          </cell>
          <cell r="C108" t="str">
            <v>0002511</v>
          </cell>
          <cell r="D108" t="str">
            <v>경영지원실</v>
          </cell>
          <cell r="E108" t="str">
            <v>인사</v>
          </cell>
          <cell r="F108" t="str">
            <v>인적자원</v>
          </cell>
          <cell r="G108" t="str">
            <v>사원</v>
          </cell>
          <cell r="H108" t="str">
            <v>41</v>
          </cell>
          <cell r="I108" t="str">
            <v>09</v>
          </cell>
          <cell r="J108">
            <v>4109</v>
          </cell>
          <cell r="K108" t="str">
            <v>일반직</v>
          </cell>
          <cell r="L108" t="str">
            <v>G2</v>
          </cell>
          <cell r="M108" t="str">
            <v>A</v>
          </cell>
          <cell r="N108">
            <v>27721500</v>
          </cell>
          <cell r="O108">
            <v>1200000</v>
          </cell>
          <cell r="P108">
            <v>6069480</v>
          </cell>
          <cell r="Q108">
            <v>1.5</v>
          </cell>
          <cell r="R108">
            <v>27721500</v>
          </cell>
          <cell r="S108">
            <v>5000000</v>
          </cell>
          <cell r="T108">
            <v>0</v>
          </cell>
          <cell r="U108">
            <v>0</v>
          </cell>
          <cell r="V108">
            <v>0</v>
          </cell>
          <cell r="W108">
            <v>1200000</v>
          </cell>
          <cell r="X108">
            <v>9104220</v>
          </cell>
          <cell r="Y108">
            <v>0</v>
          </cell>
          <cell r="Z108">
            <v>440490</v>
          </cell>
          <cell r="AA108">
            <v>-1000000</v>
          </cell>
          <cell r="AB108">
            <v>42466210</v>
          </cell>
          <cell r="AC108">
            <v>27721500</v>
          </cell>
          <cell r="AD108">
            <v>8544710</v>
          </cell>
          <cell r="AE108">
            <v>5000000</v>
          </cell>
          <cell r="AF108">
            <v>0</v>
          </cell>
          <cell r="AG108">
            <v>0</v>
          </cell>
          <cell r="AH108">
            <v>0</v>
          </cell>
          <cell r="AK108">
            <v>1200000</v>
          </cell>
          <cell r="AL108">
            <v>42466210</v>
          </cell>
          <cell r="AM108">
            <v>108</v>
          </cell>
        </row>
        <row r="109">
          <cell r="A109" t="str">
            <v>김효은</v>
          </cell>
          <cell r="B109">
            <v>9134678</v>
          </cell>
          <cell r="C109" t="str">
            <v>0002511</v>
          </cell>
          <cell r="D109" t="str">
            <v>경영지원실</v>
          </cell>
          <cell r="E109" t="str">
            <v>인사</v>
          </cell>
          <cell r="F109" t="str">
            <v>급여</v>
          </cell>
          <cell r="G109" t="str">
            <v>사원</v>
          </cell>
          <cell r="H109" t="str">
            <v>41</v>
          </cell>
          <cell r="I109" t="str">
            <v>09</v>
          </cell>
          <cell r="J109">
            <v>4109</v>
          </cell>
          <cell r="K109" t="str">
            <v>사무직</v>
          </cell>
          <cell r="L109" t="str">
            <v>G3</v>
          </cell>
          <cell r="M109" t="str">
            <v>B</v>
          </cell>
          <cell r="N109">
            <v>29911220</v>
          </cell>
          <cell r="O109">
            <v>1200000</v>
          </cell>
          <cell r="P109">
            <v>5006000</v>
          </cell>
          <cell r="Q109">
            <v>1</v>
          </cell>
          <cell r="R109">
            <v>29911220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1200000</v>
          </cell>
          <cell r="X109">
            <v>5006000</v>
          </cell>
          <cell r="Y109">
            <v>0</v>
          </cell>
          <cell r="Z109">
            <v>0</v>
          </cell>
          <cell r="AA109">
            <v>0</v>
          </cell>
          <cell r="AB109">
            <v>36117220</v>
          </cell>
          <cell r="AC109">
            <v>29911220</v>
          </cell>
          <cell r="AD109">
            <v>5006000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K109">
            <v>1200000</v>
          </cell>
          <cell r="AL109">
            <v>36117220</v>
          </cell>
          <cell r="AM109">
            <v>109</v>
          </cell>
        </row>
        <row r="110">
          <cell r="A110" t="str">
            <v>문홍준</v>
          </cell>
          <cell r="B110">
            <v>9134597</v>
          </cell>
          <cell r="C110" t="str">
            <v>0002511</v>
          </cell>
          <cell r="D110" t="str">
            <v>경영지원실</v>
          </cell>
          <cell r="E110" t="str">
            <v>인사</v>
          </cell>
          <cell r="F110" t="str">
            <v>총무구매</v>
          </cell>
          <cell r="G110" t="str">
            <v>대리</v>
          </cell>
          <cell r="H110" t="str">
            <v>22</v>
          </cell>
          <cell r="I110" t="str">
            <v>03</v>
          </cell>
          <cell r="J110">
            <v>2203</v>
          </cell>
          <cell r="K110" t="str">
            <v>일반직</v>
          </cell>
          <cell r="L110" t="str">
            <v>G2</v>
          </cell>
          <cell r="M110" t="str">
            <v>B</v>
          </cell>
          <cell r="N110">
            <v>39213000</v>
          </cell>
          <cell r="O110">
            <v>1200000</v>
          </cell>
          <cell r="P110">
            <v>8811480</v>
          </cell>
          <cell r="Q110">
            <v>1</v>
          </cell>
          <cell r="R110">
            <v>39213000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1200000</v>
          </cell>
          <cell r="X110">
            <v>8811480</v>
          </cell>
          <cell r="Y110">
            <v>0</v>
          </cell>
          <cell r="Z110">
            <v>0</v>
          </cell>
          <cell r="AA110">
            <v>0</v>
          </cell>
          <cell r="AB110">
            <v>49224480</v>
          </cell>
          <cell r="AC110">
            <v>39213000</v>
          </cell>
          <cell r="AD110">
            <v>8811480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K110">
            <v>1200000</v>
          </cell>
          <cell r="AL110">
            <v>49224480</v>
          </cell>
          <cell r="AM110">
            <v>110</v>
          </cell>
        </row>
        <row r="111">
          <cell r="A111" t="str">
            <v>오양술</v>
          </cell>
          <cell r="B111">
            <v>9134600</v>
          </cell>
          <cell r="C111" t="str">
            <v>0002511</v>
          </cell>
          <cell r="D111" t="str">
            <v>경영지원실</v>
          </cell>
          <cell r="E111" t="str">
            <v>인사</v>
          </cell>
          <cell r="F111" t="str">
            <v>총무구매</v>
          </cell>
          <cell r="G111" t="str">
            <v>대리</v>
          </cell>
          <cell r="H111" t="str">
            <v>22</v>
          </cell>
          <cell r="I111" t="str">
            <v>03</v>
          </cell>
          <cell r="J111">
            <v>2203</v>
          </cell>
          <cell r="K111" t="str">
            <v>일반직</v>
          </cell>
          <cell r="L111" t="str">
            <v>G2</v>
          </cell>
          <cell r="M111" t="str">
            <v>B</v>
          </cell>
          <cell r="N111">
            <v>39213000</v>
          </cell>
          <cell r="O111">
            <v>1200000</v>
          </cell>
          <cell r="P111">
            <v>8811480</v>
          </cell>
          <cell r="Q111">
            <v>1</v>
          </cell>
          <cell r="R111">
            <v>39213000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1200000</v>
          </cell>
          <cell r="X111">
            <v>8811480</v>
          </cell>
          <cell r="Y111">
            <v>0</v>
          </cell>
          <cell r="Z111">
            <v>0</v>
          </cell>
          <cell r="AA111">
            <v>0</v>
          </cell>
          <cell r="AB111">
            <v>49224480</v>
          </cell>
          <cell r="AC111">
            <v>39213000</v>
          </cell>
          <cell r="AD111">
            <v>8811480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K111">
            <v>1200000</v>
          </cell>
          <cell r="AL111">
            <v>49224480</v>
          </cell>
          <cell r="AM111">
            <v>111</v>
          </cell>
        </row>
        <row r="112">
          <cell r="A112" t="str">
            <v>김중혁</v>
          </cell>
          <cell r="B112">
            <v>9134589</v>
          </cell>
          <cell r="C112" t="str">
            <v>0002511</v>
          </cell>
          <cell r="D112" t="str">
            <v>경영지원실</v>
          </cell>
          <cell r="E112" t="str">
            <v>인사</v>
          </cell>
          <cell r="F112" t="str">
            <v>급여</v>
          </cell>
          <cell r="G112" t="str">
            <v>대리</v>
          </cell>
          <cell r="H112" t="str">
            <v>22</v>
          </cell>
          <cell r="I112" t="str">
            <v>03</v>
          </cell>
          <cell r="J112">
            <v>2203</v>
          </cell>
          <cell r="K112" t="str">
            <v>일반직</v>
          </cell>
          <cell r="L112" t="str">
            <v>G2</v>
          </cell>
          <cell r="M112" t="str">
            <v>B</v>
          </cell>
          <cell r="N112">
            <v>39213000</v>
          </cell>
          <cell r="O112">
            <v>1200000</v>
          </cell>
          <cell r="P112">
            <v>8811480</v>
          </cell>
          <cell r="Q112">
            <v>1</v>
          </cell>
          <cell r="R112">
            <v>39213000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1200000</v>
          </cell>
          <cell r="X112">
            <v>8811480</v>
          </cell>
          <cell r="Y112">
            <v>0</v>
          </cell>
          <cell r="Z112">
            <v>0</v>
          </cell>
          <cell r="AA112">
            <v>0</v>
          </cell>
          <cell r="AB112">
            <v>49224480</v>
          </cell>
          <cell r="AC112">
            <v>39213000</v>
          </cell>
          <cell r="AD112">
            <v>8811480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K112">
            <v>1200000</v>
          </cell>
          <cell r="AL112">
            <v>49224480</v>
          </cell>
          <cell r="AM112">
            <v>112</v>
          </cell>
        </row>
        <row r="113">
          <cell r="A113" t="str">
            <v>김경수</v>
          </cell>
          <cell r="B113">
            <v>9133388</v>
          </cell>
          <cell r="C113" t="str">
            <v>0002511</v>
          </cell>
          <cell r="D113" t="str">
            <v>경영지원실</v>
          </cell>
          <cell r="E113" t="str">
            <v>인사</v>
          </cell>
          <cell r="F113" t="str">
            <v>홍보</v>
          </cell>
          <cell r="G113" t="str">
            <v>대리</v>
          </cell>
          <cell r="H113" t="str">
            <v>22</v>
          </cell>
          <cell r="I113" t="str">
            <v>02</v>
          </cell>
          <cell r="J113">
            <v>2202</v>
          </cell>
          <cell r="K113" t="str">
            <v>일반직</v>
          </cell>
          <cell r="L113" t="str">
            <v>G2</v>
          </cell>
          <cell r="M113" t="str">
            <v>B</v>
          </cell>
          <cell r="N113">
            <v>39060000</v>
          </cell>
          <cell r="O113">
            <v>1200000</v>
          </cell>
          <cell r="P113">
            <v>9113450</v>
          </cell>
          <cell r="Q113">
            <v>1</v>
          </cell>
          <cell r="R113">
            <v>39060000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1200000</v>
          </cell>
          <cell r="X113">
            <v>9113450</v>
          </cell>
          <cell r="Y113">
            <v>0</v>
          </cell>
          <cell r="Z113">
            <v>0</v>
          </cell>
          <cell r="AA113">
            <v>0</v>
          </cell>
          <cell r="AB113">
            <v>49373450</v>
          </cell>
          <cell r="AC113">
            <v>39060000</v>
          </cell>
          <cell r="AD113">
            <v>9113450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K113">
            <v>1200000</v>
          </cell>
          <cell r="AL113">
            <v>49373450</v>
          </cell>
          <cell r="AM113">
            <v>113</v>
          </cell>
        </row>
        <row r="114">
          <cell r="A114" t="str">
            <v>심경섭</v>
          </cell>
          <cell r="B114">
            <v>9132187</v>
          </cell>
          <cell r="C114" t="str">
            <v>0002511</v>
          </cell>
          <cell r="D114" t="str">
            <v>경영지원실</v>
          </cell>
          <cell r="E114" t="str">
            <v>인사</v>
          </cell>
          <cell r="F114" t="str">
            <v>메일센터</v>
          </cell>
          <cell r="G114" t="str">
            <v>대리</v>
          </cell>
          <cell r="H114" t="str">
            <v>22</v>
          </cell>
          <cell r="I114" t="str">
            <v>01</v>
          </cell>
          <cell r="J114">
            <v>2201</v>
          </cell>
          <cell r="K114" t="str">
            <v>일반직</v>
          </cell>
          <cell r="L114" t="str">
            <v>G2</v>
          </cell>
          <cell r="M114" t="str">
            <v>D</v>
          </cell>
          <cell r="N114">
            <v>38907000</v>
          </cell>
          <cell r="O114">
            <v>1200000</v>
          </cell>
          <cell r="P114">
            <v>9410300</v>
          </cell>
          <cell r="Q114">
            <v>0</v>
          </cell>
          <cell r="R114">
            <v>38907000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1200000</v>
          </cell>
          <cell r="X114">
            <v>0</v>
          </cell>
          <cell r="Y114">
            <v>0</v>
          </cell>
          <cell r="Z114">
            <v>0</v>
          </cell>
          <cell r="AA114">
            <v>1000000</v>
          </cell>
          <cell r="AB114">
            <v>41107000</v>
          </cell>
          <cell r="AC114">
            <v>38907000</v>
          </cell>
          <cell r="AD114">
            <v>1000000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K114">
            <v>1200000</v>
          </cell>
          <cell r="AL114">
            <v>41107000</v>
          </cell>
          <cell r="AM114">
            <v>114</v>
          </cell>
        </row>
        <row r="115">
          <cell r="A115" t="str">
            <v>손재천</v>
          </cell>
          <cell r="B115">
            <v>9133400</v>
          </cell>
          <cell r="C115" t="str">
            <v>0002511</v>
          </cell>
          <cell r="D115" t="str">
            <v>경영지원실</v>
          </cell>
          <cell r="E115" t="str">
            <v>인사</v>
          </cell>
          <cell r="F115" t="str">
            <v>노사관계</v>
          </cell>
          <cell r="G115" t="str">
            <v>과장</v>
          </cell>
          <cell r="H115" t="str">
            <v>21</v>
          </cell>
          <cell r="I115" t="str">
            <v>01</v>
          </cell>
          <cell r="J115">
            <v>2101</v>
          </cell>
          <cell r="K115" t="str">
            <v>일반직</v>
          </cell>
          <cell r="L115" t="str">
            <v>G1</v>
          </cell>
          <cell r="M115" t="str">
            <v>S</v>
          </cell>
          <cell r="N115">
            <v>45810000</v>
          </cell>
          <cell r="O115">
            <v>1200000</v>
          </cell>
          <cell r="P115">
            <v>11306740</v>
          </cell>
          <cell r="Q115">
            <v>2</v>
          </cell>
          <cell r="R115">
            <v>45810000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1200000</v>
          </cell>
          <cell r="X115">
            <v>22613480</v>
          </cell>
          <cell r="Y115">
            <v>-586200</v>
          </cell>
          <cell r="Z115">
            <v>592700</v>
          </cell>
          <cell r="AA115">
            <v>0</v>
          </cell>
          <cell r="AB115">
            <v>69629980</v>
          </cell>
          <cell r="AC115">
            <v>45810000</v>
          </cell>
          <cell r="AD115">
            <v>22619980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K115">
            <v>1200000</v>
          </cell>
          <cell r="AL115">
            <v>69629980</v>
          </cell>
          <cell r="AM115">
            <v>115</v>
          </cell>
        </row>
        <row r="116">
          <cell r="A116" t="str">
            <v>신민철</v>
          </cell>
          <cell r="B116">
            <v>9133000</v>
          </cell>
          <cell r="C116" t="str">
            <v>0002511</v>
          </cell>
          <cell r="D116" t="str">
            <v>경영지원실</v>
          </cell>
          <cell r="E116" t="str">
            <v>인사</v>
          </cell>
          <cell r="F116" t="str">
            <v>인적자원</v>
          </cell>
          <cell r="G116" t="str">
            <v>과장</v>
          </cell>
          <cell r="H116" t="str">
            <v>21</v>
          </cell>
          <cell r="I116" t="str">
            <v>01</v>
          </cell>
          <cell r="J116">
            <v>2101</v>
          </cell>
          <cell r="K116" t="str">
            <v>일반직</v>
          </cell>
          <cell r="L116" t="str">
            <v>G1</v>
          </cell>
          <cell r="M116" t="str">
            <v>A</v>
          </cell>
          <cell r="N116">
            <v>45810000</v>
          </cell>
          <cell r="O116">
            <v>1200000</v>
          </cell>
          <cell r="P116">
            <v>11591330</v>
          </cell>
          <cell r="Q116">
            <v>1.5</v>
          </cell>
          <cell r="R116">
            <v>45810000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1200000</v>
          </cell>
          <cell r="X116">
            <v>17387000</v>
          </cell>
          <cell r="Y116">
            <v>-586200</v>
          </cell>
          <cell r="Z116">
            <v>444520</v>
          </cell>
          <cell r="AA116">
            <v>0</v>
          </cell>
          <cell r="AB116">
            <v>64255320</v>
          </cell>
          <cell r="AC116">
            <v>45810000</v>
          </cell>
          <cell r="AD116">
            <v>17245320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K116">
            <v>1200000</v>
          </cell>
          <cell r="AL116">
            <v>64255320</v>
          </cell>
          <cell r="AM116">
            <v>116</v>
          </cell>
        </row>
        <row r="117">
          <cell r="A117" t="str">
            <v>이승규</v>
          </cell>
          <cell r="B117">
            <v>9133337</v>
          </cell>
          <cell r="C117" t="str">
            <v>0002511</v>
          </cell>
          <cell r="D117" t="str">
            <v>경영지원실</v>
          </cell>
          <cell r="E117" t="str">
            <v>인사</v>
          </cell>
          <cell r="F117" t="str">
            <v>총무구매</v>
          </cell>
          <cell r="G117" t="str">
            <v>과장</v>
          </cell>
          <cell r="H117" t="str">
            <v>21</v>
          </cell>
          <cell r="I117" t="str">
            <v>01</v>
          </cell>
          <cell r="J117">
            <v>2101</v>
          </cell>
          <cell r="K117" t="str">
            <v>일반직</v>
          </cell>
          <cell r="L117" t="str">
            <v>G1</v>
          </cell>
          <cell r="M117" t="str">
            <v>B</v>
          </cell>
          <cell r="N117">
            <v>45810000</v>
          </cell>
          <cell r="O117">
            <v>1200000</v>
          </cell>
          <cell r="P117">
            <v>11306740</v>
          </cell>
          <cell r="Q117">
            <v>1</v>
          </cell>
          <cell r="R117">
            <v>45810000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1200000</v>
          </cell>
          <cell r="X117">
            <v>11306740</v>
          </cell>
          <cell r="Y117">
            <v>-586200</v>
          </cell>
          <cell r="Z117">
            <v>0</v>
          </cell>
          <cell r="AA117">
            <v>0</v>
          </cell>
          <cell r="AB117">
            <v>57730540</v>
          </cell>
          <cell r="AC117">
            <v>45810000</v>
          </cell>
          <cell r="AD117">
            <v>10720540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K117">
            <v>1200000</v>
          </cell>
          <cell r="AL117">
            <v>57730540</v>
          </cell>
          <cell r="AM117">
            <v>117</v>
          </cell>
        </row>
        <row r="118">
          <cell r="A118" t="str">
            <v>박용백</v>
          </cell>
          <cell r="B118">
            <v>9133787</v>
          </cell>
          <cell r="C118" t="str">
            <v>0002511</v>
          </cell>
          <cell r="D118" t="str">
            <v>경영지원실</v>
          </cell>
          <cell r="E118" t="str">
            <v>인사</v>
          </cell>
          <cell r="F118" t="str">
            <v>성과보상</v>
          </cell>
          <cell r="G118" t="str">
            <v>과장</v>
          </cell>
          <cell r="H118" t="str">
            <v>21</v>
          </cell>
          <cell r="I118" t="str">
            <v>01</v>
          </cell>
          <cell r="J118">
            <v>2101</v>
          </cell>
          <cell r="K118" t="str">
            <v>일반직</v>
          </cell>
          <cell r="L118" t="str">
            <v>G1</v>
          </cell>
          <cell r="M118" t="str">
            <v>B</v>
          </cell>
          <cell r="N118">
            <v>45810000</v>
          </cell>
          <cell r="O118">
            <v>1200000</v>
          </cell>
          <cell r="P118">
            <v>11164440</v>
          </cell>
          <cell r="Q118">
            <v>1</v>
          </cell>
          <cell r="R118">
            <v>45810000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1200000</v>
          </cell>
          <cell r="X118">
            <v>11164440</v>
          </cell>
          <cell r="Y118">
            <v>-586200</v>
          </cell>
          <cell r="Z118">
            <v>0</v>
          </cell>
          <cell r="AA118">
            <v>0</v>
          </cell>
          <cell r="AB118">
            <v>57588240</v>
          </cell>
          <cell r="AC118">
            <v>45810000</v>
          </cell>
          <cell r="AD118">
            <v>10578240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K118">
            <v>1200000</v>
          </cell>
          <cell r="AL118">
            <v>57588240</v>
          </cell>
          <cell r="AM118">
            <v>118</v>
          </cell>
        </row>
        <row r="119">
          <cell r="A119" t="str">
            <v>조흥동</v>
          </cell>
          <cell r="B119">
            <v>9132330</v>
          </cell>
          <cell r="C119" t="str">
            <v>0002511</v>
          </cell>
          <cell r="D119" t="str">
            <v>경영지원실</v>
          </cell>
          <cell r="E119" t="str">
            <v>인사</v>
          </cell>
          <cell r="F119" t="str">
            <v>팀장</v>
          </cell>
          <cell r="G119" t="str">
            <v>팀장</v>
          </cell>
          <cell r="H119" t="str">
            <v>12</v>
          </cell>
          <cell r="I119" t="str">
            <v>01</v>
          </cell>
          <cell r="J119">
            <v>1201</v>
          </cell>
          <cell r="K119" t="str">
            <v>일반직</v>
          </cell>
          <cell r="L119" t="str">
            <v>G1</v>
          </cell>
          <cell r="M119" t="str">
            <v>A</v>
          </cell>
          <cell r="N119">
            <v>51577500</v>
          </cell>
          <cell r="O119">
            <v>1200000</v>
          </cell>
          <cell r="P119">
            <v>13349850</v>
          </cell>
          <cell r="Q119">
            <v>1.5</v>
          </cell>
          <cell r="R119">
            <v>51577500</v>
          </cell>
          <cell r="S119">
            <v>0</v>
          </cell>
          <cell r="T119">
            <v>5000000</v>
          </cell>
          <cell r="U119">
            <v>0</v>
          </cell>
          <cell r="V119">
            <v>0</v>
          </cell>
          <cell r="W119">
            <v>1200000</v>
          </cell>
          <cell r="X119">
            <v>20024780</v>
          </cell>
          <cell r="Y119">
            <v>0</v>
          </cell>
          <cell r="Z119">
            <v>0</v>
          </cell>
          <cell r="AA119">
            <v>0</v>
          </cell>
          <cell r="AB119">
            <v>77802280</v>
          </cell>
          <cell r="AC119">
            <v>51577500</v>
          </cell>
          <cell r="AD119">
            <v>20024780</v>
          </cell>
          <cell r="AE119">
            <v>0</v>
          </cell>
          <cell r="AF119">
            <v>5000000</v>
          </cell>
          <cell r="AG119">
            <v>5000000</v>
          </cell>
          <cell r="AH119">
            <v>0</v>
          </cell>
          <cell r="AK119">
            <v>1200000</v>
          </cell>
          <cell r="AL119">
            <v>77802280</v>
          </cell>
          <cell r="AM119">
            <v>119</v>
          </cell>
        </row>
        <row r="120">
          <cell r="A120" t="str">
            <v>김재호</v>
          </cell>
          <cell r="B120">
            <v>9135119</v>
          </cell>
          <cell r="C120" t="str">
            <v>0002512</v>
          </cell>
          <cell r="D120" t="str">
            <v>경영지원실</v>
          </cell>
          <cell r="E120" t="str">
            <v>U/C</v>
          </cell>
          <cell r="F120" t="str">
            <v>재보험</v>
          </cell>
          <cell r="G120" t="str">
            <v>주임</v>
          </cell>
          <cell r="H120" t="str">
            <v>41</v>
          </cell>
          <cell r="I120" t="str">
            <v>09</v>
          </cell>
          <cell r="J120">
            <v>4109</v>
          </cell>
          <cell r="K120" t="str">
            <v>일반직</v>
          </cell>
          <cell r="L120" t="str">
            <v>G2</v>
          </cell>
          <cell r="M120" t="str">
            <v>B</v>
          </cell>
          <cell r="N120">
            <v>27721500</v>
          </cell>
          <cell r="O120">
            <v>1200000</v>
          </cell>
          <cell r="P120">
            <v>6069480</v>
          </cell>
          <cell r="Q120">
            <v>1</v>
          </cell>
          <cell r="R120">
            <v>27721500</v>
          </cell>
          <cell r="S120">
            <v>5000000</v>
          </cell>
          <cell r="T120">
            <v>0</v>
          </cell>
          <cell r="U120">
            <v>0</v>
          </cell>
          <cell r="V120">
            <v>0</v>
          </cell>
          <cell r="W120">
            <v>1200000</v>
          </cell>
          <cell r="X120">
            <v>6069480</v>
          </cell>
          <cell r="Y120">
            <v>0</v>
          </cell>
          <cell r="Z120">
            <v>0</v>
          </cell>
          <cell r="AA120">
            <v>0</v>
          </cell>
          <cell r="AB120">
            <v>39990980</v>
          </cell>
          <cell r="AC120">
            <v>27721500</v>
          </cell>
          <cell r="AD120">
            <v>6069480</v>
          </cell>
          <cell r="AE120">
            <v>5000000</v>
          </cell>
          <cell r="AF120">
            <v>0</v>
          </cell>
          <cell r="AG120">
            <v>0</v>
          </cell>
          <cell r="AH120">
            <v>0</v>
          </cell>
          <cell r="AK120">
            <v>1200000</v>
          </cell>
          <cell r="AL120">
            <v>39990980</v>
          </cell>
          <cell r="AM120">
            <v>120</v>
          </cell>
        </row>
        <row r="121">
          <cell r="A121" t="str">
            <v>김재완</v>
          </cell>
          <cell r="B121">
            <v>9134244</v>
          </cell>
          <cell r="C121" t="str">
            <v>0002512</v>
          </cell>
          <cell r="D121" t="str">
            <v>경영지원실</v>
          </cell>
          <cell r="E121" t="str">
            <v>U/C</v>
          </cell>
          <cell r="F121" t="str">
            <v>계약심사</v>
          </cell>
          <cell r="G121" t="str">
            <v>대리</v>
          </cell>
          <cell r="H121" t="str">
            <v>31</v>
          </cell>
          <cell r="I121" t="str">
            <v>05</v>
          </cell>
          <cell r="J121">
            <v>3105</v>
          </cell>
          <cell r="K121" t="str">
            <v>일반직</v>
          </cell>
          <cell r="L121" t="str">
            <v>G2</v>
          </cell>
          <cell r="M121" t="str">
            <v>B</v>
          </cell>
          <cell r="N121">
            <v>34711500</v>
          </cell>
          <cell r="O121">
            <v>1200000</v>
          </cell>
          <cell r="P121">
            <v>7880270</v>
          </cell>
          <cell r="Q121">
            <v>1</v>
          </cell>
          <cell r="R121">
            <v>34711500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1200000</v>
          </cell>
          <cell r="X121">
            <v>7880270</v>
          </cell>
          <cell r="Y121">
            <v>0</v>
          </cell>
          <cell r="Z121">
            <v>0</v>
          </cell>
          <cell r="AA121">
            <v>0</v>
          </cell>
          <cell r="AB121">
            <v>43791770</v>
          </cell>
          <cell r="AC121">
            <v>34711500</v>
          </cell>
          <cell r="AD121">
            <v>7880270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K121">
            <v>1200000</v>
          </cell>
          <cell r="AL121">
            <v>43791770</v>
          </cell>
          <cell r="AM121">
            <v>121</v>
          </cell>
        </row>
        <row r="122">
          <cell r="A122" t="str">
            <v>홍윤숙</v>
          </cell>
          <cell r="B122">
            <v>9132322</v>
          </cell>
          <cell r="C122" t="str">
            <v>0002512</v>
          </cell>
          <cell r="D122" t="str">
            <v>경영지원실</v>
          </cell>
          <cell r="E122" t="str">
            <v>U/C</v>
          </cell>
          <cell r="F122" t="str">
            <v>보험금심사</v>
          </cell>
          <cell r="G122" t="str">
            <v>대리</v>
          </cell>
          <cell r="H122" t="str">
            <v>31</v>
          </cell>
          <cell r="I122" t="str">
            <v>03</v>
          </cell>
          <cell r="J122">
            <v>3103</v>
          </cell>
          <cell r="K122" t="str">
            <v>사무직</v>
          </cell>
          <cell r="L122" t="str">
            <v>G3</v>
          </cell>
          <cell r="M122" t="str">
            <v>B</v>
          </cell>
          <cell r="N122">
            <v>37396760</v>
          </cell>
          <cell r="O122">
            <v>1200000</v>
          </cell>
          <cell r="P122">
            <v>6182000</v>
          </cell>
          <cell r="Q122">
            <v>1</v>
          </cell>
          <cell r="R122">
            <v>37396760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1200000</v>
          </cell>
          <cell r="X122">
            <v>6182000</v>
          </cell>
          <cell r="Y122">
            <v>0</v>
          </cell>
          <cell r="Z122">
            <v>0</v>
          </cell>
          <cell r="AA122">
            <v>0</v>
          </cell>
          <cell r="AB122">
            <v>44778760</v>
          </cell>
          <cell r="AC122">
            <v>37396760</v>
          </cell>
          <cell r="AD122">
            <v>6182000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K122">
            <v>1200000</v>
          </cell>
          <cell r="AL122">
            <v>44778760</v>
          </cell>
          <cell r="AM122">
            <v>122</v>
          </cell>
        </row>
        <row r="123">
          <cell r="A123" t="str">
            <v>이정숙</v>
          </cell>
          <cell r="B123">
            <v>9132349</v>
          </cell>
          <cell r="C123" t="str">
            <v>0002512</v>
          </cell>
          <cell r="D123" t="str">
            <v>경영지원실</v>
          </cell>
          <cell r="E123" t="str">
            <v>U/C</v>
          </cell>
          <cell r="F123" t="str">
            <v>계약심사</v>
          </cell>
          <cell r="G123" t="str">
            <v>대리</v>
          </cell>
          <cell r="H123" t="str">
            <v>31</v>
          </cell>
          <cell r="I123" t="str">
            <v>03</v>
          </cell>
          <cell r="J123">
            <v>3103</v>
          </cell>
          <cell r="K123" t="str">
            <v>사무직</v>
          </cell>
          <cell r="L123" t="str">
            <v>G3</v>
          </cell>
          <cell r="M123" t="str">
            <v>B</v>
          </cell>
          <cell r="N123">
            <v>37396760</v>
          </cell>
          <cell r="O123">
            <v>1200000</v>
          </cell>
          <cell r="P123">
            <v>6182000</v>
          </cell>
          <cell r="Q123">
            <v>1</v>
          </cell>
          <cell r="R123">
            <v>37396760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1200000</v>
          </cell>
          <cell r="X123">
            <v>6182000</v>
          </cell>
          <cell r="Y123">
            <v>0</v>
          </cell>
          <cell r="Z123">
            <v>0</v>
          </cell>
          <cell r="AA123">
            <v>0</v>
          </cell>
          <cell r="AB123">
            <v>44778760</v>
          </cell>
          <cell r="AC123">
            <v>37396760</v>
          </cell>
          <cell r="AD123">
            <v>6182000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K123">
            <v>1200000</v>
          </cell>
          <cell r="AL123">
            <v>44778760</v>
          </cell>
          <cell r="AM123">
            <v>123</v>
          </cell>
        </row>
        <row r="124">
          <cell r="A124" t="str">
            <v>윤지현</v>
          </cell>
          <cell r="B124">
            <v>9132667</v>
          </cell>
          <cell r="C124" t="str">
            <v>0002512</v>
          </cell>
          <cell r="D124" t="str">
            <v>경영지원실</v>
          </cell>
          <cell r="E124" t="str">
            <v>U/C</v>
          </cell>
          <cell r="F124" t="str">
            <v>계약심사</v>
          </cell>
          <cell r="G124" t="str">
            <v>대리</v>
          </cell>
          <cell r="H124" t="str">
            <v>31</v>
          </cell>
          <cell r="I124" t="str">
            <v>03</v>
          </cell>
          <cell r="J124">
            <v>3103</v>
          </cell>
          <cell r="K124" t="str">
            <v>사무직</v>
          </cell>
          <cell r="L124" t="str">
            <v>G3</v>
          </cell>
          <cell r="M124" t="str">
            <v>D</v>
          </cell>
          <cell r="N124">
            <v>37288860</v>
          </cell>
          <cell r="O124">
            <v>1200000</v>
          </cell>
          <cell r="P124">
            <v>6182000</v>
          </cell>
          <cell r="Q124">
            <v>0</v>
          </cell>
          <cell r="R124">
            <v>37288860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1200000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38488860</v>
          </cell>
          <cell r="AC124">
            <v>37288860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K124">
            <v>1200000</v>
          </cell>
          <cell r="AL124">
            <v>38488860</v>
          </cell>
          <cell r="AM124">
            <v>124</v>
          </cell>
        </row>
        <row r="125">
          <cell r="A125" t="str">
            <v>이정석</v>
          </cell>
          <cell r="B125">
            <v>9134996</v>
          </cell>
          <cell r="C125" t="str">
            <v>0002512</v>
          </cell>
          <cell r="D125" t="str">
            <v>경영지원실</v>
          </cell>
          <cell r="E125" t="str">
            <v>U/C</v>
          </cell>
          <cell r="F125" t="str">
            <v>계약심사</v>
          </cell>
          <cell r="G125" t="str">
            <v>주임</v>
          </cell>
          <cell r="H125" t="str">
            <v>31</v>
          </cell>
          <cell r="I125" t="str">
            <v>02</v>
          </cell>
          <cell r="J125">
            <v>3102</v>
          </cell>
          <cell r="K125" t="str">
            <v>일반직</v>
          </cell>
          <cell r="L125" t="str">
            <v>G2</v>
          </cell>
          <cell r="M125" t="str">
            <v>B</v>
          </cell>
          <cell r="N125">
            <v>33883500</v>
          </cell>
          <cell r="O125">
            <v>1200000</v>
          </cell>
          <cell r="P125">
            <v>7419380</v>
          </cell>
          <cell r="Q125">
            <v>1</v>
          </cell>
          <cell r="R125">
            <v>33883500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1200000</v>
          </cell>
          <cell r="X125">
            <v>7419380</v>
          </cell>
          <cell r="Y125">
            <v>0</v>
          </cell>
          <cell r="Z125">
            <v>0</v>
          </cell>
          <cell r="AA125">
            <v>0</v>
          </cell>
          <cell r="AB125">
            <v>42502880</v>
          </cell>
          <cell r="AC125">
            <v>33883500</v>
          </cell>
          <cell r="AD125">
            <v>7419380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K125">
            <v>1200000</v>
          </cell>
          <cell r="AL125">
            <v>42502880</v>
          </cell>
          <cell r="AM125">
            <v>125</v>
          </cell>
        </row>
        <row r="126">
          <cell r="A126" t="str">
            <v>이화용</v>
          </cell>
          <cell r="B126">
            <v>9134848</v>
          </cell>
          <cell r="C126" t="str">
            <v>0002512</v>
          </cell>
          <cell r="D126" t="str">
            <v>경영지원실</v>
          </cell>
          <cell r="E126" t="str">
            <v>U/C</v>
          </cell>
          <cell r="F126" t="str">
            <v>계약심사</v>
          </cell>
          <cell r="G126" t="str">
            <v>과장</v>
          </cell>
          <cell r="H126" t="str">
            <v>22</v>
          </cell>
          <cell r="I126" t="str">
            <v>07</v>
          </cell>
          <cell r="J126">
            <v>2207</v>
          </cell>
          <cell r="K126" t="str">
            <v>일반직</v>
          </cell>
          <cell r="L126" t="str">
            <v>G2</v>
          </cell>
          <cell r="M126" t="str">
            <v>B</v>
          </cell>
          <cell r="N126">
            <v>40053000</v>
          </cell>
          <cell r="O126">
            <v>1200000</v>
          </cell>
          <cell r="P126">
            <v>8882770</v>
          </cell>
          <cell r="Q126">
            <v>1</v>
          </cell>
          <cell r="R126">
            <v>40053000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1200000</v>
          </cell>
          <cell r="X126">
            <v>8882770</v>
          </cell>
          <cell r="Y126">
            <v>0</v>
          </cell>
          <cell r="Z126">
            <v>0</v>
          </cell>
          <cell r="AA126">
            <v>0</v>
          </cell>
          <cell r="AB126">
            <v>50135770</v>
          </cell>
          <cell r="AC126">
            <v>40053000</v>
          </cell>
          <cell r="AD126">
            <v>8882770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K126">
            <v>1200000</v>
          </cell>
          <cell r="AL126">
            <v>50135770</v>
          </cell>
          <cell r="AM126">
            <v>126</v>
          </cell>
        </row>
        <row r="127">
          <cell r="A127" t="str">
            <v>김관중</v>
          </cell>
          <cell r="B127">
            <v>9132985</v>
          </cell>
          <cell r="C127" t="str">
            <v>0002512</v>
          </cell>
          <cell r="D127" t="str">
            <v>경영지원실</v>
          </cell>
          <cell r="E127" t="str">
            <v>U/C</v>
          </cell>
          <cell r="F127" t="str">
            <v>계약심사</v>
          </cell>
          <cell r="G127" t="str">
            <v>과장</v>
          </cell>
          <cell r="H127" t="str">
            <v>22</v>
          </cell>
          <cell r="I127" t="str">
            <v>05</v>
          </cell>
          <cell r="J127">
            <v>2205</v>
          </cell>
          <cell r="K127" t="str">
            <v>일반직</v>
          </cell>
          <cell r="L127" t="str">
            <v>G2</v>
          </cell>
          <cell r="M127" t="str">
            <v>B</v>
          </cell>
          <cell r="N127">
            <v>39795000</v>
          </cell>
          <cell r="O127">
            <v>1200000</v>
          </cell>
          <cell r="P127">
            <v>9416730</v>
          </cell>
          <cell r="Q127">
            <v>1</v>
          </cell>
          <cell r="R127">
            <v>39795000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1200000</v>
          </cell>
          <cell r="X127">
            <v>9416730</v>
          </cell>
          <cell r="Y127">
            <v>0</v>
          </cell>
          <cell r="Z127">
            <v>0</v>
          </cell>
          <cell r="AA127">
            <v>0</v>
          </cell>
          <cell r="AB127">
            <v>50411730</v>
          </cell>
          <cell r="AC127">
            <v>39795000</v>
          </cell>
          <cell r="AD127">
            <v>9416730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K127">
            <v>1200000</v>
          </cell>
          <cell r="AL127">
            <v>50411730</v>
          </cell>
          <cell r="AM127">
            <v>127</v>
          </cell>
        </row>
        <row r="128">
          <cell r="A128" t="str">
            <v>홍익성</v>
          </cell>
          <cell r="B128">
            <v>9133590</v>
          </cell>
          <cell r="C128" t="str">
            <v>0002512</v>
          </cell>
          <cell r="D128" t="str">
            <v>경영지원실</v>
          </cell>
          <cell r="E128" t="str">
            <v>U/C</v>
          </cell>
          <cell r="F128" t="str">
            <v>재보험</v>
          </cell>
          <cell r="G128" t="str">
            <v>과장</v>
          </cell>
          <cell r="H128" t="str">
            <v>22</v>
          </cell>
          <cell r="I128" t="str">
            <v>05</v>
          </cell>
          <cell r="J128">
            <v>2205</v>
          </cell>
          <cell r="K128" t="str">
            <v>일반직</v>
          </cell>
          <cell r="L128" t="str">
            <v>G2</v>
          </cell>
          <cell r="M128" t="str">
            <v>B</v>
          </cell>
          <cell r="N128">
            <v>39795000</v>
          </cell>
          <cell r="O128">
            <v>1200000</v>
          </cell>
          <cell r="P128">
            <v>9168200</v>
          </cell>
          <cell r="Q128">
            <v>1</v>
          </cell>
          <cell r="R128">
            <v>39795000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1200000</v>
          </cell>
          <cell r="X128">
            <v>9168200</v>
          </cell>
          <cell r="Y128">
            <v>0</v>
          </cell>
          <cell r="Z128">
            <v>0</v>
          </cell>
          <cell r="AA128">
            <v>0</v>
          </cell>
          <cell r="AB128">
            <v>50163200</v>
          </cell>
          <cell r="AC128">
            <v>39795000</v>
          </cell>
          <cell r="AD128">
            <v>9168200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K128">
            <v>1200000</v>
          </cell>
          <cell r="AL128">
            <v>50163200</v>
          </cell>
          <cell r="AM128">
            <v>128</v>
          </cell>
        </row>
        <row r="129">
          <cell r="A129" t="str">
            <v>박흥진</v>
          </cell>
          <cell r="B129">
            <v>9133582</v>
          </cell>
          <cell r="C129" t="str">
            <v>0002512</v>
          </cell>
          <cell r="D129" t="str">
            <v>경영지원실</v>
          </cell>
          <cell r="E129" t="str">
            <v>U/C</v>
          </cell>
          <cell r="F129" t="str">
            <v>계약심사</v>
          </cell>
          <cell r="G129" t="str">
            <v>과장</v>
          </cell>
          <cell r="H129" t="str">
            <v>22</v>
          </cell>
          <cell r="I129" t="str">
            <v>05</v>
          </cell>
          <cell r="J129">
            <v>2205</v>
          </cell>
          <cell r="K129" t="str">
            <v>일반직</v>
          </cell>
          <cell r="L129" t="str">
            <v>G2</v>
          </cell>
          <cell r="M129" t="str">
            <v>C</v>
          </cell>
          <cell r="N129">
            <v>39795000</v>
          </cell>
          <cell r="O129">
            <v>1200000</v>
          </cell>
          <cell r="P129">
            <v>9168200</v>
          </cell>
          <cell r="Q129">
            <v>0.5</v>
          </cell>
          <cell r="R129">
            <v>39795000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1200000</v>
          </cell>
          <cell r="X129">
            <v>4584100</v>
          </cell>
          <cell r="Y129">
            <v>0</v>
          </cell>
          <cell r="Z129">
            <v>0</v>
          </cell>
          <cell r="AA129">
            <v>0</v>
          </cell>
          <cell r="AB129">
            <v>45579100</v>
          </cell>
          <cell r="AC129">
            <v>39795000</v>
          </cell>
          <cell r="AD129">
            <v>4584100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K129">
            <v>1200000</v>
          </cell>
          <cell r="AL129">
            <v>45579100</v>
          </cell>
          <cell r="AM129">
            <v>129</v>
          </cell>
        </row>
        <row r="130">
          <cell r="A130" t="str">
            <v>백광일</v>
          </cell>
          <cell r="B130">
            <v>9134007</v>
          </cell>
          <cell r="C130" t="str">
            <v>0002512</v>
          </cell>
          <cell r="D130" t="str">
            <v>경영지원실</v>
          </cell>
          <cell r="E130" t="str">
            <v>U/C</v>
          </cell>
          <cell r="F130" t="str">
            <v>사고조사</v>
          </cell>
          <cell r="G130" t="str">
            <v>과장</v>
          </cell>
          <cell r="H130" t="str">
            <v>22</v>
          </cell>
          <cell r="I130" t="str">
            <v>04</v>
          </cell>
          <cell r="J130">
            <v>2204</v>
          </cell>
          <cell r="K130" t="str">
            <v>일반직</v>
          </cell>
          <cell r="L130" t="str">
            <v>G2</v>
          </cell>
          <cell r="M130" t="str">
            <v>B</v>
          </cell>
          <cell r="N130">
            <v>39606000</v>
          </cell>
          <cell r="O130">
            <v>1200000</v>
          </cell>
          <cell r="P130">
            <v>8999090</v>
          </cell>
          <cell r="Q130">
            <v>1</v>
          </cell>
          <cell r="R130">
            <v>39606000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1200000</v>
          </cell>
          <cell r="X130">
            <v>8999090</v>
          </cell>
          <cell r="Y130">
            <v>0</v>
          </cell>
          <cell r="Z130">
            <v>0</v>
          </cell>
          <cell r="AA130">
            <v>0</v>
          </cell>
          <cell r="AB130">
            <v>49805090</v>
          </cell>
          <cell r="AC130">
            <v>39606000</v>
          </cell>
          <cell r="AD130">
            <v>8999090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K130">
            <v>1200000</v>
          </cell>
          <cell r="AL130">
            <v>49805090</v>
          </cell>
          <cell r="AM130">
            <v>130</v>
          </cell>
        </row>
        <row r="131">
          <cell r="A131" t="str">
            <v>유광현</v>
          </cell>
          <cell r="B131">
            <v>9134392</v>
          </cell>
          <cell r="C131" t="str">
            <v>0002512</v>
          </cell>
          <cell r="D131" t="str">
            <v>경영지원실</v>
          </cell>
          <cell r="E131" t="str">
            <v>U/C</v>
          </cell>
          <cell r="F131" t="str">
            <v>계약심사</v>
          </cell>
          <cell r="G131" t="str">
            <v>과장</v>
          </cell>
          <cell r="H131" t="str">
            <v>22</v>
          </cell>
          <cell r="I131" t="str">
            <v>04</v>
          </cell>
          <cell r="J131">
            <v>2204</v>
          </cell>
          <cell r="K131" t="str">
            <v>일반직</v>
          </cell>
          <cell r="L131" t="str">
            <v>G2</v>
          </cell>
          <cell r="M131" t="str">
            <v>B</v>
          </cell>
          <cell r="N131">
            <v>39486000</v>
          </cell>
          <cell r="O131">
            <v>1200000</v>
          </cell>
          <cell r="P131">
            <v>8999090</v>
          </cell>
          <cell r="Q131">
            <v>1</v>
          </cell>
          <cell r="R131">
            <v>39486000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1200000</v>
          </cell>
          <cell r="X131">
            <v>8999090</v>
          </cell>
          <cell r="Y131">
            <v>0</v>
          </cell>
          <cell r="Z131">
            <v>0</v>
          </cell>
          <cell r="AA131">
            <v>0</v>
          </cell>
          <cell r="AB131">
            <v>49685090</v>
          </cell>
          <cell r="AC131">
            <v>39486000</v>
          </cell>
          <cell r="AD131">
            <v>8999090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K131">
            <v>1200000</v>
          </cell>
          <cell r="AL131">
            <v>49685090</v>
          </cell>
          <cell r="AM131">
            <v>131</v>
          </cell>
        </row>
        <row r="132">
          <cell r="A132" t="str">
            <v>정종기</v>
          </cell>
          <cell r="B132">
            <v>9133221</v>
          </cell>
          <cell r="C132" t="str">
            <v>0002512</v>
          </cell>
          <cell r="D132" t="str">
            <v>경영지원실</v>
          </cell>
          <cell r="E132" t="str">
            <v>U/C</v>
          </cell>
          <cell r="F132" t="str">
            <v>보험사고특별조사팀</v>
          </cell>
          <cell r="G132" t="str">
            <v>과장</v>
          </cell>
          <cell r="H132" t="str">
            <v>22</v>
          </cell>
          <cell r="I132" t="str">
            <v>04</v>
          </cell>
          <cell r="J132">
            <v>2204</v>
          </cell>
          <cell r="K132" t="str">
            <v>일반직</v>
          </cell>
          <cell r="L132" t="str">
            <v>G1</v>
          </cell>
          <cell r="M132" t="str">
            <v>B</v>
          </cell>
          <cell r="N132">
            <v>39606000</v>
          </cell>
          <cell r="O132">
            <v>1440000</v>
          </cell>
          <cell r="P132">
            <v>9246440</v>
          </cell>
          <cell r="Q132">
            <v>1</v>
          </cell>
          <cell r="R132">
            <v>39606000</v>
          </cell>
          <cell r="S132">
            <v>5000000</v>
          </cell>
          <cell r="T132">
            <v>0</v>
          </cell>
          <cell r="U132">
            <v>0</v>
          </cell>
          <cell r="V132">
            <v>0</v>
          </cell>
          <cell r="W132">
            <v>1440000</v>
          </cell>
          <cell r="X132">
            <v>9246440</v>
          </cell>
          <cell r="Y132">
            <v>-586200</v>
          </cell>
          <cell r="Z132">
            <v>0</v>
          </cell>
          <cell r="AA132">
            <v>0</v>
          </cell>
          <cell r="AB132">
            <v>54706240</v>
          </cell>
          <cell r="AC132">
            <v>39606000</v>
          </cell>
          <cell r="AD132">
            <v>8660240</v>
          </cell>
          <cell r="AE132">
            <v>5000000</v>
          </cell>
          <cell r="AF132">
            <v>240000</v>
          </cell>
          <cell r="AG132">
            <v>0</v>
          </cell>
          <cell r="AH132">
            <v>0</v>
          </cell>
          <cell r="AJ132">
            <v>240000</v>
          </cell>
          <cell r="AK132">
            <v>1200000</v>
          </cell>
          <cell r="AL132">
            <v>54706240</v>
          </cell>
          <cell r="AM132">
            <v>132</v>
          </cell>
        </row>
        <row r="133">
          <cell r="A133" t="str">
            <v>김종일</v>
          </cell>
          <cell r="B133">
            <v>9134139</v>
          </cell>
          <cell r="C133" t="str">
            <v>0002512</v>
          </cell>
          <cell r="D133" t="str">
            <v>경영지원실</v>
          </cell>
          <cell r="E133" t="str">
            <v>U/C</v>
          </cell>
          <cell r="F133" t="str">
            <v>계약심사</v>
          </cell>
          <cell r="G133" t="str">
            <v>대리</v>
          </cell>
          <cell r="H133" t="str">
            <v>22</v>
          </cell>
          <cell r="I133" t="str">
            <v>03</v>
          </cell>
          <cell r="J133">
            <v>2203</v>
          </cell>
          <cell r="K133" t="str">
            <v>일반직</v>
          </cell>
          <cell r="L133" t="str">
            <v>G2</v>
          </cell>
          <cell r="M133" t="str">
            <v>A</v>
          </cell>
          <cell r="N133">
            <v>39333000</v>
          </cell>
          <cell r="O133">
            <v>1200000</v>
          </cell>
          <cell r="P133">
            <v>8934300</v>
          </cell>
          <cell r="Q133">
            <v>1.5</v>
          </cell>
          <cell r="R133">
            <v>39333000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1200000</v>
          </cell>
          <cell r="X133">
            <v>13401450</v>
          </cell>
          <cell r="Y133">
            <v>0</v>
          </cell>
          <cell r="Z133">
            <v>440490</v>
          </cell>
          <cell r="AA133">
            <v>0</v>
          </cell>
          <cell r="AB133">
            <v>54374940</v>
          </cell>
          <cell r="AC133">
            <v>39333000</v>
          </cell>
          <cell r="AD133">
            <v>13841940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K133">
            <v>1200000</v>
          </cell>
          <cell r="AL133">
            <v>54374940</v>
          </cell>
          <cell r="AM133">
            <v>133</v>
          </cell>
        </row>
        <row r="134">
          <cell r="A134" t="str">
            <v>장준희</v>
          </cell>
          <cell r="B134">
            <v>9133698</v>
          </cell>
          <cell r="C134" t="str">
            <v>0002512</v>
          </cell>
          <cell r="D134" t="str">
            <v>경영지원실</v>
          </cell>
          <cell r="E134" t="str">
            <v>U/C</v>
          </cell>
          <cell r="F134" t="str">
            <v>계약심사</v>
          </cell>
          <cell r="G134" t="str">
            <v>대리</v>
          </cell>
          <cell r="H134" t="str">
            <v>22</v>
          </cell>
          <cell r="I134" t="str">
            <v>03</v>
          </cell>
          <cell r="J134">
            <v>2203</v>
          </cell>
          <cell r="K134" t="str">
            <v>일반직</v>
          </cell>
          <cell r="L134" t="str">
            <v>G2</v>
          </cell>
          <cell r="M134" t="str">
            <v>B</v>
          </cell>
          <cell r="N134">
            <v>39333000</v>
          </cell>
          <cell r="O134">
            <v>1200000</v>
          </cell>
          <cell r="P134">
            <v>9057120</v>
          </cell>
          <cell r="Q134">
            <v>1</v>
          </cell>
          <cell r="R134">
            <v>39333000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1200000</v>
          </cell>
          <cell r="X134">
            <v>9057120</v>
          </cell>
          <cell r="Y134">
            <v>0</v>
          </cell>
          <cell r="Z134">
            <v>0</v>
          </cell>
          <cell r="AA134">
            <v>0</v>
          </cell>
          <cell r="AB134">
            <v>49590120</v>
          </cell>
          <cell r="AC134">
            <v>39333000</v>
          </cell>
          <cell r="AD134">
            <v>9057120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K134">
            <v>1200000</v>
          </cell>
          <cell r="AL134">
            <v>49590120</v>
          </cell>
          <cell r="AM134">
            <v>134</v>
          </cell>
        </row>
        <row r="135">
          <cell r="A135" t="str">
            <v>류시경</v>
          </cell>
          <cell r="B135">
            <v>9134155</v>
          </cell>
          <cell r="C135" t="str">
            <v>0002512</v>
          </cell>
          <cell r="D135" t="str">
            <v>경영지원실</v>
          </cell>
          <cell r="E135" t="str">
            <v>U/C</v>
          </cell>
          <cell r="F135" t="str">
            <v>계약심사</v>
          </cell>
          <cell r="G135" t="str">
            <v>대리</v>
          </cell>
          <cell r="H135" t="str">
            <v>22</v>
          </cell>
          <cell r="I135" t="str">
            <v>02</v>
          </cell>
          <cell r="J135">
            <v>2202</v>
          </cell>
          <cell r="K135" t="str">
            <v>일반직</v>
          </cell>
          <cell r="L135" t="str">
            <v>G2</v>
          </cell>
          <cell r="M135" t="str">
            <v>B</v>
          </cell>
          <cell r="N135">
            <v>39060000</v>
          </cell>
          <cell r="O135">
            <v>1200000</v>
          </cell>
          <cell r="P135">
            <v>8869520</v>
          </cell>
          <cell r="Q135">
            <v>1</v>
          </cell>
          <cell r="R135">
            <v>39060000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1200000</v>
          </cell>
          <cell r="X135">
            <v>8869520</v>
          </cell>
          <cell r="Y135">
            <v>0</v>
          </cell>
          <cell r="Z135">
            <v>0</v>
          </cell>
          <cell r="AA135">
            <v>0</v>
          </cell>
          <cell r="AB135">
            <v>49129520</v>
          </cell>
          <cell r="AC135">
            <v>39060000</v>
          </cell>
          <cell r="AD135">
            <v>8869520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K135">
            <v>1200000</v>
          </cell>
          <cell r="AL135">
            <v>49129520</v>
          </cell>
          <cell r="AM135">
            <v>135</v>
          </cell>
        </row>
        <row r="136">
          <cell r="A136" t="str">
            <v>배석현</v>
          </cell>
          <cell r="B136">
            <v>9133710</v>
          </cell>
          <cell r="C136" t="str">
            <v>0002512</v>
          </cell>
          <cell r="D136" t="str">
            <v>경영지원실</v>
          </cell>
          <cell r="E136" t="str">
            <v>U/C</v>
          </cell>
          <cell r="F136" t="str">
            <v>계약심사</v>
          </cell>
          <cell r="G136" t="str">
            <v>대리</v>
          </cell>
          <cell r="H136" t="str">
            <v>22</v>
          </cell>
          <cell r="I136" t="str">
            <v>02</v>
          </cell>
          <cell r="J136">
            <v>2202</v>
          </cell>
          <cell r="K136" t="str">
            <v>일반직</v>
          </cell>
          <cell r="L136" t="str">
            <v>G2</v>
          </cell>
          <cell r="M136" t="str">
            <v>C</v>
          </cell>
          <cell r="N136">
            <v>39060000</v>
          </cell>
          <cell r="O136">
            <v>1200000</v>
          </cell>
          <cell r="P136">
            <v>8991480</v>
          </cell>
          <cell r="Q136">
            <v>0.5</v>
          </cell>
          <cell r="R136">
            <v>39060000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1200000</v>
          </cell>
          <cell r="X136">
            <v>4495740</v>
          </cell>
          <cell r="Y136">
            <v>0</v>
          </cell>
          <cell r="Z136">
            <v>0</v>
          </cell>
          <cell r="AA136">
            <v>0</v>
          </cell>
          <cell r="AB136">
            <v>44755740</v>
          </cell>
          <cell r="AC136">
            <v>39060000</v>
          </cell>
          <cell r="AD136">
            <v>4495740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K136">
            <v>1200000</v>
          </cell>
          <cell r="AL136">
            <v>44755740</v>
          </cell>
          <cell r="AM136">
            <v>136</v>
          </cell>
        </row>
        <row r="137">
          <cell r="A137" t="str">
            <v>김철환</v>
          </cell>
          <cell r="B137">
            <v>9134635</v>
          </cell>
          <cell r="C137" t="str">
            <v>0002512</v>
          </cell>
          <cell r="D137" t="str">
            <v>경영지원실</v>
          </cell>
          <cell r="E137" t="str">
            <v>U/C</v>
          </cell>
          <cell r="F137" t="str">
            <v>사고조사</v>
          </cell>
          <cell r="G137" t="str">
            <v>대리</v>
          </cell>
          <cell r="H137" t="str">
            <v>22</v>
          </cell>
          <cell r="I137" t="str">
            <v>02</v>
          </cell>
          <cell r="J137">
            <v>2202</v>
          </cell>
          <cell r="K137" t="str">
            <v>일반직</v>
          </cell>
          <cell r="L137" t="str">
            <v>G2</v>
          </cell>
          <cell r="M137" t="str">
            <v>C</v>
          </cell>
          <cell r="N137">
            <v>38940000</v>
          </cell>
          <cell r="O137">
            <v>1200000</v>
          </cell>
          <cell r="P137">
            <v>8747550</v>
          </cell>
          <cell r="Q137">
            <v>0.5</v>
          </cell>
          <cell r="R137">
            <v>38940000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1200000</v>
          </cell>
          <cell r="X137">
            <v>4373780</v>
          </cell>
          <cell r="Y137">
            <v>0</v>
          </cell>
          <cell r="Z137">
            <v>0</v>
          </cell>
          <cell r="AA137">
            <v>0</v>
          </cell>
          <cell r="AB137">
            <v>44513780</v>
          </cell>
          <cell r="AC137">
            <v>38940000</v>
          </cell>
          <cell r="AD137">
            <v>4373780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K137">
            <v>1200000</v>
          </cell>
          <cell r="AL137">
            <v>44513780</v>
          </cell>
          <cell r="AM137">
            <v>137</v>
          </cell>
        </row>
        <row r="138">
          <cell r="A138" t="str">
            <v>남주윤</v>
          </cell>
          <cell r="B138">
            <v>9134163</v>
          </cell>
          <cell r="C138" t="str">
            <v>0002512</v>
          </cell>
          <cell r="D138" t="str">
            <v>경영지원실</v>
          </cell>
          <cell r="E138" t="str">
            <v>U/C</v>
          </cell>
          <cell r="F138" t="str">
            <v>보험금심사</v>
          </cell>
          <cell r="G138" t="str">
            <v>대리</v>
          </cell>
          <cell r="H138" t="str">
            <v>22</v>
          </cell>
          <cell r="I138" t="str">
            <v>02</v>
          </cell>
          <cell r="J138">
            <v>2202</v>
          </cell>
          <cell r="K138" t="str">
            <v>일반직</v>
          </cell>
          <cell r="L138" t="str">
            <v>G2</v>
          </cell>
          <cell r="M138" t="str">
            <v>B</v>
          </cell>
          <cell r="N138">
            <v>39060000</v>
          </cell>
          <cell r="O138">
            <v>1440000</v>
          </cell>
          <cell r="P138">
            <v>8869520</v>
          </cell>
          <cell r="Q138">
            <v>1</v>
          </cell>
          <cell r="R138">
            <v>39060000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1440000</v>
          </cell>
          <cell r="X138">
            <v>8869520</v>
          </cell>
          <cell r="Y138">
            <v>0</v>
          </cell>
          <cell r="Z138">
            <v>0</v>
          </cell>
          <cell r="AA138">
            <v>0</v>
          </cell>
          <cell r="AB138">
            <v>49369520</v>
          </cell>
          <cell r="AC138">
            <v>39060000</v>
          </cell>
          <cell r="AD138">
            <v>8869520</v>
          </cell>
          <cell r="AE138">
            <v>0</v>
          </cell>
          <cell r="AF138">
            <v>240000</v>
          </cell>
          <cell r="AG138">
            <v>0</v>
          </cell>
          <cell r="AH138">
            <v>0</v>
          </cell>
          <cell r="AJ138">
            <v>240000</v>
          </cell>
          <cell r="AK138">
            <v>1200000</v>
          </cell>
          <cell r="AL138">
            <v>49369520</v>
          </cell>
          <cell r="AM138">
            <v>138</v>
          </cell>
        </row>
        <row r="139">
          <cell r="A139" t="str">
            <v>박정훈</v>
          </cell>
          <cell r="B139">
            <v>9134104</v>
          </cell>
          <cell r="C139" t="str">
            <v>0002512</v>
          </cell>
          <cell r="D139" t="str">
            <v>경영지원실</v>
          </cell>
          <cell r="E139" t="str">
            <v>U/C</v>
          </cell>
          <cell r="F139" t="str">
            <v>보험금심사</v>
          </cell>
          <cell r="G139" t="str">
            <v>대리</v>
          </cell>
          <cell r="H139" t="str">
            <v>22</v>
          </cell>
          <cell r="I139" t="str">
            <v>01</v>
          </cell>
          <cell r="J139">
            <v>2201</v>
          </cell>
          <cell r="K139" t="str">
            <v>일반직</v>
          </cell>
          <cell r="L139" t="str">
            <v>G2</v>
          </cell>
          <cell r="M139" t="str">
            <v>A</v>
          </cell>
          <cell r="N139">
            <v>38787000</v>
          </cell>
          <cell r="O139">
            <v>1200000</v>
          </cell>
          <cell r="P139">
            <v>8804730</v>
          </cell>
          <cell r="Q139">
            <v>1.5</v>
          </cell>
          <cell r="R139">
            <v>38787000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1200000</v>
          </cell>
          <cell r="X139">
            <v>13207100</v>
          </cell>
          <cell r="Y139">
            <v>0</v>
          </cell>
          <cell r="Z139">
            <v>440490</v>
          </cell>
          <cell r="AA139">
            <v>0</v>
          </cell>
          <cell r="AB139">
            <v>53634590</v>
          </cell>
          <cell r="AC139">
            <v>38787000</v>
          </cell>
          <cell r="AD139">
            <v>13647590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K139">
            <v>1200000</v>
          </cell>
          <cell r="AL139">
            <v>53634590</v>
          </cell>
          <cell r="AM139">
            <v>139</v>
          </cell>
        </row>
        <row r="140">
          <cell r="A140" t="str">
            <v>이시용</v>
          </cell>
          <cell r="B140">
            <v>9134236</v>
          </cell>
          <cell r="C140" t="str">
            <v>0002512</v>
          </cell>
          <cell r="D140" t="str">
            <v>경영지원실</v>
          </cell>
          <cell r="E140" t="str">
            <v>U/C</v>
          </cell>
          <cell r="F140" t="str">
            <v>보험금심사</v>
          </cell>
          <cell r="G140" t="str">
            <v>대리</v>
          </cell>
          <cell r="H140" t="str">
            <v>22</v>
          </cell>
          <cell r="I140" t="str">
            <v>01</v>
          </cell>
          <cell r="J140">
            <v>2201</v>
          </cell>
          <cell r="K140" t="str">
            <v>일반직</v>
          </cell>
          <cell r="L140" t="str">
            <v>G2</v>
          </cell>
          <cell r="M140" t="str">
            <v>B</v>
          </cell>
          <cell r="N140">
            <v>38787000</v>
          </cell>
          <cell r="O140">
            <v>1200000</v>
          </cell>
          <cell r="P140">
            <v>8804730</v>
          </cell>
          <cell r="Q140">
            <v>1</v>
          </cell>
          <cell r="R140">
            <v>38787000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1200000</v>
          </cell>
          <cell r="X140">
            <v>8804730</v>
          </cell>
          <cell r="Y140">
            <v>0</v>
          </cell>
          <cell r="Z140">
            <v>0</v>
          </cell>
          <cell r="AA140">
            <v>0</v>
          </cell>
          <cell r="AB140">
            <v>48791730</v>
          </cell>
          <cell r="AC140">
            <v>38787000</v>
          </cell>
          <cell r="AD140">
            <v>8804730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K140">
            <v>1200000</v>
          </cell>
          <cell r="AL140">
            <v>48791730</v>
          </cell>
          <cell r="AM140">
            <v>140</v>
          </cell>
        </row>
        <row r="141">
          <cell r="A141" t="str">
            <v>이연오</v>
          </cell>
          <cell r="B141">
            <v>9131989</v>
          </cell>
          <cell r="C141" t="str">
            <v>0002512</v>
          </cell>
          <cell r="D141" t="str">
            <v>경영지원실</v>
          </cell>
          <cell r="E141" t="str">
            <v>U/C</v>
          </cell>
          <cell r="F141" t="str">
            <v>보험금심사</v>
          </cell>
          <cell r="G141" t="str">
            <v>차장</v>
          </cell>
          <cell r="H141" t="str">
            <v>21</v>
          </cell>
          <cell r="I141" t="str">
            <v>01</v>
          </cell>
          <cell r="J141">
            <v>2101</v>
          </cell>
          <cell r="K141" t="str">
            <v>일반직</v>
          </cell>
          <cell r="L141" t="str">
            <v>G1</v>
          </cell>
          <cell r="M141" t="str">
            <v>A</v>
          </cell>
          <cell r="N141">
            <v>45930000</v>
          </cell>
          <cell r="O141">
            <v>1200000</v>
          </cell>
          <cell r="P141">
            <v>12018210</v>
          </cell>
          <cell r="Q141">
            <v>1.5</v>
          </cell>
          <cell r="R141">
            <v>45930000</v>
          </cell>
          <cell r="S141">
            <v>5000000</v>
          </cell>
          <cell r="T141">
            <v>0</v>
          </cell>
          <cell r="U141">
            <v>0</v>
          </cell>
          <cell r="V141">
            <v>0</v>
          </cell>
          <cell r="W141">
            <v>1200000</v>
          </cell>
          <cell r="X141">
            <v>18027320</v>
          </cell>
          <cell r="Y141">
            <v>-586200</v>
          </cell>
          <cell r="Z141">
            <v>444520</v>
          </cell>
          <cell r="AA141">
            <v>0</v>
          </cell>
          <cell r="AB141">
            <v>70015640</v>
          </cell>
          <cell r="AC141">
            <v>45930000</v>
          </cell>
          <cell r="AD141">
            <v>17885640</v>
          </cell>
          <cell r="AE141">
            <v>5000000</v>
          </cell>
          <cell r="AF141">
            <v>0</v>
          </cell>
          <cell r="AG141">
            <v>0</v>
          </cell>
          <cell r="AH141">
            <v>0</v>
          </cell>
          <cell r="AK141">
            <v>1200000</v>
          </cell>
          <cell r="AL141">
            <v>70015640</v>
          </cell>
          <cell r="AM141">
            <v>141</v>
          </cell>
        </row>
        <row r="142">
          <cell r="A142" t="str">
            <v>오세일</v>
          </cell>
          <cell r="B142">
            <v>9132926</v>
          </cell>
          <cell r="C142" t="str">
            <v>0002512</v>
          </cell>
          <cell r="D142" t="str">
            <v>경영지원실</v>
          </cell>
          <cell r="E142" t="str">
            <v>U/C</v>
          </cell>
          <cell r="F142" t="str">
            <v>계약심사</v>
          </cell>
          <cell r="G142" t="str">
            <v>과장</v>
          </cell>
          <cell r="H142" t="str">
            <v>21</v>
          </cell>
          <cell r="I142" t="str">
            <v>01</v>
          </cell>
          <cell r="J142">
            <v>2101</v>
          </cell>
          <cell r="K142" t="str">
            <v>일반직</v>
          </cell>
          <cell r="L142" t="str">
            <v>G1</v>
          </cell>
          <cell r="M142" t="str">
            <v>A</v>
          </cell>
          <cell r="N142">
            <v>45810000</v>
          </cell>
          <cell r="O142">
            <v>1200000</v>
          </cell>
          <cell r="P142">
            <v>11591330</v>
          </cell>
          <cell r="Q142">
            <v>1.5</v>
          </cell>
          <cell r="R142">
            <v>45810000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1200000</v>
          </cell>
          <cell r="X142">
            <v>17387000</v>
          </cell>
          <cell r="Y142">
            <v>-586200</v>
          </cell>
          <cell r="Z142">
            <v>444520</v>
          </cell>
          <cell r="AA142">
            <v>0</v>
          </cell>
          <cell r="AB142">
            <v>64255320</v>
          </cell>
          <cell r="AC142">
            <v>45810000</v>
          </cell>
          <cell r="AD142">
            <v>17245320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K142">
            <v>1200000</v>
          </cell>
          <cell r="AL142">
            <v>64255320</v>
          </cell>
          <cell r="AM142">
            <v>142</v>
          </cell>
        </row>
        <row r="143">
          <cell r="A143" t="str">
            <v>한정주</v>
          </cell>
          <cell r="B143">
            <v>9133167</v>
          </cell>
          <cell r="C143" t="str">
            <v>0002512</v>
          </cell>
          <cell r="D143" t="str">
            <v>경영지원실</v>
          </cell>
          <cell r="E143" t="str">
            <v>U/C</v>
          </cell>
          <cell r="F143" t="str">
            <v>계약심사</v>
          </cell>
          <cell r="G143" t="str">
            <v>과장</v>
          </cell>
          <cell r="H143" t="str">
            <v>21</v>
          </cell>
          <cell r="I143" t="str">
            <v>01</v>
          </cell>
          <cell r="J143">
            <v>2101</v>
          </cell>
          <cell r="K143" t="str">
            <v>일반직</v>
          </cell>
          <cell r="L143" t="str">
            <v>G1</v>
          </cell>
          <cell r="M143" t="str">
            <v>B</v>
          </cell>
          <cell r="N143">
            <v>45810000</v>
          </cell>
          <cell r="O143">
            <v>1200000</v>
          </cell>
          <cell r="P143">
            <v>11449030</v>
          </cell>
          <cell r="Q143">
            <v>1</v>
          </cell>
          <cell r="R143">
            <v>45810000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1200000</v>
          </cell>
          <cell r="X143">
            <v>11449030</v>
          </cell>
          <cell r="Y143">
            <v>-586200</v>
          </cell>
          <cell r="Z143">
            <v>0</v>
          </cell>
          <cell r="AA143">
            <v>0</v>
          </cell>
          <cell r="AB143">
            <v>57872830</v>
          </cell>
          <cell r="AC143">
            <v>45810000</v>
          </cell>
          <cell r="AD143">
            <v>10862830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K143">
            <v>1200000</v>
          </cell>
          <cell r="AL143">
            <v>57872830</v>
          </cell>
          <cell r="AM143">
            <v>143</v>
          </cell>
        </row>
        <row r="144">
          <cell r="A144" t="str">
            <v>김병민</v>
          </cell>
          <cell r="B144">
            <v>9133493</v>
          </cell>
          <cell r="C144" t="str">
            <v>0002512</v>
          </cell>
          <cell r="D144" t="str">
            <v>경영지원실</v>
          </cell>
          <cell r="E144" t="str">
            <v>U/C</v>
          </cell>
          <cell r="F144" t="str">
            <v>계약심사</v>
          </cell>
          <cell r="G144" t="str">
            <v>과장</v>
          </cell>
          <cell r="H144" t="str">
            <v>21</v>
          </cell>
          <cell r="I144" t="str">
            <v>01</v>
          </cell>
          <cell r="J144">
            <v>2101</v>
          </cell>
          <cell r="K144" t="str">
            <v>일반직</v>
          </cell>
          <cell r="L144" t="str">
            <v>G1</v>
          </cell>
          <cell r="M144" t="str">
            <v>B</v>
          </cell>
          <cell r="N144">
            <v>45810000</v>
          </cell>
          <cell r="O144">
            <v>1200000</v>
          </cell>
          <cell r="P144">
            <v>11306740</v>
          </cell>
          <cell r="Q144">
            <v>1</v>
          </cell>
          <cell r="R144">
            <v>45810000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1200000</v>
          </cell>
          <cell r="X144">
            <v>11306740</v>
          </cell>
          <cell r="Y144">
            <v>-586200</v>
          </cell>
          <cell r="Z144">
            <v>0</v>
          </cell>
          <cell r="AA144">
            <v>0</v>
          </cell>
          <cell r="AB144">
            <v>57730540</v>
          </cell>
          <cell r="AC144">
            <v>45810000</v>
          </cell>
          <cell r="AD144">
            <v>10720540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K144">
            <v>1200000</v>
          </cell>
          <cell r="AL144">
            <v>57730540</v>
          </cell>
          <cell r="AM144">
            <v>144</v>
          </cell>
        </row>
        <row r="145">
          <cell r="A145" t="str">
            <v>손남일</v>
          </cell>
          <cell r="B145">
            <v>9133531</v>
          </cell>
          <cell r="C145" t="str">
            <v>0002512</v>
          </cell>
          <cell r="D145" t="str">
            <v>경영지원실</v>
          </cell>
          <cell r="E145" t="str">
            <v>U/C</v>
          </cell>
          <cell r="F145" t="str">
            <v>보험금심사</v>
          </cell>
          <cell r="G145" t="str">
            <v>과장</v>
          </cell>
          <cell r="H145" t="str">
            <v>21</v>
          </cell>
          <cell r="I145" t="str">
            <v>01</v>
          </cell>
          <cell r="J145">
            <v>2101</v>
          </cell>
          <cell r="K145" t="str">
            <v>일반직</v>
          </cell>
          <cell r="L145" t="str">
            <v>G1</v>
          </cell>
          <cell r="M145" t="str">
            <v>B</v>
          </cell>
          <cell r="N145">
            <v>45810000</v>
          </cell>
          <cell r="O145">
            <v>1200000</v>
          </cell>
          <cell r="P145">
            <v>11306740</v>
          </cell>
          <cell r="Q145">
            <v>1</v>
          </cell>
          <cell r="R145">
            <v>45810000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1200000</v>
          </cell>
          <cell r="X145">
            <v>11306740</v>
          </cell>
          <cell r="Y145">
            <v>-586200</v>
          </cell>
          <cell r="Z145">
            <v>0</v>
          </cell>
          <cell r="AA145">
            <v>0</v>
          </cell>
          <cell r="AB145">
            <v>57730540</v>
          </cell>
          <cell r="AC145">
            <v>45810000</v>
          </cell>
          <cell r="AD145">
            <v>10720540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K145">
            <v>1200000</v>
          </cell>
          <cell r="AL145">
            <v>57730540</v>
          </cell>
          <cell r="AM145">
            <v>145</v>
          </cell>
        </row>
        <row r="146">
          <cell r="A146" t="str">
            <v>류하각</v>
          </cell>
          <cell r="B146">
            <v>9132420</v>
          </cell>
          <cell r="C146" t="str">
            <v>0002512</v>
          </cell>
          <cell r="D146" t="str">
            <v>경영지원실</v>
          </cell>
          <cell r="E146" t="str">
            <v>U/C</v>
          </cell>
          <cell r="F146" t="str">
            <v>계약심사</v>
          </cell>
          <cell r="G146" t="str">
            <v>과장</v>
          </cell>
          <cell r="H146" t="str">
            <v>21</v>
          </cell>
          <cell r="I146" t="str">
            <v>01</v>
          </cell>
          <cell r="J146">
            <v>2101</v>
          </cell>
          <cell r="K146" t="str">
            <v>일반직</v>
          </cell>
          <cell r="L146" t="str">
            <v>G1</v>
          </cell>
          <cell r="M146" t="str">
            <v>C</v>
          </cell>
          <cell r="N146">
            <v>45810000</v>
          </cell>
          <cell r="O146">
            <v>1200000</v>
          </cell>
          <cell r="P146">
            <v>11733620</v>
          </cell>
          <cell r="Q146">
            <v>0.5</v>
          </cell>
          <cell r="R146">
            <v>45810000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1200000</v>
          </cell>
          <cell r="X146">
            <v>5866810</v>
          </cell>
          <cell r="Y146">
            <v>-586200</v>
          </cell>
          <cell r="Z146">
            <v>0</v>
          </cell>
          <cell r="AA146">
            <v>0</v>
          </cell>
          <cell r="AB146">
            <v>52290610</v>
          </cell>
          <cell r="AC146">
            <v>45810000</v>
          </cell>
          <cell r="AD146">
            <v>5280610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K146">
            <v>1200000</v>
          </cell>
          <cell r="AL146">
            <v>52290610</v>
          </cell>
          <cell r="AM146">
            <v>146</v>
          </cell>
        </row>
        <row r="147">
          <cell r="A147" t="str">
            <v>송원주</v>
          </cell>
          <cell r="B147">
            <v>9133540</v>
          </cell>
          <cell r="C147" t="str">
            <v>0002512</v>
          </cell>
          <cell r="D147" t="str">
            <v>경영지원실</v>
          </cell>
          <cell r="E147" t="str">
            <v>U/C</v>
          </cell>
          <cell r="F147" t="str">
            <v>보험사고특별조사팀</v>
          </cell>
          <cell r="G147" t="str">
            <v>과장</v>
          </cell>
          <cell r="H147" t="str">
            <v>21</v>
          </cell>
          <cell r="I147" t="str">
            <v>01</v>
          </cell>
          <cell r="J147">
            <v>2101</v>
          </cell>
          <cell r="K147" t="str">
            <v>일반직</v>
          </cell>
          <cell r="L147" t="str">
            <v>G1</v>
          </cell>
          <cell r="M147" t="str">
            <v>B</v>
          </cell>
          <cell r="N147">
            <v>45810000</v>
          </cell>
          <cell r="O147">
            <v>1440000</v>
          </cell>
          <cell r="P147">
            <v>11306740</v>
          </cell>
          <cell r="Q147">
            <v>1</v>
          </cell>
          <cell r="R147">
            <v>45810000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1440000</v>
          </cell>
          <cell r="X147">
            <v>11306740</v>
          </cell>
          <cell r="Y147">
            <v>-586200</v>
          </cell>
          <cell r="Z147">
            <v>0</v>
          </cell>
          <cell r="AA147">
            <v>0</v>
          </cell>
          <cell r="AB147">
            <v>57970540</v>
          </cell>
          <cell r="AC147">
            <v>45810000</v>
          </cell>
          <cell r="AD147">
            <v>10720540</v>
          </cell>
          <cell r="AE147">
            <v>0</v>
          </cell>
          <cell r="AF147">
            <v>240000</v>
          </cell>
          <cell r="AG147">
            <v>0</v>
          </cell>
          <cell r="AH147">
            <v>0</v>
          </cell>
          <cell r="AJ147">
            <v>240000</v>
          </cell>
          <cell r="AK147">
            <v>1200000</v>
          </cell>
          <cell r="AL147">
            <v>57970540</v>
          </cell>
          <cell r="AM147">
            <v>147</v>
          </cell>
        </row>
        <row r="148">
          <cell r="A148" t="str">
            <v>강의정</v>
          </cell>
          <cell r="B148">
            <v>9134309</v>
          </cell>
          <cell r="C148" t="str">
            <v>0002514</v>
          </cell>
          <cell r="D148" t="str">
            <v>경영지원실</v>
          </cell>
          <cell r="E148" t="str">
            <v>고객서비스</v>
          </cell>
          <cell r="F148" t="str">
            <v>수금관리</v>
          </cell>
          <cell r="G148" t="str">
            <v>주임</v>
          </cell>
          <cell r="H148" t="str">
            <v>41</v>
          </cell>
          <cell r="I148" t="str">
            <v>10</v>
          </cell>
          <cell r="J148">
            <v>4110</v>
          </cell>
          <cell r="K148" t="str">
            <v>사무직</v>
          </cell>
          <cell r="L148" t="str">
            <v>G3</v>
          </cell>
          <cell r="M148" t="str">
            <v>B</v>
          </cell>
          <cell r="N148">
            <v>30570010</v>
          </cell>
          <cell r="O148">
            <v>1200000</v>
          </cell>
          <cell r="P148">
            <v>5086000</v>
          </cell>
          <cell r="Q148">
            <v>1</v>
          </cell>
          <cell r="R148">
            <v>30570010</v>
          </cell>
          <cell r="S148">
            <v>5000000</v>
          </cell>
          <cell r="T148">
            <v>0</v>
          </cell>
          <cell r="U148">
            <v>0</v>
          </cell>
          <cell r="V148">
            <v>0</v>
          </cell>
          <cell r="W148">
            <v>1200000</v>
          </cell>
          <cell r="X148">
            <v>5086000</v>
          </cell>
          <cell r="Y148">
            <v>0</v>
          </cell>
          <cell r="Z148">
            <v>0</v>
          </cell>
          <cell r="AA148">
            <v>0</v>
          </cell>
          <cell r="AB148">
            <v>41856010</v>
          </cell>
          <cell r="AC148">
            <v>30570010</v>
          </cell>
          <cell r="AD148">
            <v>5086000</v>
          </cell>
          <cell r="AE148">
            <v>5000000</v>
          </cell>
          <cell r="AF148">
            <v>0</v>
          </cell>
          <cell r="AG148">
            <v>0</v>
          </cell>
          <cell r="AH148">
            <v>0</v>
          </cell>
          <cell r="AK148">
            <v>1200000</v>
          </cell>
          <cell r="AL148">
            <v>41856010</v>
          </cell>
          <cell r="AM148">
            <v>148</v>
          </cell>
        </row>
        <row r="149">
          <cell r="A149" t="str">
            <v>양주연</v>
          </cell>
          <cell r="B149">
            <v>9133752</v>
          </cell>
          <cell r="C149" t="str">
            <v>0002514</v>
          </cell>
          <cell r="D149" t="str">
            <v>경영지원실</v>
          </cell>
          <cell r="E149" t="str">
            <v>고객서비스</v>
          </cell>
          <cell r="F149" t="str">
            <v>수금관리</v>
          </cell>
          <cell r="G149" t="str">
            <v>주임</v>
          </cell>
          <cell r="H149" t="str">
            <v>41</v>
          </cell>
          <cell r="I149" t="str">
            <v>10</v>
          </cell>
          <cell r="J149">
            <v>4110</v>
          </cell>
          <cell r="K149" t="str">
            <v>사무직</v>
          </cell>
          <cell r="L149" t="str">
            <v>G3</v>
          </cell>
          <cell r="M149" t="str">
            <v>C</v>
          </cell>
          <cell r="N149">
            <v>30659940</v>
          </cell>
          <cell r="O149">
            <v>1200000</v>
          </cell>
          <cell r="P149">
            <v>5086000</v>
          </cell>
          <cell r="Q149">
            <v>0.5</v>
          </cell>
          <cell r="R149">
            <v>30659940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1200000</v>
          </cell>
          <cell r="X149">
            <v>2543000</v>
          </cell>
          <cell r="Y149">
            <v>0</v>
          </cell>
          <cell r="Z149">
            <v>0</v>
          </cell>
          <cell r="AA149">
            <v>0</v>
          </cell>
          <cell r="AB149">
            <v>34402940</v>
          </cell>
          <cell r="AC149">
            <v>30659940</v>
          </cell>
          <cell r="AD149">
            <v>2543000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K149">
            <v>1200000</v>
          </cell>
          <cell r="AL149">
            <v>34402940</v>
          </cell>
          <cell r="AM149">
            <v>149</v>
          </cell>
        </row>
        <row r="150">
          <cell r="A150" t="str">
            <v>김주영</v>
          </cell>
          <cell r="B150">
            <v>9134503</v>
          </cell>
          <cell r="C150" t="str">
            <v>0002514</v>
          </cell>
          <cell r="D150" t="str">
            <v>경영지원실</v>
          </cell>
          <cell r="E150" t="str">
            <v>고객서비스</v>
          </cell>
          <cell r="F150" t="str">
            <v>보험금지급</v>
          </cell>
          <cell r="G150" t="str">
            <v>사원</v>
          </cell>
          <cell r="H150" t="str">
            <v>41</v>
          </cell>
          <cell r="I150" t="str">
            <v>09</v>
          </cell>
          <cell r="J150">
            <v>4109</v>
          </cell>
          <cell r="K150" t="str">
            <v>사무직</v>
          </cell>
          <cell r="L150" t="str">
            <v>G3</v>
          </cell>
          <cell r="M150" t="str">
            <v>S</v>
          </cell>
          <cell r="N150">
            <v>29911220</v>
          </cell>
          <cell r="O150">
            <v>1440000</v>
          </cell>
          <cell r="P150">
            <v>5006000</v>
          </cell>
          <cell r="Q150">
            <v>2</v>
          </cell>
          <cell r="R150">
            <v>29911220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1440000</v>
          </cell>
          <cell r="X150">
            <v>10012000</v>
          </cell>
          <cell r="Y150">
            <v>0</v>
          </cell>
          <cell r="Z150">
            <v>0</v>
          </cell>
          <cell r="AA150">
            <v>0</v>
          </cell>
          <cell r="AB150">
            <v>41363220</v>
          </cell>
          <cell r="AC150">
            <v>29911220</v>
          </cell>
          <cell r="AD150">
            <v>10012000</v>
          </cell>
          <cell r="AE150">
            <v>0</v>
          </cell>
          <cell r="AF150">
            <v>240000</v>
          </cell>
          <cell r="AG150">
            <v>0</v>
          </cell>
          <cell r="AH150">
            <v>0</v>
          </cell>
          <cell r="AI150">
            <v>240000</v>
          </cell>
          <cell r="AJ150">
            <v>0</v>
          </cell>
          <cell r="AK150">
            <v>1200000</v>
          </cell>
          <cell r="AL150">
            <v>41363220</v>
          </cell>
          <cell r="AM150">
            <v>150</v>
          </cell>
        </row>
        <row r="151">
          <cell r="A151" t="str">
            <v>최미영</v>
          </cell>
          <cell r="B151">
            <v>9133884</v>
          </cell>
          <cell r="C151" t="str">
            <v>0002514</v>
          </cell>
          <cell r="D151" t="str">
            <v>경영지원실</v>
          </cell>
          <cell r="E151" t="str">
            <v>고객서비스</v>
          </cell>
          <cell r="F151" t="str">
            <v>수금관리</v>
          </cell>
          <cell r="G151" t="str">
            <v>사원</v>
          </cell>
          <cell r="H151" t="str">
            <v>41</v>
          </cell>
          <cell r="I151" t="str">
            <v>08</v>
          </cell>
          <cell r="J151">
            <v>4108</v>
          </cell>
          <cell r="K151" t="str">
            <v>사무직</v>
          </cell>
          <cell r="L151" t="str">
            <v>G3</v>
          </cell>
          <cell r="M151" t="str">
            <v>B</v>
          </cell>
          <cell r="N151">
            <v>29669680</v>
          </cell>
          <cell r="O151">
            <v>1200000</v>
          </cell>
          <cell r="P151">
            <v>4926000</v>
          </cell>
          <cell r="Q151">
            <v>1</v>
          </cell>
          <cell r="R151">
            <v>29669680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1200000</v>
          </cell>
          <cell r="X151">
            <v>4926000</v>
          </cell>
          <cell r="Y151">
            <v>0</v>
          </cell>
          <cell r="Z151">
            <v>0</v>
          </cell>
          <cell r="AA151">
            <v>0</v>
          </cell>
          <cell r="AB151">
            <v>35795680</v>
          </cell>
          <cell r="AC151">
            <v>29669680</v>
          </cell>
          <cell r="AD151">
            <v>4926000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K151">
            <v>1200000</v>
          </cell>
          <cell r="AL151">
            <v>35795680</v>
          </cell>
          <cell r="AM151">
            <v>151</v>
          </cell>
        </row>
        <row r="152">
          <cell r="A152" t="str">
            <v>박혜정</v>
          </cell>
          <cell r="B152">
            <v>9134724</v>
          </cell>
          <cell r="C152" t="str">
            <v>0002514</v>
          </cell>
          <cell r="D152" t="str">
            <v>경영지원실</v>
          </cell>
          <cell r="E152" t="str">
            <v>고객서비스</v>
          </cell>
          <cell r="F152" t="str">
            <v>보험금지급</v>
          </cell>
          <cell r="G152" t="str">
            <v>사원</v>
          </cell>
          <cell r="H152" t="str">
            <v>41</v>
          </cell>
          <cell r="I152" t="str">
            <v>08</v>
          </cell>
          <cell r="J152">
            <v>4108</v>
          </cell>
          <cell r="K152" t="str">
            <v>사무직</v>
          </cell>
          <cell r="L152" t="str">
            <v>G3</v>
          </cell>
          <cell r="M152" t="str">
            <v>A</v>
          </cell>
          <cell r="N152">
            <v>29375060</v>
          </cell>
          <cell r="O152">
            <v>1440000</v>
          </cell>
          <cell r="P152">
            <v>4926000</v>
          </cell>
          <cell r="Q152">
            <v>1.5</v>
          </cell>
          <cell r="R152">
            <v>29375060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1440000</v>
          </cell>
          <cell r="X152">
            <v>7389000</v>
          </cell>
          <cell r="Y152">
            <v>0</v>
          </cell>
          <cell r="Z152">
            <v>0</v>
          </cell>
          <cell r="AA152">
            <v>0</v>
          </cell>
          <cell r="AB152">
            <v>38204060</v>
          </cell>
          <cell r="AC152">
            <v>29375060</v>
          </cell>
          <cell r="AD152">
            <v>7389000</v>
          </cell>
          <cell r="AE152">
            <v>0</v>
          </cell>
          <cell r="AF152">
            <v>240000</v>
          </cell>
          <cell r="AG152">
            <v>0</v>
          </cell>
          <cell r="AH152">
            <v>0</v>
          </cell>
          <cell r="AI152">
            <v>240000</v>
          </cell>
          <cell r="AJ152">
            <v>0</v>
          </cell>
          <cell r="AK152">
            <v>1200000</v>
          </cell>
          <cell r="AL152">
            <v>38204060</v>
          </cell>
          <cell r="AM152">
            <v>152</v>
          </cell>
        </row>
        <row r="153">
          <cell r="A153" t="str">
            <v>정찬녀</v>
          </cell>
          <cell r="B153">
            <v>9131857</v>
          </cell>
          <cell r="C153" t="str">
            <v>0002514</v>
          </cell>
          <cell r="D153" t="str">
            <v>경영지원실</v>
          </cell>
          <cell r="E153" t="str">
            <v>고객서비스</v>
          </cell>
          <cell r="F153" t="str">
            <v>보험금지급</v>
          </cell>
          <cell r="G153" t="str">
            <v>대리</v>
          </cell>
          <cell r="H153" t="str">
            <v>31</v>
          </cell>
          <cell r="I153" t="str">
            <v>03</v>
          </cell>
          <cell r="J153">
            <v>3103</v>
          </cell>
          <cell r="K153" t="str">
            <v>사무직</v>
          </cell>
          <cell r="L153" t="str">
            <v>G3</v>
          </cell>
          <cell r="M153" t="str">
            <v>B</v>
          </cell>
          <cell r="N153">
            <v>37624660</v>
          </cell>
          <cell r="O153">
            <v>1440000</v>
          </cell>
          <cell r="P153">
            <v>6182000</v>
          </cell>
          <cell r="Q153">
            <v>1</v>
          </cell>
          <cell r="R153">
            <v>37624660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1440000</v>
          </cell>
          <cell r="X153">
            <v>6182000</v>
          </cell>
          <cell r="Y153">
            <v>0</v>
          </cell>
          <cell r="Z153">
            <v>0</v>
          </cell>
          <cell r="AA153">
            <v>0</v>
          </cell>
          <cell r="AB153">
            <v>45246660</v>
          </cell>
          <cell r="AC153">
            <v>37624660</v>
          </cell>
          <cell r="AD153">
            <v>6182000</v>
          </cell>
          <cell r="AE153">
            <v>0</v>
          </cell>
          <cell r="AF153">
            <v>240000</v>
          </cell>
          <cell r="AG153">
            <v>0</v>
          </cell>
          <cell r="AH153">
            <v>0</v>
          </cell>
          <cell r="AI153">
            <v>240000</v>
          </cell>
          <cell r="AJ153">
            <v>0</v>
          </cell>
          <cell r="AK153">
            <v>1200000</v>
          </cell>
          <cell r="AL153">
            <v>45246660</v>
          </cell>
          <cell r="AM153">
            <v>153</v>
          </cell>
        </row>
        <row r="154">
          <cell r="A154" t="str">
            <v>박상편</v>
          </cell>
          <cell r="B154">
            <v>9133230</v>
          </cell>
          <cell r="C154" t="str">
            <v>0002514</v>
          </cell>
          <cell r="D154" t="str">
            <v>경영지원실</v>
          </cell>
          <cell r="E154" t="str">
            <v>고객서비스</v>
          </cell>
          <cell r="F154" t="str">
            <v>보험금지급</v>
          </cell>
          <cell r="G154" t="str">
            <v>과장</v>
          </cell>
          <cell r="H154" t="str">
            <v>22</v>
          </cell>
          <cell r="I154" t="str">
            <v>04</v>
          </cell>
          <cell r="J154">
            <v>2204</v>
          </cell>
          <cell r="K154" t="str">
            <v>일반직</v>
          </cell>
          <cell r="L154" t="str">
            <v>G2</v>
          </cell>
          <cell r="M154" t="str">
            <v>B</v>
          </cell>
          <cell r="N154">
            <v>39606000</v>
          </cell>
          <cell r="O154">
            <v>1200000</v>
          </cell>
          <cell r="P154">
            <v>9246440</v>
          </cell>
          <cell r="Q154">
            <v>1</v>
          </cell>
          <cell r="R154">
            <v>39606000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1200000</v>
          </cell>
          <cell r="X154">
            <v>9246440</v>
          </cell>
          <cell r="Y154">
            <v>0</v>
          </cell>
          <cell r="Z154">
            <v>0</v>
          </cell>
          <cell r="AA154">
            <v>0</v>
          </cell>
          <cell r="AB154">
            <v>50052440</v>
          </cell>
          <cell r="AC154">
            <v>39606000</v>
          </cell>
          <cell r="AD154">
            <v>9246440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K154">
            <v>1200000</v>
          </cell>
          <cell r="AL154">
            <v>50052440</v>
          </cell>
          <cell r="AM154">
            <v>154</v>
          </cell>
        </row>
        <row r="155">
          <cell r="A155" t="str">
            <v>이호성</v>
          </cell>
          <cell r="B155">
            <v>9134627</v>
          </cell>
          <cell r="C155" t="str">
            <v>0002514</v>
          </cell>
          <cell r="D155" t="str">
            <v>경영지원실</v>
          </cell>
          <cell r="E155" t="str">
            <v>고객서비스</v>
          </cell>
          <cell r="F155" t="str">
            <v>보험금지급</v>
          </cell>
          <cell r="G155" t="str">
            <v>대리</v>
          </cell>
          <cell r="H155" t="str">
            <v>22</v>
          </cell>
          <cell r="I155" t="str">
            <v>03</v>
          </cell>
          <cell r="J155">
            <v>2203</v>
          </cell>
          <cell r="K155" t="str">
            <v>일반직</v>
          </cell>
          <cell r="L155" t="str">
            <v>G2</v>
          </cell>
          <cell r="M155" t="str">
            <v>C</v>
          </cell>
          <cell r="N155">
            <v>39213000</v>
          </cell>
          <cell r="O155">
            <v>1200000</v>
          </cell>
          <cell r="P155">
            <v>8811480</v>
          </cell>
          <cell r="Q155">
            <v>0.5</v>
          </cell>
          <cell r="R155">
            <v>39213000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1200000</v>
          </cell>
          <cell r="X155">
            <v>4405740</v>
          </cell>
          <cell r="Y155">
            <v>0</v>
          </cell>
          <cell r="Z155">
            <v>0</v>
          </cell>
          <cell r="AA155">
            <v>0</v>
          </cell>
          <cell r="AB155">
            <v>44818740</v>
          </cell>
          <cell r="AC155">
            <v>39213000</v>
          </cell>
          <cell r="AD155">
            <v>4405740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K155">
            <v>1200000</v>
          </cell>
          <cell r="AL155">
            <v>44818740</v>
          </cell>
          <cell r="AM155">
            <v>155</v>
          </cell>
        </row>
        <row r="156">
          <cell r="A156" t="str">
            <v>김동지</v>
          </cell>
          <cell r="B156">
            <v>9134180</v>
          </cell>
          <cell r="C156" t="str">
            <v>0002514</v>
          </cell>
          <cell r="D156" t="str">
            <v>경영지원실</v>
          </cell>
          <cell r="E156" t="str">
            <v>고객서비스</v>
          </cell>
          <cell r="F156" t="str">
            <v>수금관리</v>
          </cell>
          <cell r="G156" t="str">
            <v>대리</v>
          </cell>
          <cell r="H156" t="str">
            <v>22</v>
          </cell>
          <cell r="I156" t="str">
            <v>02</v>
          </cell>
          <cell r="J156">
            <v>2202</v>
          </cell>
          <cell r="K156" t="str">
            <v>일반직</v>
          </cell>
          <cell r="L156" t="str">
            <v>G2</v>
          </cell>
          <cell r="M156" t="str">
            <v>S</v>
          </cell>
          <cell r="N156">
            <v>39060000</v>
          </cell>
          <cell r="O156">
            <v>1200000</v>
          </cell>
          <cell r="P156">
            <v>8869520</v>
          </cell>
          <cell r="Q156">
            <v>2</v>
          </cell>
          <cell r="R156">
            <v>39060000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1200000</v>
          </cell>
          <cell r="X156">
            <v>17739040</v>
          </cell>
          <cell r="Y156">
            <v>0</v>
          </cell>
          <cell r="Z156">
            <v>587320</v>
          </cell>
          <cell r="AA156">
            <v>0</v>
          </cell>
          <cell r="AB156">
            <v>58586360</v>
          </cell>
          <cell r="AC156">
            <v>39060000</v>
          </cell>
          <cell r="AD156">
            <v>18326360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K156">
            <v>1200000</v>
          </cell>
          <cell r="AL156">
            <v>58586360</v>
          </cell>
          <cell r="AM156">
            <v>156</v>
          </cell>
        </row>
        <row r="157">
          <cell r="A157" t="str">
            <v>장명훈</v>
          </cell>
          <cell r="B157">
            <v>9133728</v>
          </cell>
          <cell r="C157" t="str">
            <v>0002514</v>
          </cell>
          <cell r="D157" t="str">
            <v>경영지원실</v>
          </cell>
          <cell r="E157" t="str">
            <v>고객서비스</v>
          </cell>
          <cell r="F157" t="str">
            <v>고객서비스</v>
          </cell>
          <cell r="G157" t="str">
            <v>대리</v>
          </cell>
          <cell r="H157" t="str">
            <v>22</v>
          </cell>
          <cell r="I157" t="str">
            <v>02</v>
          </cell>
          <cell r="J157">
            <v>2202</v>
          </cell>
          <cell r="K157" t="str">
            <v>일반직</v>
          </cell>
          <cell r="L157" t="str">
            <v>G2</v>
          </cell>
          <cell r="M157" t="str">
            <v>B</v>
          </cell>
          <cell r="N157">
            <v>39060000</v>
          </cell>
          <cell r="O157">
            <v>1200000</v>
          </cell>
          <cell r="P157">
            <v>8991480</v>
          </cell>
          <cell r="Q157">
            <v>1</v>
          </cell>
          <cell r="R157">
            <v>39060000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1200000</v>
          </cell>
          <cell r="X157">
            <v>8991480</v>
          </cell>
          <cell r="Y157">
            <v>0</v>
          </cell>
          <cell r="Z157">
            <v>0</v>
          </cell>
          <cell r="AA157">
            <v>0</v>
          </cell>
          <cell r="AB157">
            <v>49251480</v>
          </cell>
          <cell r="AC157">
            <v>39060000</v>
          </cell>
          <cell r="AD157">
            <v>8991480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K157">
            <v>1200000</v>
          </cell>
          <cell r="AL157">
            <v>49251480</v>
          </cell>
          <cell r="AM157">
            <v>157</v>
          </cell>
        </row>
        <row r="158">
          <cell r="A158" t="str">
            <v>박준성</v>
          </cell>
          <cell r="B158">
            <v>9117528</v>
          </cell>
          <cell r="C158" t="str">
            <v>0002514</v>
          </cell>
          <cell r="D158" t="str">
            <v>경영지원실</v>
          </cell>
          <cell r="E158" t="str">
            <v>고객서비스</v>
          </cell>
          <cell r="F158" t="str">
            <v>수금관리</v>
          </cell>
          <cell r="G158" t="str">
            <v>대리</v>
          </cell>
          <cell r="H158" t="str">
            <v>22</v>
          </cell>
          <cell r="I158" t="str">
            <v>02</v>
          </cell>
          <cell r="J158">
            <v>2202</v>
          </cell>
          <cell r="K158" t="str">
            <v>일반직</v>
          </cell>
          <cell r="L158" t="str">
            <v>G2</v>
          </cell>
          <cell r="M158" t="str">
            <v>B</v>
          </cell>
          <cell r="N158">
            <v>39060000</v>
          </cell>
          <cell r="O158">
            <v>1200000</v>
          </cell>
          <cell r="P158">
            <v>8869520</v>
          </cell>
          <cell r="Q158">
            <v>1</v>
          </cell>
          <cell r="R158">
            <v>39060000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1200000</v>
          </cell>
          <cell r="X158">
            <v>8869520</v>
          </cell>
          <cell r="Y158">
            <v>0</v>
          </cell>
          <cell r="Z158">
            <v>0</v>
          </cell>
          <cell r="AA158">
            <v>0</v>
          </cell>
          <cell r="AB158">
            <v>49129520</v>
          </cell>
          <cell r="AC158">
            <v>39060000</v>
          </cell>
          <cell r="AD158">
            <v>8869520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K158">
            <v>1200000</v>
          </cell>
          <cell r="AL158">
            <v>49129520</v>
          </cell>
          <cell r="AM158">
            <v>158</v>
          </cell>
        </row>
        <row r="159">
          <cell r="A159" t="str">
            <v>최옥태</v>
          </cell>
          <cell r="B159">
            <v>9131474</v>
          </cell>
          <cell r="C159" t="str">
            <v>0002514</v>
          </cell>
          <cell r="D159" t="str">
            <v>경영지원실</v>
          </cell>
          <cell r="E159" t="str">
            <v>고객서비스</v>
          </cell>
          <cell r="F159" t="str">
            <v>고객서비스</v>
          </cell>
          <cell r="G159" t="str">
            <v>차장</v>
          </cell>
          <cell r="H159" t="str">
            <v>21</v>
          </cell>
          <cell r="I159" t="str">
            <v>01</v>
          </cell>
          <cell r="J159">
            <v>2101</v>
          </cell>
          <cell r="K159" t="str">
            <v>일반직</v>
          </cell>
          <cell r="L159" t="str">
            <v>G1</v>
          </cell>
          <cell r="M159" t="str">
            <v>B</v>
          </cell>
          <cell r="N159">
            <v>45930000</v>
          </cell>
          <cell r="O159">
            <v>1200000</v>
          </cell>
          <cell r="P159">
            <v>12302800</v>
          </cell>
          <cell r="Q159">
            <v>1</v>
          </cell>
          <cell r="R159">
            <v>45930000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1200000</v>
          </cell>
          <cell r="X159">
            <v>12302800</v>
          </cell>
          <cell r="Y159">
            <v>-586200</v>
          </cell>
          <cell r="Z159">
            <v>0</v>
          </cell>
          <cell r="AA159">
            <v>0</v>
          </cell>
          <cell r="AB159">
            <v>58846600</v>
          </cell>
          <cell r="AC159">
            <v>45930000</v>
          </cell>
          <cell r="AD159">
            <v>11716600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K159">
            <v>1200000</v>
          </cell>
          <cell r="AL159">
            <v>58846600</v>
          </cell>
          <cell r="AM159">
            <v>159</v>
          </cell>
        </row>
        <row r="160">
          <cell r="A160" t="str">
            <v>이동우</v>
          </cell>
          <cell r="B160">
            <v>9131776</v>
          </cell>
          <cell r="C160" t="str">
            <v>0002514</v>
          </cell>
          <cell r="D160" t="str">
            <v>경영지원실</v>
          </cell>
          <cell r="E160" t="str">
            <v>고객서비스</v>
          </cell>
          <cell r="F160" t="str">
            <v>고객서비스</v>
          </cell>
          <cell r="G160" t="str">
            <v>차장</v>
          </cell>
          <cell r="H160" t="str">
            <v>21</v>
          </cell>
          <cell r="I160" t="str">
            <v>01</v>
          </cell>
          <cell r="J160">
            <v>2101</v>
          </cell>
          <cell r="K160" t="str">
            <v>일반직</v>
          </cell>
          <cell r="L160" t="str">
            <v>G1</v>
          </cell>
          <cell r="M160" t="str">
            <v>B</v>
          </cell>
          <cell r="N160">
            <v>45930000</v>
          </cell>
          <cell r="O160">
            <v>1200000</v>
          </cell>
          <cell r="P160">
            <v>12018210</v>
          </cell>
          <cell r="Q160">
            <v>1</v>
          </cell>
          <cell r="R160">
            <v>45930000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1200000</v>
          </cell>
          <cell r="X160">
            <v>12018210</v>
          </cell>
          <cell r="Y160">
            <v>-586200</v>
          </cell>
          <cell r="Z160">
            <v>0</v>
          </cell>
          <cell r="AA160">
            <v>0</v>
          </cell>
          <cell r="AB160">
            <v>58562010</v>
          </cell>
          <cell r="AC160">
            <v>45930000</v>
          </cell>
          <cell r="AD160">
            <v>11432010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K160">
            <v>1200000</v>
          </cell>
          <cell r="AL160">
            <v>58562010</v>
          </cell>
          <cell r="AM160">
            <v>160</v>
          </cell>
        </row>
        <row r="161">
          <cell r="A161" t="str">
            <v>박선흥</v>
          </cell>
          <cell r="B161">
            <v>9133310</v>
          </cell>
          <cell r="C161" t="str">
            <v>0002514</v>
          </cell>
          <cell r="D161" t="str">
            <v>경영지원실</v>
          </cell>
          <cell r="E161" t="str">
            <v>고객서비스</v>
          </cell>
          <cell r="F161" t="str">
            <v>보험금지급</v>
          </cell>
          <cell r="G161" t="str">
            <v>차장</v>
          </cell>
          <cell r="H161" t="str">
            <v>21</v>
          </cell>
          <cell r="I161" t="str">
            <v>01</v>
          </cell>
          <cell r="J161">
            <v>2101</v>
          </cell>
          <cell r="K161" t="str">
            <v>일반직</v>
          </cell>
          <cell r="L161" t="str">
            <v>G1</v>
          </cell>
          <cell r="M161" t="str">
            <v>B</v>
          </cell>
          <cell r="N161">
            <v>45810000</v>
          </cell>
          <cell r="O161">
            <v>1200000</v>
          </cell>
          <cell r="P161">
            <v>11449030</v>
          </cell>
          <cell r="Q161">
            <v>1</v>
          </cell>
          <cell r="R161">
            <v>45810000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1200000</v>
          </cell>
          <cell r="X161">
            <v>11449030</v>
          </cell>
          <cell r="Y161">
            <v>-586200</v>
          </cell>
          <cell r="Z161">
            <v>0</v>
          </cell>
          <cell r="AA161">
            <v>0</v>
          </cell>
          <cell r="AB161">
            <v>57872830</v>
          </cell>
          <cell r="AC161">
            <v>45810000</v>
          </cell>
          <cell r="AD161">
            <v>10862830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K161">
            <v>1200000</v>
          </cell>
          <cell r="AL161">
            <v>57872830</v>
          </cell>
          <cell r="AM161">
            <v>161</v>
          </cell>
        </row>
        <row r="162">
          <cell r="A162" t="str">
            <v>최성훈</v>
          </cell>
          <cell r="B162">
            <v>9133779</v>
          </cell>
          <cell r="C162" t="str">
            <v>0002514</v>
          </cell>
          <cell r="D162" t="str">
            <v>경영지원실</v>
          </cell>
          <cell r="E162" t="str">
            <v>고객서비스</v>
          </cell>
          <cell r="F162" t="str">
            <v>고객서비스</v>
          </cell>
          <cell r="G162" t="str">
            <v>과장</v>
          </cell>
          <cell r="H162" t="str">
            <v>21</v>
          </cell>
          <cell r="I162" t="str">
            <v>01</v>
          </cell>
          <cell r="J162">
            <v>2101</v>
          </cell>
          <cell r="K162" t="str">
            <v>일반직</v>
          </cell>
          <cell r="L162" t="str">
            <v>G1</v>
          </cell>
          <cell r="M162" t="str">
            <v>B</v>
          </cell>
          <cell r="N162">
            <v>45810000</v>
          </cell>
          <cell r="O162">
            <v>1200000</v>
          </cell>
          <cell r="P162">
            <v>11306740</v>
          </cell>
          <cell r="Q162">
            <v>1</v>
          </cell>
          <cell r="R162">
            <v>45810000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1200000</v>
          </cell>
          <cell r="X162">
            <v>11306740</v>
          </cell>
          <cell r="Y162">
            <v>-586200</v>
          </cell>
          <cell r="Z162">
            <v>0</v>
          </cell>
          <cell r="AA162">
            <v>0</v>
          </cell>
          <cell r="AB162">
            <v>57730540</v>
          </cell>
          <cell r="AC162">
            <v>45810000</v>
          </cell>
          <cell r="AD162">
            <v>10720540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K162">
            <v>1200000</v>
          </cell>
          <cell r="AL162">
            <v>57730540</v>
          </cell>
          <cell r="AM162">
            <v>162</v>
          </cell>
        </row>
        <row r="163">
          <cell r="A163" t="str">
            <v>김철균</v>
          </cell>
          <cell r="B163">
            <v>9132950</v>
          </cell>
          <cell r="C163" t="str">
            <v>0002514</v>
          </cell>
          <cell r="D163" t="str">
            <v>경영지원실</v>
          </cell>
          <cell r="E163" t="str">
            <v>고객서비스</v>
          </cell>
          <cell r="F163" t="str">
            <v>고객서비스</v>
          </cell>
          <cell r="G163" t="str">
            <v>과장</v>
          </cell>
          <cell r="H163" t="str">
            <v>21</v>
          </cell>
          <cell r="I163" t="str">
            <v>01</v>
          </cell>
          <cell r="J163">
            <v>2101</v>
          </cell>
          <cell r="K163" t="str">
            <v>일반직</v>
          </cell>
          <cell r="L163" t="str">
            <v>G1</v>
          </cell>
          <cell r="M163" t="str">
            <v>D</v>
          </cell>
          <cell r="N163">
            <v>45810000</v>
          </cell>
          <cell r="O163">
            <v>1200000</v>
          </cell>
          <cell r="P163">
            <v>11591330</v>
          </cell>
          <cell r="Q163">
            <v>0</v>
          </cell>
          <cell r="R163">
            <v>45810000</v>
          </cell>
          <cell r="S163">
            <v>0</v>
          </cell>
          <cell r="T163">
            <v>0</v>
          </cell>
          <cell r="U163">
            <v>0</v>
          </cell>
          <cell r="V163">
            <v>-4581000</v>
          </cell>
          <cell r="W163">
            <v>1200000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42429000</v>
          </cell>
          <cell r="AC163">
            <v>41229000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K163">
            <v>1200000</v>
          </cell>
          <cell r="AL163">
            <v>42429000</v>
          </cell>
          <cell r="AM163">
            <v>163</v>
          </cell>
        </row>
        <row r="164">
          <cell r="A164" t="str">
            <v>이지숙</v>
          </cell>
          <cell r="B164">
            <v>9134511</v>
          </cell>
          <cell r="C164" t="str">
            <v>0002515</v>
          </cell>
          <cell r="D164" t="str">
            <v>경영지원실</v>
          </cell>
          <cell r="E164" t="str">
            <v>경리</v>
          </cell>
          <cell r="F164" t="str">
            <v>지급</v>
          </cell>
          <cell r="G164" t="str">
            <v>사원</v>
          </cell>
          <cell r="H164" t="str">
            <v>41</v>
          </cell>
          <cell r="I164" t="str">
            <v>09</v>
          </cell>
          <cell r="J164">
            <v>4109</v>
          </cell>
          <cell r="K164" t="str">
            <v>사무직</v>
          </cell>
          <cell r="L164" t="str">
            <v>G3</v>
          </cell>
          <cell r="M164" t="str">
            <v>B</v>
          </cell>
          <cell r="N164">
            <v>29911220</v>
          </cell>
          <cell r="O164">
            <v>1440000</v>
          </cell>
          <cell r="P164">
            <v>5006000</v>
          </cell>
          <cell r="Q164">
            <v>1</v>
          </cell>
          <cell r="R164">
            <v>29911220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1440000</v>
          </cell>
          <cell r="X164">
            <v>5006000</v>
          </cell>
          <cell r="Y164">
            <v>0</v>
          </cell>
          <cell r="Z164">
            <v>0</v>
          </cell>
          <cell r="AA164">
            <v>0</v>
          </cell>
          <cell r="AB164">
            <v>36357220</v>
          </cell>
          <cell r="AC164">
            <v>29911220</v>
          </cell>
          <cell r="AD164">
            <v>5006000</v>
          </cell>
          <cell r="AE164">
            <v>0</v>
          </cell>
          <cell r="AF164">
            <v>240000</v>
          </cell>
          <cell r="AG164">
            <v>0</v>
          </cell>
          <cell r="AH164">
            <v>0</v>
          </cell>
          <cell r="AI164">
            <v>240000</v>
          </cell>
          <cell r="AJ164">
            <v>0</v>
          </cell>
          <cell r="AK164">
            <v>1200000</v>
          </cell>
          <cell r="AL164">
            <v>36357220</v>
          </cell>
          <cell r="AM164">
            <v>164</v>
          </cell>
        </row>
        <row r="165">
          <cell r="A165" t="str">
            <v>권은하</v>
          </cell>
          <cell r="B165">
            <v>9132810</v>
          </cell>
          <cell r="C165" t="str">
            <v>0002515</v>
          </cell>
          <cell r="D165" t="str">
            <v>경영지원실</v>
          </cell>
          <cell r="E165" t="str">
            <v>경리</v>
          </cell>
          <cell r="F165" t="str">
            <v>대외계</v>
          </cell>
          <cell r="G165" t="str">
            <v>대리</v>
          </cell>
          <cell r="H165" t="str">
            <v>31</v>
          </cell>
          <cell r="I165" t="str">
            <v>04</v>
          </cell>
          <cell r="J165">
            <v>3104</v>
          </cell>
          <cell r="K165" t="str">
            <v>사무직</v>
          </cell>
          <cell r="L165" t="str">
            <v>G3</v>
          </cell>
          <cell r="M165" t="str">
            <v>B</v>
          </cell>
          <cell r="N165">
            <v>37362590</v>
          </cell>
          <cell r="O165">
            <v>1200000</v>
          </cell>
          <cell r="P165">
            <v>6214000</v>
          </cell>
          <cell r="Q165">
            <v>1</v>
          </cell>
          <cell r="R165">
            <v>37362590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1200000</v>
          </cell>
          <cell r="X165">
            <v>6214000</v>
          </cell>
          <cell r="Y165">
            <v>0</v>
          </cell>
          <cell r="Z165">
            <v>0</v>
          </cell>
          <cell r="AA165">
            <v>0</v>
          </cell>
          <cell r="AB165">
            <v>44776590</v>
          </cell>
          <cell r="AC165">
            <v>37362590</v>
          </cell>
          <cell r="AD165">
            <v>6214000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K165">
            <v>1200000</v>
          </cell>
          <cell r="AL165">
            <v>44776590</v>
          </cell>
          <cell r="AM165">
            <v>165</v>
          </cell>
        </row>
        <row r="166">
          <cell r="A166" t="str">
            <v>우태만</v>
          </cell>
          <cell r="B166">
            <v>9132993</v>
          </cell>
          <cell r="C166" t="str">
            <v>0002515</v>
          </cell>
          <cell r="D166" t="str">
            <v>경영지원실</v>
          </cell>
          <cell r="E166" t="str">
            <v>경리</v>
          </cell>
          <cell r="F166" t="str">
            <v>자금</v>
          </cell>
          <cell r="G166" t="str">
            <v>과장</v>
          </cell>
          <cell r="H166" t="str">
            <v>22</v>
          </cell>
          <cell r="I166" t="str">
            <v>05</v>
          </cell>
          <cell r="J166">
            <v>2205</v>
          </cell>
          <cell r="K166" t="str">
            <v>일반직</v>
          </cell>
          <cell r="L166" t="str">
            <v>G1</v>
          </cell>
          <cell r="M166" t="str">
            <v>B</v>
          </cell>
          <cell r="N166">
            <v>39795000</v>
          </cell>
          <cell r="O166">
            <v>1200000</v>
          </cell>
          <cell r="P166">
            <v>9416730</v>
          </cell>
          <cell r="Q166">
            <v>1</v>
          </cell>
          <cell r="R166">
            <v>39795000</v>
          </cell>
          <cell r="S166">
            <v>5000000</v>
          </cell>
          <cell r="T166">
            <v>0</v>
          </cell>
          <cell r="U166">
            <v>0</v>
          </cell>
          <cell r="V166">
            <v>0</v>
          </cell>
          <cell r="W166">
            <v>1200000</v>
          </cell>
          <cell r="X166">
            <v>9416730</v>
          </cell>
          <cell r="Y166">
            <v>-586200</v>
          </cell>
          <cell r="Z166">
            <v>0</v>
          </cell>
          <cell r="AA166">
            <v>0</v>
          </cell>
          <cell r="AB166">
            <v>54825530</v>
          </cell>
          <cell r="AC166">
            <v>39795000</v>
          </cell>
          <cell r="AD166">
            <v>8830530</v>
          </cell>
          <cell r="AE166">
            <v>5000000</v>
          </cell>
          <cell r="AF166">
            <v>0</v>
          </cell>
          <cell r="AG166">
            <v>0</v>
          </cell>
          <cell r="AH166">
            <v>0</v>
          </cell>
          <cell r="AK166">
            <v>1200000</v>
          </cell>
          <cell r="AL166">
            <v>54825530</v>
          </cell>
          <cell r="AM166">
            <v>166</v>
          </cell>
        </row>
        <row r="167">
          <cell r="A167" t="str">
            <v>전광일</v>
          </cell>
          <cell r="B167">
            <v>9134406</v>
          </cell>
          <cell r="C167" t="str">
            <v>0002515</v>
          </cell>
          <cell r="D167" t="str">
            <v>경영지원실</v>
          </cell>
          <cell r="E167" t="str">
            <v>경리</v>
          </cell>
          <cell r="F167" t="str">
            <v>재무보고</v>
          </cell>
          <cell r="G167" t="str">
            <v>과장</v>
          </cell>
          <cell r="H167" t="str">
            <v>22</v>
          </cell>
          <cell r="I167" t="str">
            <v>04</v>
          </cell>
          <cell r="J167">
            <v>2204</v>
          </cell>
          <cell r="K167" t="str">
            <v>일반직</v>
          </cell>
          <cell r="L167" t="str">
            <v>G2</v>
          </cell>
          <cell r="M167" t="str">
            <v>B</v>
          </cell>
          <cell r="N167">
            <v>39486000</v>
          </cell>
          <cell r="O167">
            <v>1200000</v>
          </cell>
          <cell r="P167">
            <v>8999090</v>
          </cell>
          <cell r="Q167">
            <v>1</v>
          </cell>
          <cell r="R167">
            <v>39486000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1200000</v>
          </cell>
          <cell r="X167">
            <v>8999090</v>
          </cell>
          <cell r="Y167">
            <v>0</v>
          </cell>
          <cell r="Z167">
            <v>0</v>
          </cell>
          <cell r="AA167">
            <v>0</v>
          </cell>
          <cell r="AB167">
            <v>49685090</v>
          </cell>
          <cell r="AC167">
            <v>39486000</v>
          </cell>
          <cell r="AD167">
            <v>8999090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K167">
            <v>1200000</v>
          </cell>
          <cell r="AL167">
            <v>49685090</v>
          </cell>
          <cell r="AM167">
            <v>167</v>
          </cell>
        </row>
        <row r="168">
          <cell r="A168" t="str">
            <v>이충선</v>
          </cell>
          <cell r="B168">
            <v>9132128</v>
          </cell>
          <cell r="C168" t="str">
            <v>0002515</v>
          </cell>
          <cell r="D168" t="str">
            <v>경영지원실</v>
          </cell>
          <cell r="E168" t="str">
            <v>경리</v>
          </cell>
          <cell r="F168" t="str">
            <v>재무보고</v>
          </cell>
          <cell r="G168" t="str">
            <v>차장</v>
          </cell>
          <cell r="H168" t="str">
            <v>21</v>
          </cell>
          <cell r="I168" t="str">
            <v>01</v>
          </cell>
          <cell r="J168">
            <v>2101</v>
          </cell>
          <cell r="K168" t="str">
            <v>일반직</v>
          </cell>
          <cell r="L168" t="str">
            <v>G1</v>
          </cell>
          <cell r="M168" t="str">
            <v>B</v>
          </cell>
          <cell r="N168">
            <v>45930000</v>
          </cell>
          <cell r="O168">
            <v>1200000</v>
          </cell>
          <cell r="P168">
            <v>11875920</v>
          </cell>
          <cell r="Q168">
            <v>1</v>
          </cell>
          <cell r="R168">
            <v>45930000</v>
          </cell>
          <cell r="S168">
            <v>5000000</v>
          </cell>
          <cell r="T168">
            <v>0</v>
          </cell>
          <cell r="U168">
            <v>0</v>
          </cell>
          <cell r="V168">
            <v>0</v>
          </cell>
          <cell r="W168">
            <v>1200000</v>
          </cell>
          <cell r="X168">
            <v>11875920</v>
          </cell>
          <cell r="Y168">
            <v>-586200</v>
          </cell>
          <cell r="Z168">
            <v>0</v>
          </cell>
          <cell r="AA168">
            <v>0</v>
          </cell>
          <cell r="AB168">
            <v>63419720</v>
          </cell>
          <cell r="AC168">
            <v>45930000</v>
          </cell>
          <cell r="AD168">
            <v>11289720</v>
          </cell>
          <cell r="AE168">
            <v>5000000</v>
          </cell>
          <cell r="AF168">
            <v>0</v>
          </cell>
          <cell r="AG168">
            <v>0</v>
          </cell>
          <cell r="AH168">
            <v>0</v>
          </cell>
          <cell r="AK168">
            <v>1200000</v>
          </cell>
          <cell r="AL168">
            <v>63419720</v>
          </cell>
          <cell r="AM168">
            <v>168</v>
          </cell>
        </row>
        <row r="169">
          <cell r="A169" t="str">
            <v>심기섭</v>
          </cell>
          <cell r="B169">
            <v>9131067</v>
          </cell>
          <cell r="C169" t="str">
            <v>0002515</v>
          </cell>
          <cell r="D169" t="str">
            <v>경영지원실</v>
          </cell>
          <cell r="E169" t="str">
            <v>경리</v>
          </cell>
          <cell r="F169" t="str">
            <v>팀장</v>
          </cell>
          <cell r="G169" t="str">
            <v>팀장</v>
          </cell>
          <cell r="H169" t="str">
            <v>11</v>
          </cell>
          <cell r="I169" t="str">
            <v>01</v>
          </cell>
          <cell r="J169">
            <v>1101</v>
          </cell>
          <cell r="K169" t="str">
            <v>일반직</v>
          </cell>
          <cell r="L169" t="str">
            <v>G1</v>
          </cell>
          <cell r="M169" t="str">
            <v>B</v>
          </cell>
          <cell r="N169">
            <v>59181000</v>
          </cell>
          <cell r="O169">
            <v>1200000</v>
          </cell>
          <cell r="P169">
            <v>17127190</v>
          </cell>
          <cell r="Q169">
            <v>1</v>
          </cell>
          <cell r="R169">
            <v>59181000</v>
          </cell>
          <cell r="S169">
            <v>0</v>
          </cell>
          <cell r="T169">
            <v>5000000</v>
          </cell>
          <cell r="U169">
            <v>0</v>
          </cell>
          <cell r="V169">
            <v>0</v>
          </cell>
          <cell r="W169">
            <v>1200000</v>
          </cell>
          <cell r="X169">
            <v>17127190</v>
          </cell>
          <cell r="Y169">
            <v>0</v>
          </cell>
          <cell r="Z169">
            <v>0</v>
          </cell>
          <cell r="AA169">
            <v>0</v>
          </cell>
          <cell r="AB169">
            <v>82508190</v>
          </cell>
          <cell r="AC169">
            <v>59181000</v>
          </cell>
          <cell r="AD169">
            <v>17127190</v>
          </cell>
          <cell r="AE169">
            <v>0</v>
          </cell>
          <cell r="AF169">
            <v>5000000</v>
          </cell>
          <cell r="AG169">
            <v>5000000</v>
          </cell>
          <cell r="AH169">
            <v>0</v>
          </cell>
          <cell r="AK169">
            <v>1200000</v>
          </cell>
          <cell r="AL169">
            <v>82508190</v>
          </cell>
          <cell r="AM169">
            <v>169</v>
          </cell>
        </row>
        <row r="170">
          <cell r="A170" t="str">
            <v>이호승</v>
          </cell>
          <cell r="B170">
            <v>9134937</v>
          </cell>
          <cell r="C170" t="str">
            <v>0002517</v>
          </cell>
          <cell r="D170" t="str">
            <v>경영지원실</v>
          </cell>
          <cell r="E170" t="str">
            <v>비상계획</v>
          </cell>
          <cell r="F170" t="str">
            <v>팀장</v>
          </cell>
          <cell r="G170" t="str">
            <v>팀장</v>
          </cell>
          <cell r="H170" t="str">
            <v>11</v>
          </cell>
          <cell r="I170" t="str">
            <v>01</v>
          </cell>
          <cell r="J170">
            <v>1101</v>
          </cell>
          <cell r="K170" t="str">
            <v>일반직</v>
          </cell>
          <cell r="L170" t="str">
            <v>G1</v>
          </cell>
          <cell r="M170" t="str">
            <v>B</v>
          </cell>
          <cell r="N170">
            <v>58701000</v>
          </cell>
          <cell r="O170">
            <v>1200000</v>
          </cell>
          <cell r="P170">
            <v>13662330</v>
          </cell>
          <cell r="Q170">
            <v>1</v>
          </cell>
          <cell r="R170">
            <v>58701000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1200000</v>
          </cell>
          <cell r="X170">
            <v>13662330</v>
          </cell>
          <cell r="Y170">
            <v>0</v>
          </cell>
          <cell r="Z170">
            <v>0</v>
          </cell>
          <cell r="AA170">
            <v>0</v>
          </cell>
          <cell r="AB170">
            <v>73563330</v>
          </cell>
          <cell r="AC170">
            <v>58701000</v>
          </cell>
          <cell r="AD170">
            <v>13662330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K170">
            <v>1200000</v>
          </cell>
          <cell r="AL170">
            <v>73563330</v>
          </cell>
          <cell r="AM170">
            <v>170</v>
          </cell>
        </row>
        <row r="171">
          <cell r="A171" t="str">
            <v>조상수</v>
          </cell>
          <cell r="B171">
            <v>9131083</v>
          </cell>
          <cell r="C171" t="str">
            <v>0002520</v>
          </cell>
          <cell r="D171" t="str">
            <v>감사실</v>
          </cell>
          <cell r="E171" t="str">
            <v>감사실</v>
          </cell>
          <cell r="F171" t="str">
            <v>사업부(실)장</v>
          </cell>
          <cell r="G171" t="str">
            <v>부장</v>
          </cell>
          <cell r="H171" t="str">
            <v>11</v>
          </cell>
          <cell r="I171" t="str">
            <v>01</v>
          </cell>
          <cell r="J171">
            <v>1101</v>
          </cell>
          <cell r="K171" t="str">
            <v>일반직</v>
          </cell>
          <cell r="L171" t="str">
            <v>G1</v>
          </cell>
          <cell r="M171" t="str">
            <v>B</v>
          </cell>
          <cell r="N171">
            <v>59181000</v>
          </cell>
          <cell r="O171">
            <v>1200000</v>
          </cell>
          <cell r="P171">
            <v>17127190</v>
          </cell>
          <cell r="Q171">
            <v>1</v>
          </cell>
          <cell r="R171">
            <v>59181000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1200000</v>
          </cell>
          <cell r="X171">
            <v>17127190</v>
          </cell>
          <cell r="Y171">
            <v>0</v>
          </cell>
          <cell r="Z171">
            <v>0</v>
          </cell>
          <cell r="AA171">
            <v>0</v>
          </cell>
          <cell r="AB171">
            <v>77508190</v>
          </cell>
          <cell r="AC171">
            <v>59181000</v>
          </cell>
          <cell r="AD171">
            <v>17127190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K171">
            <v>1200000</v>
          </cell>
          <cell r="AL171">
            <v>77508190</v>
          </cell>
          <cell r="AM171">
            <v>171</v>
          </cell>
        </row>
        <row r="172">
          <cell r="A172" t="str">
            <v>강성근</v>
          </cell>
          <cell r="B172">
            <v>9132152</v>
          </cell>
          <cell r="C172" t="str">
            <v>0002521</v>
          </cell>
          <cell r="D172" t="str">
            <v>감사실</v>
          </cell>
          <cell r="E172" t="str">
            <v>감사</v>
          </cell>
          <cell r="F172" t="str">
            <v>감사인</v>
          </cell>
          <cell r="G172" t="str">
            <v>차장</v>
          </cell>
          <cell r="H172" t="str">
            <v>21</v>
          </cell>
          <cell r="I172" t="str">
            <v>01</v>
          </cell>
          <cell r="J172">
            <v>2101</v>
          </cell>
          <cell r="K172" t="str">
            <v>일반직</v>
          </cell>
          <cell r="L172" t="str">
            <v>G1</v>
          </cell>
          <cell r="M172" t="str">
            <v>B</v>
          </cell>
          <cell r="N172">
            <v>45930000</v>
          </cell>
          <cell r="O172">
            <v>1200000</v>
          </cell>
          <cell r="P172">
            <v>11875920</v>
          </cell>
          <cell r="Q172">
            <v>1</v>
          </cell>
          <cell r="R172">
            <v>45930000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1200000</v>
          </cell>
          <cell r="X172">
            <v>11875920</v>
          </cell>
          <cell r="Y172">
            <v>-586200</v>
          </cell>
          <cell r="Z172">
            <v>0</v>
          </cell>
          <cell r="AA172">
            <v>0</v>
          </cell>
          <cell r="AB172">
            <v>58419720</v>
          </cell>
          <cell r="AC172">
            <v>45930000</v>
          </cell>
          <cell r="AD172">
            <v>11289720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K172">
            <v>1200000</v>
          </cell>
          <cell r="AL172">
            <v>58419720</v>
          </cell>
          <cell r="AM172">
            <v>172</v>
          </cell>
        </row>
        <row r="173">
          <cell r="A173" t="str">
            <v>이선종</v>
          </cell>
          <cell r="B173">
            <v>9132390</v>
          </cell>
          <cell r="C173" t="str">
            <v>0002521</v>
          </cell>
          <cell r="D173" t="str">
            <v>감사실</v>
          </cell>
          <cell r="E173" t="str">
            <v>감사</v>
          </cell>
          <cell r="F173" t="str">
            <v>감사인</v>
          </cell>
          <cell r="G173" t="str">
            <v>차장</v>
          </cell>
          <cell r="H173" t="str">
            <v>21</v>
          </cell>
          <cell r="I173" t="str">
            <v>01</v>
          </cell>
          <cell r="J173">
            <v>2101</v>
          </cell>
          <cell r="K173" t="str">
            <v>일반직</v>
          </cell>
          <cell r="L173" t="str">
            <v>G1</v>
          </cell>
          <cell r="M173" t="str">
            <v>B</v>
          </cell>
          <cell r="N173">
            <v>45810000</v>
          </cell>
          <cell r="O173">
            <v>1200000</v>
          </cell>
          <cell r="P173">
            <v>11733620</v>
          </cell>
          <cell r="Q173">
            <v>1</v>
          </cell>
          <cell r="R173">
            <v>45810000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1200000</v>
          </cell>
          <cell r="X173">
            <v>11733620</v>
          </cell>
          <cell r="Y173">
            <v>-586200</v>
          </cell>
          <cell r="Z173">
            <v>0</v>
          </cell>
          <cell r="AA173">
            <v>0</v>
          </cell>
          <cell r="AB173">
            <v>58157420</v>
          </cell>
          <cell r="AC173">
            <v>45810000</v>
          </cell>
          <cell r="AD173">
            <v>11147420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K173">
            <v>1200000</v>
          </cell>
          <cell r="AL173">
            <v>58157420</v>
          </cell>
          <cell r="AM173">
            <v>173</v>
          </cell>
        </row>
        <row r="174">
          <cell r="A174" t="str">
            <v>하종호</v>
          </cell>
          <cell r="B174">
            <v>9135003</v>
          </cell>
          <cell r="C174" t="str">
            <v>0002521</v>
          </cell>
          <cell r="D174" t="str">
            <v>감사실</v>
          </cell>
          <cell r="E174" t="str">
            <v>감사</v>
          </cell>
          <cell r="F174" t="str">
            <v>IT감사인</v>
          </cell>
          <cell r="G174" t="str">
            <v>과장</v>
          </cell>
          <cell r="H174" t="str">
            <v>21</v>
          </cell>
          <cell r="I174" t="str">
            <v>01</v>
          </cell>
          <cell r="J174">
            <v>2101</v>
          </cell>
          <cell r="K174" t="str">
            <v>일반직</v>
          </cell>
          <cell r="L174" t="str">
            <v>G1</v>
          </cell>
          <cell r="M174" t="str">
            <v>B</v>
          </cell>
          <cell r="N174">
            <v>45810000</v>
          </cell>
          <cell r="O174">
            <v>1200000</v>
          </cell>
          <cell r="P174">
            <v>10737550</v>
          </cell>
          <cell r="Q174">
            <v>1</v>
          </cell>
          <cell r="R174">
            <v>45810000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1200000</v>
          </cell>
          <cell r="X174">
            <v>10737550</v>
          </cell>
          <cell r="Y174">
            <v>-586200</v>
          </cell>
          <cell r="Z174">
            <v>0</v>
          </cell>
          <cell r="AA174">
            <v>0</v>
          </cell>
          <cell r="AB174">
            <v>57161350</v>
          </cell>
          <cell r="AC174">
            <v>45810000</v>
          </cell>
          <cell r="AD174">
            <v>10151350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K174">
            <v>1200000</v>
          </cell>
          <cell r="AL174">
            <v>57161350</v>
          </cell>
          <cell r="AM174">
            <v>174</v>
          </cell>
        </row>
        <row r="175">
          <cell r="A175" t="str">
            <v>서득영</v>
          </cell>
          <cell r="B175">
            <v>9131466</v>
          </cell>
          <cell r="C175" t="str">
            <v>0002521</v>
          </cell>
          <cell r="D175" t="str">
            <v>감사실</v>
          </cell>
          <cell r="E175" t="str">
            <v>감사</v>
          </cell>
          <cell r="F175" t="str">
            <v>수석감사인</v>
          </cell>
          <cell r="G175" t="str">
            <v>차장</v>
          </cell>
          <cell r="H175" t="str">
            <v>12</v>
          </cell>
          <cell r="I175" t="str">
            <v>01</v>
          </cell>
          <cell r="J175">
            <v>1201</v>
          </cell>
          <cell r="K175" t="str">
            <v>일반직</v>
          </cell>
          <cell r="L175" t="str">
            <v>G1</v>
          </cell>
          <cell r="M175" t="str">
            <v>B</v>
          </cell>
          <cell r="N175">
            <v>52057500</v>
          </cell>
          <cell r="O175">
            <v>1200000</v>
          </cell>
          <cell r="P175">
            <v>13831320</v>
          </cell>
          <cell r="Q175">
            <v>1</v>
          </cell>
          <cell r="R175">
            <v>52057500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1200000</v>
          </cell>
          <cell r="X175">
            <v>13831320</v>
          </cell>
          <cell r="Y175">
            <v>-586200</v>
          </cell>
          <cell r="Z175">
            <v>0</v>
          </cell>
          <cell r="AA175">
            <v>0</v>
          </cell>
          <cell r="AB175">
            <v>66502620</v>
          </cell>
          <cell r="AC175">
            <v>52057500</v>
          </cell>
          <cell r="AD175">
            <v>13245120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K175">
            <v>1200000</v>
          </cell>
          <cell r="AL175">
            <v>66502620</v>
          </cell>
          <cell r="AM175">
            <v>175</v>
          </cell>
        </row>
        <row r="176">
          <cell r="A176" t="str">
            <v>박진호</v>
          </cell>
          <cell r="B176">
            <v>9131725</v>
          </cell>
          <cell r="C176" t="str">
            <v>0002521</v>
          </cell>
          <cell r="D176" t="str">
            <v>감사실</v>
          </cell>
          <cell r="E176" t="str">
            <v>감사</v>
          </cell>
          <cell r="F176" t="str">
            <v>감사</v>
          </cell>
          <cell r="G176" t="str">
            <v>차장</v>
          </cell>
          <cell r="H176" t="str">
            <v>12</v>
          </cell>
          <cell r="I176" t="str">
            <v>01</v>
          </cell>
          <cell r="J176">
            <v>1201</v>
          </cell>
          <cell r="K176" t="str">
            <v>일반직</v>
          </cell>
          <cell r="L176" t="str">
            <v>G1</v>
          </cell>
          <cell r="M176" t="str">
            <v>B</v>
          </cell>
          <cell r="N176">
            <v>52057500</v>
          </cell>
          <cell r="O176">
            <v>1200000</v>
          </cell>
          <cell r="P176">
            <v>13510340</v>
          </cell>
          <cell r="Q176">
            <v>1</v>
          </cell>
          <cell r="R176">
            <v>52057500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1200000</v>
          </cell>
          <cell r="X176">
            <v>13510340</v>
          </cell>
          <cell r="Y176">
            <v>-586200</v>
          </cell>
          <cell r="Z176">
            <v>0</v>
          </cell>
          <cell r="AA176">
            <v>0</v>
          </cell>
          <cell r="AB176">
            <v>66181640</v>
          </cell>
          <cell r="AC176">
            <v>52057500</v>
          </cell>
          <cell r="AD176">
            <v>12924140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K176">
            <v>1200000</v>
          </cell>
          <cell r="AL176">
            <v>66181640</v>
          </cell>
          <cell r="AM176">
            <v>176</v>
          </cell>
        </row>
        <row r="177">
          <cell r="A177" t="str">
            <v>전한덕</v>
          </cell>
          <cell r="B177">
            <v>9135186</v>
          </cell>
          <cell r="C177" t="str">
            <v>0002531</v>
          </cell>
          <cell r="D177" t="str">
            <v>준법감시인</v>
          </cell>
          <cell r="E177" t="str">
            <v>준법감시</v>
          </cell>
          <cell r="F177" t="str">
            <v>준법감시/법무</v>
          </cell>
          <cell r="G177" t="str">
            <v>사원</v>
          </cell>
          <cell r="H177" t="str">
            <v>41</v>
          </cell>
          <cell r="I177" t="str">
            <v>09</v>
          </cell>
          <cell r="J177">
            <v>4109</v>
          </cell>
          <cell r="K177" t="str">
            <v>일반직</v>
          </cell>
          <cell r="L177" t="str">
            <v>G2</v>
          </cell>
          <cell r="M177" t="str">
            <v>B</v>
          </cell>
          <cell r="N177">
            <v>27721500</v>
          </cell>
          <cell r="O177">
            <v>1200000</v>
          </cell>
          <cell r="P177">
            <v>6069480</v>
          </cell>
          <cell r="Q177">
            <v>1</v>
          </cell>
          <cell r="R177">
            <v>27721500</v>
          </cell>
          <cell r="S177">
            <v>5000000</v>
          </cell>
          <cell r="T177">
            <v>0</v>
          </cell>
          <cell r="U177">
            <v>0</v>
          </cell>
          <cell r="V177">
            <v>0</v>
          </cell>
          <cell r="W177">
            <v>1200000</v>
          </cell>
          <cell r="X177">
            <v>6069480</v>
          </cell>
          <cell r="Y177">
            <v>0</v>
          </cell>
          <cell r="Z177">
            <v>0</v>
          </cell>
          <cell r="AA177">
            <v>0</v>
          </cell>
          <cell r="AB177">
            <v>39990980</v>
          </cell>
          <cell r="AC177">
            <v>27721500</v>
          </cell>
          <cell r="AD177">
            <v>6069480</v>
          </cell>
          <cell r="AE177">
            <v>5000000</v>
          </cell>
          <cell r="AF177">
            <v>0</v>
          </cell>
          <cell r="AG177">
            <v>0</v>
          </cell>
          <cell r="AH177">
            <v>0</v>
          </cell>
          <cell r="AK177">
            <v>1200000</v>
          </cell>
          <cell r="AL177">
            <v>39990980</v>
          </cell>
          <cell r="AM177">
            <v>177</v>
          </cell>
        </row>
        <row r="178">
          <cell r="A178" t="str">
            <v>최광호</v>
          </cell>
          <cell r="B178">
            <v>9131806</v>
          </cell>
          <cell r="C178" t="str">
            <v>0002531</v>
          </cell>
          <cell r="D178" t="str">
            <v>준법감시인</v>
          </cell>
          <cell r="E178" t="str">
            <v>준법감시</v>
          </cell>
          <cell r="F178" t="str">
            <v>준법감시인</v>
          </cell>
          <cell r="G178" t="str">
            <v>팀장</v>
          </cell>
          <cell r="H178" t="str">
            <v>21</v>
          </cell>
          <cell r="I178" t="str">
            <v>01</v>
          </cell>
          <cell r="J178">
            <v>2101</v>
          </cell>
          <cell r="K178" t="str">
            <v>일반직</v>
          </cell>
          <cell r="L178" t="str">
            <v>G1</v>
          </cell>
          <cell r="M178" t="str">
            <v>B</v>
          </cell>
          <cell r="N178">
            <v>45570000</v>
          </cell>
          <cell r="O178">
            <v>1200000</v>
          </cell>
          <cell r="P178">
            <v>12018210</v>
          </cell>
          <cell r="Q178">
            <v>1</v>
          </cell>
          <cell r="R178">
            <v>45570000</v>
          </cell>
          <cell r="S178">
            <v>0</v>
          </cell>
          <cell r="T178">
            <v>5000000</v>
          </cell>
          <cell r="U178">
            <v>0</v>
          </cell>
          <cell r="V178">
            <v>0</v>
          </cell>
          <cell r="W178">
            <v>1200000</v>
          </cell>
          <cell r="X178">
            <v>12018210</v>
          </cell>
          <cell r="Y178">
            <v>0</v>
          </cell>
          <cell r="Z178">
            <v>0</v>
          </cell>
          <cell r="AA178">
            <v>0</v>
          </cell>
          <cell r="AB178">
            <v>63788210</v>
          </cell>
          <cell r="AC178">
            <v>45570000</v>
          </cell>
          <cell r="AD178">
            <v>12018210</v>
          </cell>
          <cell r="AE178">
            <v>0</v>
          </cell>
          <cell r="AF178">
            <v>5000000</v>
          </cell>
          <cell r="AG178">
            <v>5000000</v>
          </cell>
          <cell r="AH178">
            <v>5000000</v>
          </cell>
          <cell r="AK178">
            <v>1200000</v>
          </cell>
          <cell r="AL178">
            <v>63788210</v>
          </cell>
          <cell r="AM178">
            <v>178</v>
          </cell>
        </row>
        <row r="179">
          <cell r="A179" t="str">
            <v>윤근상</v>
          </cell>
          <cell r="B179">
            <v>9132020</v>
          </cell>
          <cell r="C179" t="str">
            <v>0002531</v>
          </cell>
          <cell r="D179" t="str">
            <v>준법감시인</v>
          </cell>
          <cell r="E179" t="str">
            <v>준법감시</v>
          </cell>
          <cell r="F179" t="str">
            <v>준법감시/법무</v>
          </cell>
          <cell r="G179" t="str">
            <v>과장</v>
          </cell>
          <cell r="H179" t="str">
            <v>21</v>
          </cell>
          <cell r="I179" t="str">
            <v>01</v>
          </cell>
          <cell r="J179">
            <v>2101</v>
          </cell>
          <cell r="K179" t="str">
            <v>일반직</v>
          </cell>
          <cell r="L179" t="str">
            <v>G1</v>
          </cell>
          <cell r="M179" t="str">
            <v>B</v>
          </cell>
          <cell r="N179">
            <v>45930000</v>
          </cell>
          <cell r="O179">
            <v>1200000</v>
          </cell>
          <cell r="P179">
            <v>12018210</v>
          </cell>
          <cell r="Q179">
            <v>1</v>
          </cell>
          <cell r="R179">
            <v>45930000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1200000</v>
          </cell>
          <cell r="X179">
            <v>12018210</v>
          </cell>
          <cell r="Y179">
            <v>-586200</v>
          </cell>
          <cell r="Z179">
            <v>0</v>
          </cell>
          <cell r="AA179">
            <v>0</v>
          </cell>
          <cell r="AB179">
            <v>58562010</v>
          </cell>
          <cell r="AC179">
            <v>45930000</v>
          </cell>
          <cell r="AD179">
            <v>11432010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K179">
            <v>1200000</v>
          </cell>
          <cell r="AL179">
            <v>58562010</v>
          </cell>
          <cell r="AM179">
            <v>179</v>
          </cell>
        </row>
        <row r="180">
          <cell r="A180" t="str">
            <v>고한식</v>
          </cell>
          <cell r="B180">
            <v>9133175</v>
          </cell>
          <cell r="C180" t="str">
            <v>0002531</v>
          </cell>
          <cell r="D180" t="str">
            <v>준법감시인</v>
          </cell>
          <cell r="E180" t="str">
            <v>준법감시</v>
          </cell>
          <cell r="F180" t="str">
            <v>준법감시/법무</v>
          </cell>
          <cell r="G180" t="str">
            <v>과장</v>
          </cell>
          <cell r="H180" t="str">
            <v>21</v>
          </cell>
          <cell r="I180" t="str">
            <v>01</v>
          </cell>
          <cell r="J180">
            <v>2101</v>
          </cell>
          <cell r="K180" t="str">
            <v>일반직</v>
          </cell>
          <cell r="L180" t="str">
            <v>G1</v>
          </cell>
          <cell r="M180" t="str">
            <v>B</v>
          </cell>
          <cell r="N180">
            <v>45810000</v>
          </cell>
          <cell r="O180">
            <v>1200000</v>
          </cell>
          <cell r="P180">
            <v>11449030</v>
          </cell>
          <cell r="Q180">
            <v>1</v>
          </cell>
          <cell r="R180">
            <v>45810000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1200000</v>
          </cell>
          <cell r="X180">
            <v>11449030</v>
          </cell>
          <cell r="Y180">
            <v>-586200</v>
          </cell>
          <cell r="Z180">
            <v>0</v>
          </cell>
          <cell r="AA180">
            <v>0</v>
          </cell>
          <cell r="AB180">
            <v>57872830</v>
          </cell>
          <cell r="AC180">
            <v>45810000</v>
          </cell>
          <cell r="AD180">
            <v>10862830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K180">
            <v>1200000</v>
          </cell>
          <cell r="AL180">
            <v>57872830</v>
          </cell>
          <cell r="AM180">
            <v>180</v>
          </cell>
        </row>
        <row r="181">
          <cell r="A181" t="str">
            <v>박정숙</v>
          </cell>
          <cell r="B181">
            <v>9105376</v>
          </cell>
          <cell r="C181" t="str">
            <v>0009930</v>
          </cell>
          <cell r="D181" t="str">
            <v>노동조합</v>
          </cell>
          <cell r="E181" t="str">
            <v>노동조합</v>
          </cell>
          <cell r="F181" t="str">
            <v>노동조합상근</v>
          </cell>
          <cell r="G181" t="str">
            <v>주임</v>
          </cell>
          <cell r="H181" t="str">
            <v>41</v>
          </cell>
          <cell r="I181" t="str">
            <v>10</v>
          </cell>
          <cell r="J181">
            <v>4110</v>
          </cell>
          <cell r="K181" t="str">
            <v>사무직</v>
          </cell>
          <cell r="L181" t="str">
            <v>G3</v>
          </cell>
          <cell r="M181" t="str">
            <v>B</v>
          </cell>
          <cell r="N181">
            <v>30749880</v>
          </cell>
          <cell r="O181">
            <v>1200000</v>
          </cell>
          <cell r="P181">
            <v>5086000</v>
          </cell>
          <cell r="Q181">
            <v>1</v>
          </cell>
          <cell r="R181">
            <v>30749880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1200000</v>
          </cell>
          <cell r="X181">
            <v>5086000</v>
          </cell>
          <cell r="Y181">
            <v>0</v>
          </cell>
          <cell r="Z181">
            <v>0</v>
          </cell>
          <cell r="AA181">
            <v>0</v>
          </cell>
          <cell r="AB181">
            <v>37035880</v>
          </cell>
          <cell r="AC181">
            <v>30749880</v>
          </cell>
          <cell r="AD181">
            <v>5086000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K181">
            <v>1200000</v>
          </cell>
          <cell r="AL181">
            <v>37035880</v>
          </cell>
          <cell r="AM181">
            <v>181</v>
          </cell>
        </row>
        <row r="182">
          <cell r="A182" t="str">
            <v>최건상</v>
          </cell>
          <cell r="B182">
            <v>9100994</v>
          </cell>
          <cell r="C182" t="str">
            <v>0009930</v>
          </cell>
          <cell r="D182" t="str">
            <v>노동조합</v>
          </cell>
          <cell r="E182" t="str">
            <v>노동조합</v>
          </cell>
          <cell r="F182" t="str">
            <v>노동조합상근</v>
          </cell>
          <cell r="G182" t="str">
            <v>과장</v>
          </cell>
          <cell r="H182" t="str">
            <v>22</v>
          </cell>
          <cell r="I182" t="str">
            <v>05</v>
          </cell>
          <cell r="J182">
            <v>2205</v>
          </cell>
          <cell r="K182" t="str">
            <v>일반직</v>
          </cell>
          <cell r="L182" t="str">
            <v>G2</v>
          </cell>
          <cell r="M182" t="str">
            <v>A</v>
          </cell>
          <cell r="N182">
            <v>39795000</v>
          </cell>
          <cell r="O182">
            <v>1200000</v>
          </cell>
          <cell r="P182">
            <v>9416730</v>
          </cell>
          <cell r="Q182">
            <v>1.5</v>
          </cell>
          <cell r="R182">
            <v>39795000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1200000</v>
          </cell>
          <cell r="X182">
            <v>14125100</v>
          </cell>
          <cell r="Y182">
            <v>0</v>
          </cell>
          <cell r="Z182">
            <v>440490</v>
          </cell>
          <cell r="AA182">
            <v>0</v>
          </cell>
          <cell r="AB182">
            <v>55560590</v>
          </cell>
          <cell r="AC182">
            <v>39795000</v>
          </cell>
          <cell r="AD182">
            <v>14565590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K182">
            <v>1200000</v>
          </cell>
          <cell r="AL182">
            <v>55560590</v>
          </cell>
          <cell r="AM182">
            <v>182</v>
          </cell>
        </row>
        <row r="183">
          <cell r="A183" t="str">
            <v>조희석</v>
          </cell>
          <cell r="B183">
            <v>9121509</v>
          </cell>
          <cell r="C183" t="str">
            <v>0009930</v>
          </cell>
          <cell r="D183" t="str">
            <v>노동조합</v>
          </cell>
          <cell r="E183" t="str">
            <v>노동조합</v>
          </cell>
          <cell r="F183" t="str">
            <v>노동조합상근</v>
          </cell>
          <cell r="G183" t="str">
            <v>대리</v>
          </cell>
          <cell r="H183" t="str">
            <v>22</v>
          </cell>
          <cell r="I183" t="str">
            <v>03</v>
          </cell>
          <cell r="J183">
            <v>2203</v>
          </cell>
          <cell r="K183" t="str">
            <v>일반직</v>
          </cell>
          <cell r="L183" t="str">
            <v>G2</v>
          </cell>
          <cell r="M183" t="str">
            <v>B</v>
          </cell>
          <cell r="N183">
            <v>39213000</v>
          </cell>
          <cell r="O183">
            <v>1200000</v>
          </cell>
          <cell r="P183">
            <v>8811480</v>
          </cell>
          <cell r="Q183">
            <v>1</v>
          </cell>
          <cell r="R183">
            <v>39213000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1200000</v>
          </cell>
          <cell r="X183">
            <v>8811480</v>
          </cell>
          <cell r="Y183">
            <v>0</v>
          </cell>
          <cell r="Z183">
            <v>0</v>
          </cell>
          <cell r="AA183">
            <v>0</v>
          </cell>
          <cell r="AB183">
            <v>49224480</v>
          </cell>
          <cell r="AC183">
            <v>39213000</v>
          </cell>
          <cell r="AD183">
            <v>8811480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K183">
            <v>1200000</v>
          </cell>
          <cell r="AL183">
            <v>49224480</v>
          </cell>
          <cell r="AM183">
            <v>183</v>
          </cell>
        </row>
        <row r="184">
          <cell r="A184" t="str">
            <v>김순명</v>
          </cell>
          <cell r="B184">
            <v>9132594</v>
          </cell>
          <cell r="C184" t="str">
            <v>0009992</v>
          </cell>
          <cell r="D184" t="str">
            <v>흥국생명</v>
          </cell>
          <cell r="E184" t="str">
            <v>청원(육아)휴직</v>
          </cell>
          <cell r="F184" t="str">
            <v>청원(육아)휴직</v>
          </cell>
          <cell r="G184" t="str">
            <v>주임</v>
          </cell>
          <cell r="H184" t="str">
            <v>41</v>
          </cell>
          <cell r="I184" t="str">
            <v>12</v>
          </cell>
          <cell r="J184">
            <v>4112</v>
          </cell>
          <cell r="K184" t="str">
            <v>사무직</v>
          </cell>
          <cell r="L184" t="str">
            <v>G3</v>
          </cell>
          <cell r="M184" t="str">
            <v>B</v>
          </cell>
          <cell r="N184">
            <v>31751300</v>
          </cell>
          <cell r="O184">
            <v>1200000</v>
          </cell>
          <cell r="P184">
            <v>5146000</v>
          </cell>
          <cell r="Q184">
            <v>1</v>
          </cell>
          <cell r="R184">
            <v>31751300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1200000</v>
          </cell>
          <cell r="X184">
            <v>5146000</v>
          </cell>
          <cell r="Y184">
            <v>0</v>
          </cell>
          <cell r="Z184">
            <v>0</v>
          </cell>
          <cell r="AA184">
            <v>0</v>
          </cell>
          <cell r="AB184">
            <v>38097300</v>
          </cell>
          <cell r="AC184">
            <v>31751300</v>
          </cell>
          <cell r="AD184">
            <v>5146000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K184">
            <v>1200000</v>
          </cell>
          <cell r="AL184">
            <v>38097300</v>
          </cell>
          <cell r="AM184">
            <v>184</v>
          </cell>
        </row>
        <row r="185">
          <cell r="A185" t="str">
            <v>강철원</v>
          </cell>
          <cell r="B185">
            <v>9131903</v>
          </cell>
          <cell r="C185" t="str">
            <v>0009993</v>
          </cell>
          <cell r="D185" t="str">
            <v>흥국생명</v>
          </cell>
          <cell r="E185" t="str">
            <v>청원(인병)휴직</v>
          </cell>
          <cell r="F185" t="str">
            <v>청원(인병)휴직</v>
          </cell>
          <cell r="G185" t="str">
            <v>과장</v>
          </cell>
          <cell r="H185" t="str">
            <v>21</v>
          </cell>
          <cell r="I185" t="str">
            <v>01</v>
          </cell>
          <cell r="J185">
            <v>2101</v>
          </cell>
          <cell r="K185" t="str">
            <v>일반직</v>
          </cell>
          <cell r="L185" t="str">
            <v>G1</v>
          </cell>
          <cell r="M185" t="str">
            <v>D</v>
          </cell>
          <cell r="N185">
            <v>45930000</v>
          </cell>
          <cell r="O185">
            <v>1200000</v>
          </cell>
          <cell r="P185">
            <v>12018210</v>
          </cell>
          <cell r="Q185">
            <v>0</v>
          </cell>
          <cell r="R185">
            <v>45930000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1200000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47130000</v>
          </cell>
          <cell r="AC185">
            <v>45930000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K185">
            <v>1200000</v>
          </cell>
          <cell r="AL185">
            <v>47130000</v>
          </cell>
          <cell r="AM185">
            <v>185</v>
          </cell>
        </row>
        <row r="186">
          <cell r="A186" t="str">
            <v>조미희</v>
          </cell>
          <cell r="B186">
            <v>9133132</v>
          </cell>
          <cell r="C186" t="str">
            <v>1010101</v>
          </cell>
          <cell r="D186" t="str">
            <v>서울사업단</v>
          </cell>
          <cell r="E186" t="str">
            <v>서울사업단</v>
          </cell>
          <cell r="F186" t="str">
            <v>업무지원</v>
          </cell>
          <cell r="G186" t="str">
            <v>사원</v>
          </cell>
          <cell r="H186" t="str">
            <v>42</v>
          </cell>
          <cell r="I186" t="str">
            <v>17</v>
          </cell>
          <cell r="J186">
            <v>4217</v>
          </cell>
          <cell r="K186" t="str">
            <v>사무직</v>
          </cell>
          <cell r="L186" t="str">
            <v>G3</v>
          </cell>
          <cell r="M186" t="str">
            <v>B</v>
          </cell>
          <cell r="N186">
            <v>25642480</v>
          </cell>
          <cell r="O186">
            <v>1200000</v>
          </cell>
          <cell r="P186">
            <v>4120000</v>
          </cell>
          <cell r="Q186">
            <v>1</v>
          </cell>
          <cell r="R186">
            <v>25642480</v>
          </cell>
          <cell r="S186">
            <v>5000000</v>
          </cell>
          <cell r="T186">
            <v>0</v>
          </cell>
          <cell r="U186">
            <v>0</v>
          </cell>
          <cell r="V186">
            <v>0</v>
          </cell>
          <cell r="W186">
            <v>1200000</v>
          </cell>
          <cell r="X186">
            <v>4120000</v>
          </cell>
          <cell r="Y186">
            <v>0</v>
          </cell>
          <cell r="Z186">
            <v>0</v>
          </cell>
          <cell r="AA186">
            <v>0</v>
          </cell>
          <cell r="AB186">
            <v>35962480</v>
          </cell>
          <cell r="AC186">
            <v>25642480</v>
          </cell>
          <cell r="AD186">
            <v>4120000</v>
          </cell>
          <cell r="AE186">
            <v>5000000</v>
          </cell>
          <cell r="AF186">
            <v>0</v>
          </cell>
          <cell r="AG186">
            <v>0</v>
          </cell>
          <cell r="AH186">
            <v>0</v>
          </cell>
          <cell r="AK186">
            <v>1200000</v>
          </cell>
          <cell r="AL186">
            <v>35962480</v>
          </cell>
          <cell r="AM186">
            <v>186</v>
          </cell>
        </row>
        <row r="187">
          <cell r="A187" t="str">
            <v>정경순</v>
          </cell>
          <cell r="B187">
            <v>9067946</v>
          </cell>
          <cell r="C187" t="str">
            <v>1010101</v>
          </cell>
          <cell r="D187" t="str">
            <v>서울사업단</v>
          </cell>
          <cell r="E187" t="str">
            <v>서울사업단</v>
          </cell>
          <cell r="F187" t="str">
            <v>업무지원</v>
          </cell>
          <cell r="G187" t="str">
            <v>주임</v>
          </cell>
          <cell r="H187" t="str">
            <v>41</v>
          </cell>
          <cell r="I187" t="str">
            <v>17</v>
          </cell>
          <cell r="J187">
            <v>4117</v>
          </cell>
          <cell r="K187" t="str">
            <v>사무직</v>
          </cell>
          <cell r="L187" t="str">
            <v>G3</v>
          </cell>
          <cell r="M187" t="str">
            <v>B</v>
          </cell>
          <cell r="N187">
            <v>32810790</v>
          </cell>
          <cell r="O187">
            <v>1200000</v>
          </cell>
          <cell r="P187">
            <v>5246000</v>
          </cell>
          <cell r="Q187">
            <v>1</v>
          </cell>
          <cell r="R187">
            <v>32810790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1200000</v>
          </cell>
          <cell r="X187">
            <v>5246000</v>
          </cell>
          <cell r="Y187">
            <v>0</v>
          </cell>
          <cell r="Z187">
            <v>0</v>
          </cell>
          <cell r="AA187">
            <v>0</v>
          </cell>
          <cell r="AB187">
            <v>39256790</v>
          </cell>
          <cell r="AC187">
            <v>32810790</v>
          </cell>
          <cell r="AD187">
            <v>5246000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K187">
            <v>1200000</v>
          </cell>
          <cell r="AL187">
            <v>39256790</v>
          </cell>
          <cell r="AM187">
            <v>187</v>
          </cell>
        </row>
        <row r="188">
          <cell r="A188" t="str">
            <v>홍희정</v>
          </cell>
          <cell r="B188">
            <v>9102890</v>
          </cell>
          <cell r="C188" t="str">
            <v>1010101</v>
          </cell>
          <cell r="D188" t="str">
            <v>서울사업단</v>
          </cell>
          <cell r="E188" t="str">
            <v>서울사업단</v>
          </cell>
          <cell r="F188" t="str">
            <v>업무지원</v>
          </cell>
          <cell r="G188" t="str">
            <v>주임</v>
          </cell>
          <cell r="H188" t="str">
            <v>41</v>
          </cell>
          <cell r="I188" t="str">
            <v>11</v>
          </cell>
          <cell r="J188">
            <v>4111</v>
          </cell>
          <cell r="K188" t="str">
            <v>사무직</v>
          </cell>
          <cell r="L188" t="str">
            <v>G3</v>
          </cell>
          <cell r="M188" t="str">
            <v>C</v>
          </cell>
          <cell r="N188">
            <v>31546870</v>
          </cell>
          <cell r="O188">
            <v>1200000</v>
          </cell>
          <cell r="P188">
            <v>5126000</v>
          </cell>
          <cell r="Q188">
            <v>0.5</v>
          </cell>
          <cell r="R188">
            <v>31546870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1200000</v>
          </cell>
          <cell r="X188">
            <v>2563000</v>
          </cell>
          <cell r="Y188">
            <v>0</v>
          </cell>
          <cell r="Z188">
            <v>0</v>
          </cell>
          <cell r="AA188">
            <v>0</v>
          </cell>
          <cell r="AB188">
            <v>35309870</v>
          </cell>
          <cell r="AC188">
            <v>31546870</v>
          </cell>
          <cell r="AD188">
            <v>2563000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K188">
            <v>1200000</v>
          </cell>
          <cell r="AL188">
            <v>35309870</v>
          </cell>
          <cell r="AM188">
            <v>188</v>
          </cell>
        </row>
        <row r="189">
          <cell r="A189" t="str">
            <v>엄순예</v>
          </cell>
          <cell r="B189">
            <v>9133108</v>
          </cell>
          <cell r="C189" t="str">
            <v>1010101</v>
          </cell>
          <cell r="D189" t="str">
            <v>서울사업단</v>
          </cell>
          <cell r="E189" t="str">
            <v>서울사업단</v>
          </cell>
          <cell r="F189" t="str">
            <v>업무지원</v>
          </cell>
          <cell r="G189" t="str">
            <v>주임</v>
          </cell>
          <cell r="H189" t="str">
            <v>41</v>
          </cell>
          <cell r="I189" t="str">
            <v>10</v>
          </cell>
          <cell r="J189">
            <v>4110</v>
          </cell>
          <cell r="K189" t="str">
            <v>사무직</v>
          </cell>
          <cell r="L189" t="str">
            <v>G3</v>
          </cell>
          <cell r="M189" t="str">
            <v>A</v>
          </cell>
          <cell r="N189">
            <v>31229880</v>
          </cell>
          <cell r="O189">
            <v>1200000</v>
          </cell>
          <cell r="P189">
            <v>5086000</v>
          </cell>
          <cell r="Q189">
            <v>1.5</v>
          </cell>
          <cell r="R189">
            <v>31229880</v>
          </cell>
          <cell r="S189">
            <v>5000000</v>
          </cell>
          <cell r="T189">
            <v>0</v>
          </cell>
          <cell r="U189">
            <v>0</v>
          </cell>
          <cell r="V189">
            <v>0</v>
          </cell>
          <cell r="W189">
            <v>1200000</v>
          </cell>
          <cell r="X189">
            <v>7629000</v>
          </cell>
          <cell r="Y189">
            <v>0</v>
          </cell>
          <cell r="Z189">
            <v>0</v>
          </cell>
          <cell r="AA189">
            <v>0</v>
          </cell>
          <cell r="AB189">
            <v>45058880</v>
          </cell>
          <cell r="AC189">
            <v>31229880</v>
          </cell>
          <cell r="AD189">
            <v>7629000</v>
          </cell>
          <cell r="AE189">
            <v>5000000</v>
          </cell>
          <cell r="AF189">
            <v>0</v>
          </cell>
          <cell r="AG189">
            <v>0</v>
          </cell>
          <cell r="AH189">
            <v>0</v>
          </cell>
          <cell r="AK189">
            <v>1200000</v>
          </cell>
          <cell r="AL189">
            <v>45058880</v>
          </cell>
          <cell r="AM189">
            <v>189</v>
          </cell>
        </row>
        <row r="190">
          <cell r="A190" t="str">
            <v>백현옥</v>
          </cell>
          <cell r="B190">
            <v>9131920</v>
          </cell>
          <cell r="C190" t="str">
            <v>1010101</v>
          </cell>
          <cell r="D190" t="str">
            <v>서울사업단</v>
          </cell>
          <cell r="E190" t="str">
            <v>서울사업단</v>
          </cell>
          <cell r="F190" t="str">
            <v>업무지원</v>
          </cell>
          <cell r="G190" t="str">
            <v>대리</v>
          </cell>
          <cell r="H190" t="str">
            <v>31</v>
          </cell>
          <cell r="I190" t="str">
            <v>03</v>
          </cell>
          <cell r="J190">
            <v>3103</v>
          </cell>
          <cell r="K190" t="str">
            <v>사무직</v>
          </cell>
          <cell r="L190" t="str">
            <v>G3</v>
          </cell>
          <cell r="M190" t="str">
            <v>B</v>
          </cell>
          <cell r="N190">
            <v>37624660</v>
          </cell>
          <cell r="O190">
            <v>1200000</v>
          </cell>
          <cell r="P190">
            <v>6182000</v>
          </cell>
          <cell r="Q190">
            <v>1</v>
          </cell>
          <cell r="R190">
            <v>37624660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1200000</v>
          </cell>
          <cell r="X190">
            <v>6182000</v>
          </cell>
          <cell r="Y190">
            <v>0</v>
          </cell>
          <cell r="Z190">
            <v>0</v>
          </cell>
          <cell r="AA190">
            <v>0</v>
          </cell>
          <cell r="AB190">
            <v>45006660</v>
          </cell>
          <cell r="AC190">
            <v>37624660</v>
          </cell>
          <cell r="AD190">
            <v>6182000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K190">
            <v>1200000</v>
          </cell>
          <cell r="AL190">
            <v>45006660</v>
          </cell>
          <cell r="AM190">
            <v>190</v>
          </cell>
        </row>
        <row r="191">
          <cell r="A191" t="str">
            <v>김경미</v>
          </cell>
          <cell r="B191">
            <v>9132276</v>
          </cell>
          <cell r="C191" t="str">
            <v>1010101</v>
          </cell>
          <cell r="D191" t="str">
            <v>서울사업단</v>
          </cell>
          <cell r="E191" t="str">
            <v>서울사업단</v>
          </cell>
          <cell r="F191" t="str">
            <v>업무지원</v>
          </cell>
          <cell r="G191" t="str">
            <v>대리</v>
          </cell>
          <cell r="H191" t="str">
            <v>31</v>
          </cell>
          <cell r="I191" t="str">
            <v>02</v>
          </cell>
          <cell r="J191">
            <v>3102</v>
          </cell>
          <cell r="K191" t="str">
            <v>사무직</v>
          </cell>
          <cell r="L191" t="str">
            <v>G3</v>
          </cell>
          <cell r="M191" t="str">
            <v>S</v>
          </cell>
          <cell r="N191">
            <v>37122720</v>
          </cell>
          <cell r="O191">
            <v>1200000</v>
          </cell>
          <cell r="P191">
            <v>6134000</v>
          </cell>
          <cell r="Q191">
            <v>2</v>
          </cell>
          <cell r="R191">
            <v>37122720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1200000</v>
          </cell>
          <cell r="X191">
            <v>12268000</v>
          </cell>
          <cell r="Y191">
            <v>0</v>
          </cell>
          <cell r="Z191">
            <v>0</v>
          </cell>
          <cell r="AA191">
            <v>0</v>
          </cell>
          <cell r="AB191">
            <v>50590720</v>
          </cell>
          <cell r="AC191">
            <v>37122720</v>
          </cell>
          <cell r="AD191">
            <v>12268000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K191">
            <v>1200000</v>
          </cell>
          <cell r="AL191">
            <v>50590720</v>
          </cell>
          <cell r="AM191">
            <v>191</v>
          </cell>
        </row>
        <row r="192">
          <cell r="A192" t="str">
            <v>원순옥</v>
          </cell>
          <cell r="B192">
            <v>9131822</v>
          </cell>
          <cell r="C192" t="str">
            <v>1010101</v>
          </cell>
          <cell r="D192" t="str">
            <v>서울사업단</v>
          </cell>
          <cell r="E192" t="str">
            <v>서울사업단</v>
          </cell>
          <cell r="F192" t="str">
            <v>마케팅지원</v>
          </cell>
          <cell r="G192" t="str">
            <v>대리</v>
          </cell>
          <cell r="H192" t="str">
            <v>31</v>
          </cell>
          <cell r="I192" t="str">
            <v>02</v>
          </cell>
          <cell r="J192">
            <v>3102</v>
          </cell>
          <cell r="K192" t="str">
            <v>사무직</v>
          </cell>
          <cell r="L192" t="str">
            <v>G3</v>
          </cell>
          <cell r="M192" t="str">
            <v>B</v>
          </cell>
          <cell r="N192">
            <v>37349840</v>
          </cell>
          <cell r="O192">
            <v>1200000</v>
          </cell>
          <cell r="P192">
            <v>6134000</v>
          </cell>
          <cell r="Q192">
            <v>1</v>
          </cell>
          <cell r="R192">
            <v>37349840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1200000</v>
          </cell>
          <cell r="X192">
            <v>6134000</v>
          </cell>
          <cell r="Y192">
            <v>0</v>
          </cell>
          <cell r="Z192">
            <v>0</v>
          </cell>
          <cell r="AA192">
            <v>0</v>
          </cell>
          <cell r="AB192">
            <v>44683840</v>
          </cell>
          <cell r="AC192">
            <v>37349840</v>
          </cell>
          <cell r="AD192">
            <v>6134000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K192">
            <v>1200000</v>
          </cell>
          <cell r="AL192">
            <v>44683840</v>
          </cell>
          <cell r="AM192">
            <v>192</v>
          </cell>
        </row>
        <row r="193">
          <cell r="A193" t="str">
            <v>남경오</v>
          </cell>
          <cell r="B193">
            <v>9132578</v>
          </cell>
          <cell r="C193" t="str">
            <v>1010101</v>
          </cell>
          <cell r="D193" t="str">
            <v>서울사업단</v>
          </cell>
          <cell r="E193" t="str">
            <v>서울사업단</v>
          </cell>
          <cell r="F193" t="str">
            <v>업무지원</v>
          </cell>
          <cell r="G193" t="str">
            <v>대리</v>
          </cell>
          <cell r="H193" t="str">
            <v>31</v>
          </cell>
          <cell r="I193" t="str">
            <v>02</v>
          </cell>
          <cell r="J193">
            <v>3102</v>
          </cell>
          <cell r="K193" t="str">
            <v>사무직</v>
          </cell>
          <cell r="L193" t="str">
            <v>G3</v>
          </cell>
          <cell r="M193" t="str">
            <v>C</v>
          </cell>
          <cell r="N193">
            <v>37015610</v>
          </cell>
          <cell r="O193">
            <v>1200000</v>
          </cell>
          <cell r="P193">
            <v>6134000</v>
          </cell>
          <cell r="Q193">
            <v>0.5</v>
          </cell>
          <cell r="R193">
            <v>37015610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1200000</v>
          </cell>
          <cell r="X193">
            <v>3067000</v>
          </cell>
          <cell r="Y193">
            <v>0</v>
          </cell>
          <cell r="Z193">
            <v>0</v>
          </cell>
          <cell r="AA193">
            <v>0</v>
          </cell>
          <cell r="AB193">
            <v>41282610</v>
          </cell>
          <cell r="AC193">
            <v>37015610</v>
          </cell>
          <cell r="AD193">
            <v>3067000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K193">
            <v>1200000</v>
          </cell>
          <cell r="AL193">
            <v>41282610</v>
          </cell>
          <cell r="AM193">
            <v>193</v>
          </cell>
        </row>
        <row r="194">
          <cell r="A194" t="str">
            <v>강경미</v>
          </cell>
          <cell r="B194">
            <v>9131504</v>
          </cell>
          <cell r="C194" t="str">
            <v>1010101</v>
          </cell>
          <cell r="D194" t="str">
            <v>서울사업단</v>
          </cell>
          <cell r="E194" t="str">
            <v>서울사업단</v>
          </cell>
          <cell r="F194" t="str">
            <v>지급지원</v>
          </cell>
          <cell r="G194" t="str">
            <v>대리</v>
          </cell>
          <cell r="H194" t="str">
            <v>31</v>
          </cell>
          <cell r="I194" t="str">
            <v>02</v>
          </cell>
          <cell r="J194">
            <v>3102</v>
          </cell>
          <cell r="K194" t="str">
            <v>사무직</v>
          </cell>
          <cell r="L194" t="str">
            <v>G3</v>
          </cell>
          <cell r="M194" t="str">
            <v>A</v>
          </cell>
          <cell r="N194">
            <v>37456950</v>
          </cell>
          <cell r="O194">
            <v>1440000</v>
          </cell>
          <cell r="P194">
            <v>6134000</v>
          </cell>
          <cell r="Q194">
            <v>1.5</v>
          </cell>
          <cell r="R194">
            <v>37456950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1440000</v>
          </cell>
          <cell r="X194">
            <v>9201000</v>
          </cell>
          <cell r="Y194">
            <v>0</v>
          </cell>
          <cell r="Z194">
            <v>0</v>
          </cell>
          <cell r="AA194">
            <v>0</v>
          </cell>
          <cell r="AB194">
            <v>48097950</v>
          </cell>
          <cell r="AC194">
            <v>37456950</v>
          </cell>
          <cell r="AD194">
            <v>9201000</v>
          </cell>
          <cell r="AE194">
            <v>0</v>
          </cell>
          <cell r="AF194">
            <v>240000</v>
          </cell>
          <cell r="AG194">
            <v>0</v>
          </cell>
          <cell r="AH194">
            <v>0</v>
          </cell>
          <cell r="AI194">
            <v>240000</v>
          </cell>
          <cell r="AJ194">
            <v>0</v>
          </cell>
          <cell r="AK194">
            <v>1200000</v>
          </cell>
          <cell r="AL194">
            <v>48097950</v>
          </cell>
          <cell r="AM194">
            <v>194</v>
          </cell>
        </row>
        <row r="195">
          <cell r="A195" t="str">
            <v>손선미</v>
          </cell>
          <cell r="B195">
            <v>9132861</v>
          </cell>
          <cell r="C195" t="str">
            <v>1010101</v>
          </cell>
          <cell r="D195" t="str">
            <v>서울사업단</v>
          </cell>
          <cell r="E195" t="str">
            <v>서울사업단</v>
          </cell>
          <cell r="F195" t="str">
            <v>교육지원</v>
          </cell>
          <cell r="G195" t="str">
            <v>주임</v>
          </cell>
          <cell r="H195" t="str">
            <v>31</v>
          </cell>
          <cell r="I195" t="str">
            <v>01</v>
          </cell>
          <cell r="J195">
            <v>3101</v>
          </cell>
          <cell r="K195" t="str">
            <v>사무직</v>
          </cell>
          <cell r="L195" t="str">
            <v>G3</v>
          </cell>
          <cell r="M195" t="str">
            <v>C</v>
          </cell>
          <cell r="N195">
            <v>36636040</v>
          </cell>
          <cell r="O195">
            <v>1200000</v>
          </cell>
          <cell r="P195">
            <v>6086000</v>
          </cell>
          <cell r="Q195">
            <v>0.5</v>
          </cell>
          <cell r="R195">
            <v>36636040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1200000</v>
          </cell>
          <cell r="X195">
            <v>3043000</v>
          </cell>
          <cell r="Y195">
            <v>0</v>
          </cell>
          <cell r="Z195">
            <v>0</v>
          </cell>
          <cell r="AA195">
            <v>0</v>
          </cell>
          <cell r="AB195">
            <v>40879040</v>
          </cell>
          <cell r="AC195">
            <v>36636040</v>
          </cell>
          <cell r="AD195">
            <v>3043000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K195">
            <v>1200000</v>
          </cell>
          <cell r="AL195">
            <v>40879040</v>
          </cell>
          <cell r="AM195">
            <v>195</v>
          </cell>
        </row>
        <row r="196">
          <cell r="A196" t="str">
            <v>안순득</v>
          </cell>
          <cell r="B196">
            <v>9131830</v>
          </cell>
          <cell r="C196" t="str">
            <v>1010101</v>
          </cell>
          <cell r="D196" t="str">
            <v>서울사업단</v>
          </cell>
          <cell r="E196" t="str">
            <v>서울사업단</v>
          </cell>
          <cell r="F196" t="str">
            <v>지급지원</v>
          </cell>
          <cell r="G196" t="str">
            <v>주임</v>
          </cell>
          <cell r="H196" t="str">
            <v>31</v>
          </cell>
          <cell r="I196" t="str">
            <v>01</v>
          </cell>
          <cell r="J196">
            <v>3101</v>
          </cell>
          <cell r="K196" t="str">
            <v>사무직</v>
          </cell>
          <cell r="L196" t="str">
            <v>G3</v>
          </cell>
          <cell r="M196" t="str">
            <v>B</v>
          </cell>
          <cell r="N196">
            <v>37075030</v>
          </cell>
          <cell r="O196">
            <v>1440000</v>
          </cell>
          <cell r="P196">
            <v>6086000</v>
          </cell>
          <cell r="Q196">
            <v>1</v>
          </cell>
          <cell r="R196">
            <v>37075030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1440000</v>
          </cell>
          <cell r="X196">
            <v>6086000</v>
          </cell>
          <cell r="Y196">
            <v>0</v>
          </cell>
          <cell r="Z196">
            <v>0</v>
          </cell>
          <cell r="AA196">
            <v>0</v>
          </cell>
          <cell r="AB196">
            <v>44601030</v>
          </cell>
          <cell r="AC196">
            <v>37075030</v>
          </cell>
          <cell r="AD196">
            <v>6086000</v>
          </cell>
          <cell r="AE196">
            <v>0</v>
          </cell>
          <cell r="AF196">
            <v>240000</v>
          </cell>
          <cell r="AG196">
            <v>0</v>
          </cell>
          <cell r="AH196">
            <v>0</v>
          </cell>
          <cell r="AI196">
            <v>240000</v>
          </cell>
          <cell r="AJ196">
            <v>0</v>
          </cell>
          <cell r="AK196">
            <v>1200000</v>
          </cell>
          <cell r="AL196">
            <v>44601030</v>
          </cell>
          <cell r="AM196">
            <v>196</v>
          </cell>
        </row>
        <row r="197">
          <cell r="A197" t="str">
            <v>노수용</v>
          </cell>
          <cell r="B197">
            <v>9134015</v>
          </cell>
          <cell r="C197" t="str">
            <v>1010101</v>
          </cell>
          <cell r="D197" t="str">
            <v>서울사업단</v>
          </cell>
          <cell r="E197" t="str">
            <v>서울사업단</v>
          </cell>
          <cell r="F197" t="str">
            <v>마케팅지원</v>
          </cell>
          <cell r="G197" t="str">
            <v>과장</v>
          </cell>
          <cell r="H197" t="str">
            <v>22</v>
          </cell>
          <cell r="I197" t="str">
            <v>04</v>
          </cell>
          <cell r="J197">
            <v>2204</v>
          </cell>
          <cell r="K197" t="str">
            <v>일반직</v>
          </cell>
          <cell r="L197" t="str">
            <v>G1</v>
          </cell>
          <cell r="M197" t="str">
            <v>S</v>
          </cell>
          <cell r="N197">
            <v>39606000</v>
          </cell>
          <cell r="O197">
            <v>1200000</v>
          </cell>
          <cell r="P197">
            <v>8999090</v>
          </cell>
          <cell r="Q197">
            <v>2</v>
          </cell>
          <cell r="R197">
            <v>39606000</v>
          </cell>
          <cell r="S197">
            <v>5000000</v>
          </cell>
          <cell r="T197">
            <v>0</v>
          </cell>
          <cell r="U197">
            <v>0</v>
          </cell>
          <cell r="V197">
            <v>0</v>
          </cell>
          <cell r="W197">
            <v>1200000</v>
          </cell>
          <cell r="X197">
            <v>17998180</v>
          </cell>
          <cell r="Y197">
            <v>-586200</v>
          </cell>
          <cell r="Z197">
            <v>587320</v>
          </cell>
          <cell r="AA197">
            <v>0</v>
          </cell>
          <cell r="AB197">
            <v>63805300</v>
          </cell>
          <cell r="AC197">
            <v>39606000</v>
          </cell>
          <cell r="AD197">
            <v>17999300</v>
          </cell>
          <cell r="AE197">
            <v>5000000</v>
          </cell>
          <cell r="AF197">
            <v>0</v>
          </cell>
          <cell r="AG197">
            <v>0</v>
          </cell>
          <cell r="AH197">
            <v>0</v>
          </cell>
          <cell r="AK197">
            <v>1200000</v>
          </cell>
          <cell r="AL197">
            <v>63805300</v>
          </cell>
          <cell r="AM197">
            <v>197</v>
          </cell>
        </row>
        <row r="198">
          <cell r="A198" t="str">
            <v>백창용</v>
          </cell>
          <cell r="B198">
            <v>9106992</v>
          </cell>
          <cell r="C198" t="str">
            <v>1010101</v>
          </cell>
          <cell r="D198" t="str">
            <v>서울사업단</v>
          </cell>
          <cell r="E198" t="str">
            <v>서울사업단</v>
          </cell>
          <cell r="F198" t="str">
            <v>보험금심사지원</v>
          </cell>
          <cell r="G198" t="str">
            <v>과장</v>
          </cell>
          <cell r="H198" t="str">
            <v>22</v>
          </cell>
          <cell r="I198" t="str">
            <v>04</v>
          </cell>
          <cell r="J198">
            <v>2204</v>
          </cell>
          <cell r="K198" t="str">
            <v>일반직</v>
          </cell>
          <cell r="L198" t="str">
            <v>G2</v>
          </cell>
          <cell r="M198" t="str">
            <v>A</v>
          </cell>
          <cell r="N198">
            <v>39606000</v>
          </cell>
          <cell r="O198">
            <v>1200000</v>
          </cell>
          <cell r="P198">
            <v>9246440</v>
          </cell>
          <cell r="Q198">
            <v>1.5</v>
          </cell>
          <cell r="R198">
            <v>39606000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1200000</v>
          </cell>
          <cell r="X198">
            <v>13869660</v>
          </cell>
          <cell r="Y198">
            <v>0</v>
          </cell>
          <cell r="Z198">
            <v>440490</v>
          </cell>
          <cell r="AA198">
            <v>0</v>
          </cell>
          <cell r="AB198">
            <v>55116150</v>
          </cell>
          <cell r="AC198">
            <v>39606000</v>
          </cell>
          <cell r="AD198">
            <v>14310150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K198">
            <v>1200000</v>
          </cell>
          <cell r="AL198">
            <v>55116150</v>
          </cell>
          <cell r="AM198">
            <v>198</v>
          </cell>
        </row>
        <row r="199">
          <cell r="A199" t="str">
            <v>김재식</v>
          </cell>
          <cell r="B199">
            <v>9133426</v>
          </cell>
          <cell r="C199" t="str">
            <v>1010101</v>
          </cell>
          <cell r="D199" t="str">
            <v>서울사업단</v>
          </cell>
          <cell r="E199" t="str">
            <v>서울사업단</v>
          </cell>
          <cell r="F199" t="str">
            <v>교육지원</v>
          </cell>
          <cell r="G199" t="str">
            <v>과장</v>
          </cell>
          <cell r="H199" t="str">
            <v>21</v>
          </cell>
          <cell r="I199" t="str">
            <v>01</v>
          </cell>
          <cell r="J199">
            <v>2101</v>
          </cell>
          <cell r="K199" t="str">
            <v>일반직</v>
          </cell>
          <cell r="L199" t="str">
            <v>G1</v>
          </cell>
          <cell r="M199" t="str">
            <v>B</v>
          </cell>
          <cell r="N199">
            <v>45810000</v>
          </cell>
          <cell r="O199">
            <v>1200000</v>
          </cell>
          <cell r="P199">
            <v>11306740</v>
          </cell>
          <cell r="Q199">
            <v>1</v>
          </cell>
          <cell r="R199">
            <v>45810000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1200000</v>
          </cell>
          <cell r="X199">
            <v>11306740</v>
          </cell>
          <cell r="Y199">
            <v>-586200</v>
          </cell>
          <cell r="Z199">
            <v>0</v>
          </cell>
          <cell r="AA199">
            <v>0</v>
          </cell>
          <cell r="AB199">
            <v>57730540</v>
          </cell>
          <cell r="AC199">
            <v>45810000</v>
          </cell>
          <cell r="AD199">
            <v>10720540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K199">
            <v>1200000</v>
          </cell>
          <cell r="AL199">
            <v>57730540</v>
          </cell>
          <cell r="AM199">
            <v>199</v>
          </cell>
        </row>
        <row r="200">
          <cell r="A200" t="str">
            <v>이헌엽</v>
          </cell>
          <cell r="B200">
            <v>9131431</v>
          </cell>
          <cell r="C200" t="str">
            <v>1010101</v>
          </cell>
          <cell r="D200" t="str">
            <v>서울사업단</v>
          </cell>
          <cell r="E200" t="str">
            <v>서울사업단</v>
          </cell>
          <cell r="F200" t="str">
            <v>업무지원팀장</v>
          </cell>
          <cell r="G200" t="str">
            <v>팀장</v>
          </cell>
          <cell r="H200" t="str">
            <v>12</v>
          </cell>
          <cell r="I200" t="str">
            <v>01</v>
          </cell>
          <cell r="J200">
            <v>1201</v>
          </cell>
          <cell r="K200" t="str">
            <v>일반직</v>
          </cell>
          <cell r="L200" t="str">
            <v>G1</v>
          </cell>
          <cell r="M200" t="str">
            <v>A</v>
          </cell>
          <cell r="N200">
            <v>52057500</v>
          </cell>
          <cell r="O200">
            <v>1200000</v>
          </cell>
          <cell r="P200">
            <v>13831320</v>
          </cell>
          <cell r="Q200">
            <v>1.5</v>
          </cell>
          <cell r="R200">
            <v>52057500</v>
          </cell>
          <cell r="S200">
            <v>0</v>
          </cell>
          <cell r="T200">
            <v>5000000</v>
          </cell>
          <cell r="U200">
            <v>0</v>
          </cell>
          <cell r="V200">
            <v>0</v>
          </cell>
          <cell r="W200">
            <v>1200000</v>
          </cell>
          <cell r="X200">
            <v>20746980</v>
          </cell>
          <cell r="Y200">
            <v>0</v>
          </cell>
          <cell r="Z200">
            <v>0</v>
          </cell>
          <cell r="AA200">
            <v>0</v>
          </cell>
          <cell r="AB200">
            <v>79004480</v>
          </cell>
          <cell r="AC200">
            <v>52057500</v>
          </cell>
          <cell r="AD200">
            <v>20746980</v>
          </cell>
          <cell r="AE200">
            <v>0</v>
          </cell>
          <cell r="AF200">
            <v>5000000</v>
          </cell>
          <cell r="AG200">
            <v>5000000</v>
          </cell>
          <cell r="AH200">
            <v>0</v>
          </cell>
          <cell r="AK200">
            <v>1200000</v>
          </cell>
          <cell r="AL200">
            <v>79004480</v>
          </cell>
          <cell r="AM200">
            <v>200</v>
          </cell>
        </row>
        <row r="201">
          <cell r="A201" t="str">
            <v>이강해</v>
          </cell>
          <cell r="B201">
            <v>9131156</v>
          </cell>
          <cell r="C201" t="str">
            <v>1010101</v>
          </cell>
          <cell r="D201" t="str">
            <v>서울사업단</v>
          </cell>
          <cell r="E201" t="str">
            <v>서울사업단</v>
          </cell>
          <cell r="F201" t="str">
            <v>마케팅팀장</v>
          </cell>
          <cell r="G201" t="str">
            <v>팀장</v>
          </cell>
          <cell r="H201" t="str">
            <v>12</v>
          </cell>
          <cell r="I201" t="str">
            <v>01</v>
          </cell>
          <cell r="J201">
            <v>1201</v>
          </cell>
          <cell r="K201" t="str">
            <v>일반직</v>
          </cell>
          <cell r="L201" t="str">
            <v>G1</v>
          </cell>
          <cell r="M201" t="str">
            <v>B</v>
          </cell>
          <cell r="N201">
            <v>52177500</v>
          </cell>
          <cell r="O201">
            <v>1200000</v>
          </cell>
          <cell r="P201">
            <v>14633780</v>
          </cell>
          <cell r="Q201">
            <v>1</v>
          </cell>
          <cell r="R201">
            <v>52177500</v>
          </cell>
          <cell r="S201">
            <v>0</v>
          </cell>
          <cell r="T201">
            <v>5000000</v>
          </cell>
          <cell r="U201">
            <v>0</v>
          </cell>
          <cell r="V201">
            <v>0</v>
          </cell>
          <cell r="W201">
            <v>1200000</v>
          </cell>
          <cell r="X201">
            <v>14633780</v>
          </cell>
          <cell r="Y201">
            <v>0</v>
          </cell>
          <cell r="Z201">
            <v>0</v>
          </cell>
          <cell r="AA201">
            <v>0</v>
          </cell>
          <cell r="AB201">
            <v>73011280</v>
          </cell>
          <cell r="AC201">
            <v>52177500</v>
          </cell>
          <cell r="AD201">
            <v>14633780</v>
          </cell>
          <cell r="AE201">
            <v>0</v>
          </cell>
          <cell r="AF201">
            <v>5000000</v>
          </cell>
          <cell r="AG201">
            <v>5000000</v>
          </cell>
          <cell r="AH201">
            <v>0</v>
          </cell>
          <cell r="AK201">
            <v>1200000</v>
          </cell>
          <cell r="AL201">
            <v>73011280</v>
          </cell>
          <cell r="AM201">
            <v>201</v>
          </cell>
        </row>
        <row r="202">
          <cell r="A202" t="str">
            <v>양효수</v>
          </cell>
          <cell r="B202">
            <v>9131261</v>
          </cell>
          <cell r="C202" t="str">
            <v>1010101</v>
          </cell>
          <cell r="D202" t="str">
            <v>서울사업단</v>
          </cell>
          <cell r="E202" t="str">
            <v>서울사업단</v>
          </cell>
          <cell r="F202" t="str">
            <v>부사업단장</v>
          </cell>
          <cell r="G202" t="str">
            <v>부장</v>
          </cell>
          <cell r="H202" t="str">
            <v>12</v>
          </cell>
          <cell r="I202" t="str">
            <v>01</v>
          </cell>
          <cell r="J202">
            <v>1201</v>
          </cell>
          <cell r="K202" t="str">
            <v>일반직</v>
          </cell>
          <cell r="L202" t="str">
            <v>G1</v>
          </cell>
          <cell r="M202" t="str">
            <v>B</v>
          </cell>
          <cell r="N202">
            <v>52057500</v>
          </cell>
          <cell r="O202">
            <v>1200000</v>
          </cell>
          <cell r="P202">
            <v>14152310</v>
          </cell>
          <cell r="Q202">
            <v>1</v>
          </cell>
          <cell r="R202">
            <v>52057500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1200000</v>
          </cell>
          <cell r="X202">
            <v>14152310</v>
          </cell>
          <cell r="Y202">
            <v>0</v>
          </cell>
          <cell r="Z202">
            <v>0</v>
          </cell>
          <cell r="AA202">
            <v>0</v>
          </cell>
          <cell r="AB202">
            <v>67409810</v>
          </cell>
          <cell r="AC202">
            <v>52057500</v>
          </cell>
          <cell r="AD202">
            <v>14152310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K202">
            <v>1200000</v>
          </cell>
          <cell r="AL202">
            <v>67409810</v>
          </cell>
          <cell r="AM202">
            <v>202</v>
          </cell>
        </row>
        <row r="203">
          <cell r="A203" t="str">
            <v>문석주</v>
          </cell>
          <cell r="B203">
            <v>9131270</v>
          </cell>
          <cell r="C203" t="str">
            <v>1010101</v>
          </cell>
          <cell r="D203" t="str">
            <v>서울사업단</v>
          </cell>
          <cell r="E203" t="str">
            <v>서울사업단</v>
          </cell>
          <cell r="F203" t="str">
            <v>고객지원</v>
          </cell>
          <cell r="G203" t="str">
            <v>차장</v>
          </cell>
          <cell r="H203" t="str">
            <v>12</v>
          </cell>
          <cell r="I203" t="str">
            <v>01</v>
          </cell>
          <cell r="J203">
            <v>1201</v>
          </cell>
          <cell r="K203" t="str">
            <v>일반직</v>
          </cell>
          <cell r="L203" t="str">
            <v>G1</v>
          </cell>
          <cell r="M203" t="str">
            <v>B</v>
          </cell>
          <cell r="N203">
            <v>52057500</v>
          </cell>
          <cell r="O203">
            <v>1200000</v>
          </cell>
          <cell r="P203">
            <v>14152310</v>
          </cell>
          <cell r="Q203">
            <v>1</v>
          </cell>
          <cell r="R203">
            <v>52057500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1200000</v>
          </cell>
          <cell r="X203">
            <v>14152310</v>
          </cell>
          <cell r="Y203">
            <v>-586200</v>
          </cell>
          <cell r="Z203">
            <v>0</v>
          </cell>
          <cell r="AA203">
            <v>0</v>
          </cell>
          <cell r="AB203">
            <v>66823610</v>
          </cell>
          <cell r="AC203">
            <v>52057500</v>
          </cell>
          <cell r="AD203">
            <v>13566110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K203">
            <v>1200000</v>
          </cell>
          <cell r="AL203">
            <v>66823610</v>
          </cell>
          <cell r="AM203">
            <v>203</v>
          </cell>
        </row>
        <row r="204">
          <cell r="A204" t="str">
            <v>한태순</v>
          </cell>
          <cell r="B204">
            <v>9131482</v>
          </cell>
          <cell r="C204" t="str">
            <v>1013792</v>
          </cell>
          <cell r="D204" t="str">
            <v>서울사업단</v>
          </cell>
          <cell r="E204" t="str">
            <v>숭례지점</v>
          </cell>
          <cell r="F204" t="str">
            <v>부지점장</v>
          </cell>
          <cell r="G204" t="str">
            <v>차장</v>
          </cell>
          <cell r="H204" t="str">
            <v>21</v>
          </cell>
          <cell r="I204" t="str">
            <v>01</v>
          </cell>
          <cell r="J204">
            <v>2101</v>
          </cell>
          <cell r="K204" t="str">
            <v>일반직</v>
          </cell>
          <cell r="L204" t="str">
            <v>G1</v>
          </cell>
          <cell r="M204" t="str">
            <v>B</v>
          </cell>
          <cell r="N204">
            <v>45930000</v>
          </cell>
          <cell r="O204">
            <v>1200000</v>
          </cell>
          <cell r="P204">
            <v>12302800</v>
          </cell>
          <cell r="Q204">
            <v>1</v>
          </cell>
          <cell r="R204">
            <v>45930000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1200000</v>
          </cell>
          <cell r="X204">
            <v>12302800</v>
          </cell>
          <cell r="Y204">
            <v>-586200</v>
          </cell>
          <cell r="Z204">
            <v>0</v>
          </cell>
          <cell r="AA204">
            <v>0</v>
          </cell>
          <cell r="AB204">
            <v>58846600</v>
          </cell>
          <cell r="AC204">
            <v>45930000</v>
          </cell>
          <cell r="AD204">
            <v>11716600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K204">
            <v>1200000</v>
          </cell>
          <cell r="AL204">
            <v>58846600</v>
          </cell>
          <cell r="AM204">
            <v>204</v>
          </cell>
        </row>
        <row r="205">
          <cell r="A205" t="str">
            <v>양정옥</v>
          </cell>
          <cell r="B205">
            <v>9131911</v>
          </cell>
          <cell r="C205" t="str">
            <v>1014201</v>
          </cell>
          <cell r="D205" t="str">
            <v>서울사업단</v>
          </cell>
          <cell r="E205" t="str">
            <v>도봉지점</v>
          </cell>
          <cell r="F205" t="str">
            <v>지점선임</v>
          </cell>
          <cell r="G205" t="str">
            <v>대리</v>
          </cell>
          <cell r="H205" t="str">
            <v>31</v>
          </cell>
          <cell r="I205" t="str">
            <v>04</v>
          </cell>
          <cell r="J205">
            <v>3104</v>
          </cell>
          <cell r="K205" t="str">
            <v>사무직</v>
          </cell>
          <cell r="L205" t="str">
            <v>G3</v>
          </cell>
          <cell r="M205" t="str">
            <v>C</v>
          </cell>
          <cell r="N205">
            <v>37807870</v>
          </cell>
          <cell r="O205">
            <v>1200000</v>
          </cell>
          <cell r="P205">
            <v>6214000</v>
          </cell>
          <cell r="Q205">
            <v>0.5</v>
          </cell>
          <cell r="R205">
            <v>37807870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1200000</v>
          </cell>
          <cell r="X205">
            <v>3107000</v>
          </cell>
          <cell r="Y205">
            <v>0</v>
          </cell>
          <cell r="Z205">
            <v>0</v>
          </cell>
          <cell r="AA205">
            <v>0</v>
          </cell>
          <cell r="AB205">
            <v>42114870</v>
          </cell>
          <cell r="AC205">
            <v>37807870</v>
          </cell>
          <cell r="AD205">
            <v>3107000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K205">
            <v>1200000</v>
          </cell>
          <cell r="AL205">
            <v>42114870</v>
          </cell>
          <cell r="AM205">
            <v>205</v>
          </cell>
        </row>
        <row r="206">
          <cell r="A206" t="str">
            <v>문정식</v>
          </cell>
          <cell r="B206">
            <v>9131563</v>
          </cell>
          <cell r="C206" t="str">
            <v>1014202</v>
          </cell>
          <cell r="D206" t="str">
            <v>서울사업단</v>
          </cell>
          <cell r="E206" t="str">
            <v>동대문지점</v>
          </cell>
          <cell r="F206" t="str">
            <v>지점선임</v>
          </cell>
          <cell r="G206" t="str">
            <v>과장</v>
          </cell>
          <cell r="H206" t="str">
            <v>22</v>
          </cell>
          <cell r="I206" t="str">
            <v>10</v>
          </cell>
          <cell r="J206">
            <v>2210</v>
          </cell>
          <cell r="K206" t="str">
            <v>일반직</v>
          </cell>
          <cell r="L206" t="str">
            <v>G2</v>
          </cell>
          <cell r="M206" t="str">
            <v>C</v>
          </cell>
          <cell r="N206">
            <v>40734000</v>
          </cell>
          <cell r="O206">
            <v>1200000</v>
          </cell>
          <cell r="P206">
            <v>10126040</v>
          </cell>
          <cell r="Q206">
            <v>0.5</v>
          </cell>
          <cell r="R206">
            <v>40734000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1200000</v>
          </cell>
          <cell r="X206">
            <v>5063020</v>
          </cell>
          <cell r="Y206">
            <v>0</v>
          </cell>
          <cell r="Z206">
            <v>0</v>
          </cell>
          <cell r="AA206">
            <v>0</v>
          </cell>
          <cell r="AB206">
            <v>46997020</v>
          </cell>
          <cell r="AC206">
            <v>40734000</v>
          </cell>
          <cell r="AD206">
            <v>5063020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K206">
            <v>1200000</v>
          </cell>
          <cell r="AL206">
            <v>46997020</v>
          </cell>
          <cell r="AM206">
            <v>206</v>
          </cell>
        </row>
        <row r="207">
          <cell r="A207" t="str">
            <v>김인찬</v>
          </cell>
          <cell r="B207">
            <v>9133795</v>
          </cell>
          <cell r="C207" t="str">
            <v>1014203</v>
          </cell>
          <cell r="D207" t="str">
            <v>서울사업단</v>
          </cell>
          <cell r="E207" t="str">
            <v>노원지점</v>
          </cell>
          <cell r="F207" t="str">
            <v>부지점장</v>
          </cell>
          <cell r="G207" t="str">
            <v>과장</v>
          </cell>
          <cell r="H207" t="str">
            <v>21</v>
          </cell>
          <cell r="I207" t="str">
            <v>01</v>
          </cell>
          <cell r="J207">
            <v>2101</v>
          </cell>
          <cell r="K207" t="str">
            <v>일반직</v>
          </cell>
          <cell r="L207" t="str">
            <v>G1</v>
          </cell>
          <cell r="M207" t="str">
            <v>B</v>
          </cell>
          <cell r="N207">
            <v>45810000</v>
          </cell>
          <cell r="O207">
            <v>1200000</v>
          </cell>
          <cell r="P207">
            <v>11306740</v>
          </cell>
          <cell r="Q207">
            <v>1</v>
          </cell>
          <cell r="R207">
            <v>45810000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1200000</v>
          </cell>
          <cell r="X207">
            <v>11306740</v>
          </cell>
          <cell r="Y207">
            <v>-586200</v>
          </cell>
          <cell r="Z207">
            <v>0</v>
          </cell>
          <cell r="AA207">
            <v>0</v>
          </cell>
          <cell r="AB207">
            <v>57730540</v>
          </cell>
          <cell r="AC207">
            <v>45810000</v>
          </cell>
          <cell r="AD207">
            <v>10720540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K207">
            <v>1200000</v>
          </cell>
          <cell r="AL207">
            <v>57730540</v>
          </cell>
          <cell r="AM207">
            <v>207</v>
          </cell>
        </row>
        <row r="208">
          <cell r="A208" t="str">
            <v>정병오</v>
          </cell>
          <cell r="B208">
            <v>9131245</v>
          </cell>
          <cell r="C208" t="str">
            <v>1014208</v>
          </cell>
          <cell r="D208" t="str">
            <v>서울사업단</v>
          </cell>
          <cell r="E208" t="str">
            <v>중앙지점</v>
          </cell>
          <cell r="F208" t="str">
            <v>부지점장</v>
          </cell>
          <cell r="G208" t="str">
            <v>차장</v>
          </cell>
          <cell r="H208" t="str">
            <v>21</v>
          </cell>
          <cell r="I208" t="str">
            <v>03</v>
          </cell>
          <cell r="J208">
            <v>2103</v>
          </cell>
          <cell r="K208" t="str">
            <v>일반직</v>
          </cell>
          <cell r="L208" t="str">
            <v>G1</v>
          </cell>
          <cell r="M208" t="str">
            <v>C</v>
          </cell>
          <cell r="N208">
            <v>46680000</v>
          </cell>
          <cell r="O208">
            <v>1200000</v>
          </cell>
          <cell r="P208">
            <v>12756560</v>
          </cell>
          <cell r="Q208">
            <v>0.5</v>
          </cell>
          <cell r="R208">
            <v>46680000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1200000</v>
          </cell>
          <cell r="X208">
            <v>6378280</v>
          </cell>
          <cell r="Y208">
            <v>-586200</v>
          </cell>
          <cell r="Z208">
            <v>0</v>
          </cell>
          <cell r="AA208">
            <v>0</v>
          </cell>
          <cell r="AB208">
            <v>53672080</v>
          </cell>
          <cell r="AC208">
            <v>46680000</v>
          </cell>
          <cell r="AD208">
            <v>5792080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K208">
            <v>1200000</v>
          </cell>
          <cell r="AL208">
            <v>53672080</v>
          </cell>
          <cell r="AM208">
            <v>208</v>
          </cell>
        </row>
        <row r="209">
          <cell r="A209" t="str">
            <v>임환수</v>
          </cell>
          <cell r="B209">
            <v>9133248</v>
          </cell>
          <cell r="C209" t="str">
            <v>1014209</v>
          </cell>
          <cell r="D209" t="str">
            <v>서울사업단</v>
          </cell>
          <cell r="E209" t="str">
            <v>경성지점</v>
          </cell>
          <cell r="F209" t="str">
            <v>지점선임</v>
          </cell>
          <cell r="G209" t="str">
            <v>과장</v>
          </cell>
          <cell r="H209" t="str">
            <v>22</v>
          </cell>
          <cell r="I209" t="str">
            <v>04</v>
          </cell>
          <cell r="J209">
            <v>2204</v>
          </cell>
          <cell r="K209" t="str">
            <v>일반직</v>
          </cell>
          <cell r="L209" t="str">
            <v>G2</v>
          </cell>
          <cell r="M209" t="str">
            <v>A</v>
          </cell>
          <cell r="N209">
            <v>39606000</v>
          </cell>
          <cell r="O209">
            <v>1200000</v>
          </cell>
          <cell r="P209">
            <v>9246440</v>
          </cell>
          <cell r="Q209">
            <v>1.5</v>
          </cell>
          <cell r="R209">
            <v>39606000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1200000</v>
          </cell>
          <cell r="X209">
            <v>13869660</v>
          </cell>
          <cell r="Y209">
            <v>0</v>
          </cell>
          <cell r="Z209">
            <v>440490</v>
          </cell>
          <cell r="AA209">
            <v>0</v>
          </cell>
          <cell r="AB209">
            <v>55116150</v>
          </cell>
          <cell r="AC209">
            <v>39606000</v>
          </cell>
          <cell r="AD209">
            <v>14310150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K209">
            <v>1200000</v>
          </cell>
          <cell r="AL209">
            <v>55116150</v>
          </cell>
          <cell r="AM209">
            <v>209</v>
          </cell>
        </row>
        <row r="210">
          <cell r="A210" t="str">
            <v>김종백</v>
          </cell>
          <cell r="B210">
            <v>9131075</v>
          </cell>
          <cell r="C210" t="str">
            <v>1014210</v>
          </cell>
          <cell r="D210" t="str">
            <v>서울사업단</v>
          </cell>
          <cell r="E210" t="str">
            <v>충무로지점</v>
          </cell>
          <cell r="F210" t="str">
            <v>부지점장</v>
          </cell>
          <cell r="G210" t="str">
            <v>차장</v>
          </cell>
          <cell r="H210" t="str">
            <v>21</v>
          </cell>
          <cell r="I210" t="str">
            <v>07</v>
          </cell>
          <cell r="J210">
            <v>2107</v>
          </cell>
          <cell r="K210" t="str">
            <v>일반직</v>
          </cell>
          <cell r="L210" t="str">
            <v>G1</v>
          </cell>
          <cell r="M210" t="str">
            <v>C</v>
          </cell>
          <cell r="N210">
            <v>47730000</v>
          </cell>
          <cell r="O210">
            <v>1200000</v>
          </cell>
          <cell r="P210">
            <v>13923780</v>
          </cell>
          <cell r="Q210">
            <v>0.5</v>
          </cell>
          <cell r="R210">
            <v>47730000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1200000</v>
          </cell>
          <cell r="X210">
            <v>6961890</v>
          </cell>
          <cell r="Y210">
            <v>-586200</v>
          </cell>
          <cell r="Z210">
            <v>0</v>
          </cell>
          <cell r="AA210">
            <v>0</v>
          </cell>
          <cell r="AB210">
            <v>55305690</v>
          </cell>
          <cell r="AC210">
            <v>47730000</v>
          </cell>
          <cell r="AD210">
            <v>6375690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K210">
            <v>1200000</v>
          </cell>
          <cell r="AL210">
            <v>55305690</v>
          </cell>
          <cell r="AM210">
            <v>210</v>
          </cell>
        </row>
        <row r="211">
          <cell r="A211" t="str">
            <v>양선필</v>
          </cell>
          <cell r="B211">
            <v>9131130</v>
          </cell>
          <cell r="C211" t="str">
            <v>1014211</v>
          </cell>
          <cell r="D211" t="str">
            <v>서울사업단</v>
          </cell>
          <cell r="E211" t="str">
            <v>서부지점</v>
          </cell>
          <cell r="F211" t="str">
            <v>부지점장</v>
          </cell>
          <cell r="G211" t="str">
            <v>차장</v>
          </cell>
          <cell r="H211" t="str">
            <v>21</v>
          </cell>
          <cell r="I211" t="str">
            <v>06</v>
          </cell>
          <cell r="J211">
            <v>2106</v>
          </cell>
          <cell r="K211" t="str">
            <v>일반직</v>
          </cell>
          <cell r="L211" t="str">
            <v>G1</v>
          </cell>
          <cell r="M211" t="str">
            <v>B</v>
          </cell>
          <cell r="N211">
            <v>47520000</v>
          </cell>
          <cell r="O211">
            <v>1200000</v>
          </cell>
          <cell r="P211">
            <v>13569680</v>
          </cell>
          <cell r="Q211">
            <v>1</v>
          </cell>
          <cell r="R211">
            <v>47520000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1200000</v>
          </cell>
          <cell r="X211">
            <v>13569680</v>
          </cell>
          <cell r="Y211">
            <v>-586200</v>
          </cell>
          <cell r="Z211">
            <v>0</v>
          </cell>
          <cell r="AA211">
            <v>0</v>
          </cell>
          <cell r="AB211">
            <v>61703480</v>
          </cell>
          <cell r="AC211">
            <v>47520000</v>
          </cell>
          <cell r="AD211">
            <v>12983480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K211">
            <v>1200000</v>
          </cell>
          <cell r="AL211">
            <v>61703480</v>
          </cell>
          <cell r="AM211">
            <v>211</v>
          </cell>
        </row>
        <row r="212">
          <cell r="A212" t="str">
            <v>안광오</v>
          </cell>
          <cell r="B212">
            <v>9133086</v>
          </cell>
          <cell r="C212" t="str">
            <v>1014214</v>
          </cell>
          <cell r="D212" t="str">
            <v>서울사업단</v>
          </cell>
          <cell r="E212" t="str">
            <v>광화문지점</v>
          </cell>
          <cell r="F212" t="str">
            <v>지점선임</v>
          </cell>
          <cell r="G212" t="str">
            <v>과장</v>
          </cell>
          <cell r="H212" t="str">
            <v>22</v>
          </cell>
          <cell r="I212" t="str">
            <v>04</v>
          </cell>
          <cell r="J212">
            <v>2204</v>
          </cell>
          <cell r="K212" t="str">
            <v>일반직</v>
          </cell>
          <cell r="L212" t="str">
            <v>G2</v>
          </cell>
          <cell r="M212" t="str">
            <v>A</v>
          </cell>
          <cell r="N212">
            <v>39606000</v>
          </cell>
          <cell r="O212">
            <v>1200000</v>
          </cell>
          <cell r="P212">
            <v>9246440</v>
          </cell>
          <cell r="Q212">
            <v>1.5</v>
          </cell>
          <cell r="R212">
            <v>39606000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1200000</v>
          </cell>
          <cell r="X212">
            <v>13869660</v>
          </cell>
          <cell r="Y212">
            <v>0</v>
          </cell>
          <cell r="Z212">
            <v>440490</v>
          </cell>
          <cell r="AA212">
            <v>0</v>
          </cell>
          <cell r="AB212">
            <v>55116150</v>
          </cell>
          <cell r="AC212">
            <v>39606000</v>
          </cell>
          <cell r="AD212">
            <v>14310150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K212">
            <v>1200000</v>
          </cell>
          <cell r="AL212">
            <v>55116150</v>
          </cell>
          <cell r="AM212">
            <v>212</v>
          </cell>
        </row>
        <row r="213">
          <cell r="A213" t="str">
            <v>신철하</v>
          </cell>
          <cell r="B213">
            <v>9131113</v>
          </cell>
          <cell r="C213" t="str">
            <v>1014215</v>
          </cell>
          <cell r="D213" t="str">
            <v>서울사업단</v>
          </cell>
          <cell r="E213" t="str">
            <v>프론티어지점</v>
          </cell>
          <cell r="F213" t="str">
            <v>부지점장</v>
          </cell>
          <cell r="G213" t="str">
            <v>차장</v>
          </cell>
          <cell r="H213" t="str">
            <v>21</v>
          </cell>
          <cell r="I213" t="str">
            <v>05</v>
          </cell>
          <cell r="J213">
            <v>2105</v>
          </cell>
          <cell r="K213" t="str">
            <v>일반직</v>
          </cell>
          <cell r="L213" t="str">
            <v>G1</v>
          </cell>
          <cell r="M213" t="str">
            <v>C</v>
          </cell>
          <cell r="N213">
            <v>47310000</v>
          </cell>
          <cell r="O213">
            <v>1200000</v>
          </cell>
          <cell r="P213">
            <v>13510670</v>
          </cell>
          <cell r="Q213">
            <v>0.5</v>
          </cell>
          <cell r="R213">
            <v>47310000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1200000</v>
          </cell>
          <cell r="X213">
            <v>6755340</v>
          </cell>
          <cell r="Y213">
            <v>-586200</v>
          </cell>
          <cell r="Z213">
            <v>0</v>
          </cell>
          <cell r="AA213">
            <v>0</v>
          </cell>
          <cell r="AB213">
            <v>54679140</v>
          </cell>
          <cell r="AC213">
            <v>47310000</v>
          </cell>
          <cell r="AD213">
            <v>6169140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K213">
            <v>1200000</v>
          </cell>
          <cell r="AL213">
            <v>54679140</v>
          </cell>
          <cell r="AM213">
            <v>213</v>
          </cell>
        </row>
        <row r="214">
          <cell r="A214" t="str">
            <v>김영인</v>
          </cell>
          <cell r="B214">
            <v>9106348</v>
          </cell>
          <cell r="C214" t="str">
            <v>1014217</v>
          </cell>
          <cell r="D214" t="str">
            <v>서울사업단</v>
          </cell>
          <cell r="E214" t="str">
            <v>영등포지점</v>
          </cell>
          <cell r="F214" t="str">
            <v>지점선임</v>
          </cell>
          <cell r="G214" t="str">
            <v>대리</v>
          </cell>
          <cell r="H214" t="str">
            <v>22</v>
          </cell>
          <cell r="I214" t="str">
            <v>03</v>
          </cell>
          <cell r="J214">
            <v>2203</v>
          </cell>
          <cell r="K214" t="str">
            <v>일반직</v>
          </cell>
          <cell r="L214" t="str">
            <v>G2</v>
          </cell>
          <cell r="M214" t="str">
            <v>C</v>
          </cell>
          <cell r="N214">
            <v>39333000</v>
          </cell>
          <cell r="O214">
            <v>1200000</v>
          </cell>
          <cell r="P214">
            <v>9179940</v>
          </cell>
          <cell r="Q214">
            <v>0.5</v>
          </cell>
          <cell r="R214">
            <v>39333000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1200000</v>
          </cell>
          <cell r="X214">
            <v>4589970</v>
          </cell>
          <cell r="Y214">
            <v>0</v>
          </cell>
          <cell r="Z214">
            <v>0</v>
          </cell>
          <cell r="AA214">
            <v>0</v>
          </cell>
          <cell r="AB214">
            <v>45122970</v>
          </cell>
          <cell r="AC214">
            <v>39333000</v>
          </cell>
          <cell r="AD214">
            <v>4589970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K214">
            <v>1200000</v>
          </cell>
          <cell r="AL214">
            <v>45122970</v>
          </cell>
          <cell r="AM214">
            <v>214</v>
          </cell>
        </row>
        <row r="215">
          <cell r="A215" t="str">
            <v>박광진</v>
          </cell>
          <cell r="B215">
            <v>9131636</v>
          </cell>
          <cell r="C215" t="str">
            <v>1014221</v>
          </cell>
          <cell r="D215" t="str">
            <v>서울사업단</v>
          </cell>
          <cell r="E215" t="str">
            <v>구로지점</v>
          </cell>
          <cell r="F215" t="str">
            <v>부지점장</v>
          </cell>
          <cell r="G215" t="str">
            <v>과장</v>
          </cell>
          <cell r="H215" t="str">
            <v>21</v>
          </cell>
          <cell r="I215" t="str">
            <v>01</v>
          </cell>
          <cell r="J215">
            <v>2101</v>
          </cell>
          <cell r="K215" t="str">
            <v>일반직</v>
          </cell>
          <cell r="L215" t="str">
            <v>G1</v>
          </cell>
          <cell r="M215" t="str">
            <v>B</v>
          </cell>
          <cell r="N215">
            <v>45930000</v>
          </cell>
          <cell r="O215">
            <v>1200000</v>
          </cell>
          <cell r="P215">
            <v>12160510</v>
          </cell>
          <cell r="Q215">
            <v>1</v>
          </cell>
          <cell r="R215">
            <v>45930000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1200000</v>
          </cell>
          <cell r="X215">
            <v>12160510</v>
          </cell>
          <cell r="Y215">
            <v>-586200</v>
          </cell>
          <cell r="Z215">
            <v>0</v>
          </cell>
          <cell r="AA215">
            <v>0</v>
          </cell>
          <cell r="AB215">
            <v>58704310</v>
          </cell>
          <cell r="AC215">
            <v>45930000</v>
          </cell>
          <cell r="AD215">
            <v>11574310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K215">
            <v>1200000</v>
          </cell>
          <cell r="AL215">
            <v>58704310</v>
          </cell>
          <cell r="AM215">
            <v>215</v>
          </cell>
        </row>
        <row r="216">
          <cell r="A216" t="str">
            <v>박순식</v>
          </cell>
          <cell r="B216">
            <v>9132268</v>
          </cell>
          <cell r="C216" t="str">
            <v>1014222</v>
          </cell>
          <cell r="D216" t="str">
            <v>서울사업단</v>
          </cell>
          <cell r="E216" t="str">
            <v>공항지점</v>
          </cell>
          <cell r="F216" t="str">
            <v>부지점장</v>
          </cell>
          <cell r="G216" t="str">
            <v>과장</v>
          </cell>
          <cell r="H216" t="str">
            <v>21</v>
          </cell>
          <cell r="I216" t="str">
            <v>01</v>
          </cell>
          <cell r="J216">
            <v>2101</v>
          </cell>
          <cell r="K216" t="str">
            <v>일반직</v>
          </cell>
          <cell r="L216" t="str">
            <v>G1</v>
          </cell>
          <cell r="M216" t="str">
            <v>B</v>
          </cell>
          <cell r="N216">
            <v>45810000</v>
          </cell>
          <cell r="O216">
            <v>1200000</v>
          </cell>
          <cell r="P216">
            <v>11875920</v>
          </cell>
          <cell r="Q216">
            <v>1</v>
          </cell>
          <cell r="R216">
            <v>45810000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1200000</v>
          </cell>
          <cell r="X216">
            <v>11875920</v>
          </cell>
          <cell r="Y216">
            <v>-586200</v>
          </cell>
          <cell r="Z216">
            <v>0</v>
          </cell>
          <cell r="AA216">
            <v>0</v>
          </cell>
          <cell r="AB216">
            <v>58299720</v>
          </cell>
          <cell r="AC216">
            <v>45810000</v>
          </cell>
          <cell r="AD216">
            <v>11289720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K216">
            <v>1200000</v>
          </cell>
          <cell r="AL216">
            <v>58299720</v>
          </cell>
          <cell r="AM216">
            <v>216</v>
          </cell>
        </row>
        <row r="217">
          <cell r="A217" t="str">
            <v>최민영</v>
          </cell>
          <cell r="B217">
            <v>9132624</v>
          </cell>
          <cell r="C217" t="str">
            <v>1014223</v>
          </cell>
          <cell r="D217" t="str">
            <v>서울사업단</v>
          </cell>
          <cell r="E217" t="str">
            <v>강서지점</v>
          </cell>
          <cell r="F217" t="str">
            <v>지점선임</v>
          </cell>
          <cell r="G217" t="str">
            <v>대리</v>
          </cell>
          <cell r="H217" t="str">
            <v>31</v>
          </cell>
          <cell r="I217" t="str">
            <v>03</v>
          </cell>
          <cell r="J217">
            <v>3103</v>
          </cell>
          <cell r="K217" t="str">
            <v>사무직</v>
          </cell>
          <cell r="L217" t="str">
            <v>G3</v>
          </cell>
          <cell r="M217" t="str">
            <v>B</v>
          </cell>
          <cell r="N217">
            <v>37288860</v>
          </cell>
          <cell r="O217">
            <v>1200000</v>
          </cell>
          <cell r="P217">
            <v>6182000</v>
          </cell>
          <cell r="Q217">
            <v>1</v>
          </cell>
          <cell r="R217">
            <v>37288860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1200000</v>
          </cell>
          <cell r="X217">
            <v>6182000</v>
          </cell>
          <cell r="Y217">
            <v>0</v>
          </cell>
          <cell r="Z217">
            <v>0</v>
          </cell>
          <cell r="AA217">
            <v>0</v>
          </cell>
          <cell r="AB217">
            <v>44670860</v>
          </cell>
          <cell r="AC217">
            <v>37288860</v>
          </cell>
          <cell r="AD217">
            <v>6182000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K217">
            <v>1200000</v>
          </cell>
          <cell r="AL217">
            <v>44670860</v>
          </cell>
          <cell r="AM217">
            <v>217</v>
          </cell>
        </row>
        <row r="218">
          <cell r="A218" t="str">
            <v>김정환</v>
          </cell>
          <cell r="B218">
            <v>9132780</v>
          </cell>
          <cell r="C218" t="str">
            <v>1014226</v>
          </cell>
          <cell r="D218" t="str">
            <v>서울사업단</v>
          </cell>
          <cell r="E218" t="str">
            <v>강남지점</v>
          </cell>
          <cell r="F218" t="str">
            <v>지점선임</v>
          </cell>
          <cell r="G218" t="str">
            <v>과장</v>
          </cell>
          <cell r="H218" t="str">
            <v>22</v>
          </cell>
          <cell r="I218" t="str">
            <v>06</v>
          </cell>
          <cell r="J218">
            <v>2206</v>
          </cell>
          <cell r="K218" t="str">
            <v>일반직</v>
          </cell>
          <cell r="L218" t="str">
            <v>G2</v>
          </cell>
          <cell r="M218" t="str">
            <v>A</v>
          </cell>
          <cell r="N218">
            <v>39984000</v>
          </cell>
          <cell r="O218">
            <v>1200000</v>
          </cell>
          <cell r="P218">
            <v>9463350</v>
          </cell>
          <cell r="Q218">
            <v>1.5</v>
          </cell>
          <cell r="R218">
            <v>39984000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1200000</v>
          </cell>
          <cell r="X218">
            <v>14195030</v>
          </cell>
          <cell r="Y218">
            <v>0</v>
          </cell>
          <cell r="Z218">
            <v>440490</v>
          </cell>
          <cell r="AA218">
            <v>0</v>
          </cell>
          <cell r="AB218">
            <v>55819520</v>
          </cell>
          <cell r="AC218">
            <v>39984000</v>
          </cell>
          <cell r="AD218">
            <v>14635520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K218">
            <v>1200000</v>
          </cell>
          <cell r="AL218">
            <v>55819520</v>
          </cell>
          <cell r="AM218">
            <v>218</v>
          </cell>
        </row>
        <row r="219">
          <cell r="A219" t="str">
            <v>유금희</v>
          </cell>
          <cell r="B219">
            <v>9081744</v>
          </cell>
          <cell r="C219" t="str">
            <v>1014228</v>
          </cell>
          <cell r="D219" t="str">
            <v>서울사업단</v>
          </cell>
          <cell r="E219" t="str">
            <v>잠실지점</v>
          </cell>
          <cell r="F219" t="str">
            <v>지점선임</v>
          </cell>
          <cell r="G219" t="str">
            <v>대리</v>
          </cell>
          <cell r="H219" t="str">
            <v>31</v>
          </cell>
          <cell r="I219" t="str">
            <v>04</v>
          </cell>
          <cell r="J219">
            <v>3104</v>
          </cell>
          <cell r="K219" t="str">
            <v>사무직</v>
          </cell>
          <cell r="L219" t="str">
            <v>G3</v>
          </cell>
          <cell r="M219" t="str">
            <v>D</v>
          </cell>
          <cell r="N219">
            <v>37807870</v>
          </cell>
          <cell r="O219">
            <v>1200000</v>
          </cell>
          <cell r="P219">
            <v>6214000</v>
          </cell>
          <cell r="Q219">
            <v>0</v>
          </cell>
          <cell r="R219">
            <v>37807870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1200000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39007870</v>
          </cell>
          <cell r="AC219">
            <v>37807870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K219">
            <v>1200000</v>
          </cell>
          <cell r="AL219">
            <v>39007870</v>
          </cell>
          <cell r="AM219">
            <v>219</v>
          </cell>
        </row>
        <row r="220">
          <cell r="A220" t="str">
            <v>김선희</v>
          </cell>
          <cell r="B220">
            <v>9131644</v>
          </cell>
          <cell r="C220" t="str">
            <v>1014230</v>
          </cell>
          <cell r="D220" t="str">
            <v>서울사업단</v>
          </cell>
          <cell r="E220" t="str">
            <v>군자지점</v>
          </cell>
          <cell r="F220" t="str">
            <v>지점선임</v>
          </cell>
          <cell r="G220" t="str">
            <v>대리</v>
          </cell>
          <cell r="H220" t="str">
            <v>31</v>
          </cell>
          <cell r="I220" t="str">
            <v>02</v>
          </cell>
          <cell r="J220">
            <v>3102</v>
          </cell>
          <cell r="K220" t="str">
            <v>사무직</v>
          </cell>
          <cell r="L220" t="str">
            <v>G3</v>
          </cell>
          <cell r="M220" t="str">
            <v>B</v>
          </cell>
          <cell r="N220">
            <v>37456950</v>
          </cell>
          <cell r="O220">
            <v>1200000</v>
          </cell>
          <cell r="P220">
            <v>6134000</v>
          </cell>
          <cell r="Q220">
            <v>1</v>
          </cell>
          <cell r="R220">
            <v>37456950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1200000</v>
          </cell>
          <cell r="X220">
            <v>6134000</v>
          </cell>
          <cell r="Y220">
            <v>0</v>
          </cell>
          <cell r="Z220">
            <v>0</v>
          </cell>
          <cell r="AA220">
            <v>0</v>
          </cell>
          <cell r="AB220">
            <v>44790950</v>
          </cell>
          <cell r="AC220">
            <v>37456950</v>
          </cell>
          <cell r="AD220">
            <v>6134000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K220">
            <v>1200000</v>
          </cell>
          <cell r="AL220">
            <v>44790950</v>
          </cell>
          <cell r="AM220">
            <v>220</v>
          </cell>
        </row>
        <row r="221">
          <cell r="A221" t="str">
            <v>조항석</v>
          </cell>
          <cell r="B221">
            <v>9132209</v>
          </cell>
          <cell r="C221" t="str">
            <v>1014231</v>
          </cell>
          <cell r="D221" t="str">
            <v>서울사업단</v>
          </cell>
          <cell r="E221" t="str">
            <v>장안지점</v>
          </cell>
          <cell r="F221" t="str">
            <v>지점선임</v>
          </cell>
          <cell r="G221" t="str">
            <v>과장</v>
          </cell>
          <cell r="H221" t="str">
            <v>22</v>
          </cell>
          <cell r="I221" t="str">
            <v>07</v>
          </cell>
          <cell r="J221">
            <v>2207</v>
          </cell>
          <cell r="K221" t="str">
            <v>일반직</v>
          </cell>
          <cell r="L221" t="str">
            <v>G2</v>
          </cell>
          <cell r="M221" t="str">
            <v>B</v>
          </cell>
          <cell r="N221">
            <v>40293000</v>
          </cell>
          <cell r="O221">
            <v>1200000</v>
          </cell>
          <cell r="P221">
            <v>9760870</v>
          </cell>
          <cell r="Q221">
            <v>1</v>
          </cell>
          <cell r="R221">
            <v>40293000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1200000</v>
          </cell>
          <cell r="X221">
            <v>9760870</v>
          </cell>
          <cell r="Y221">
            <v>0</v>
          </cell>
          <cell r="Z221">
            <v>0</v>
          </cell>
          <cell r="AA221">
            <v>0</v>
          </cell>
          <cell r="AB221">
            <v>51253870</v>
          </cell>
          <cell r="AC221">
            <v>40293000</v>
          </cell>
          <cell r="AD221">
            <v>9760870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K221">
            <v>1200000</v>
          </cell>
          <cell r="AL221">
            <v>51253870</v>
          </cell>
          <cell r="AM221">
            <v>221</v>
          </cell>
        </row>
        <row r="222">
          <cell r="A222" t="str">
            <v>김순기</v>
          </cell>
          <cell r="B222">
            <v>9131997</v>
          </cell>
          <cell r="C222" t="str">
            <v>1014232</v>
          </cell>
          <cell r="D222" t="str">
            <v>서울사업단</v>
          </cell>
          <cell r="E222" t="str">
            <v>강동지점</v>
          </cell>
          <cell r="F222" t="str">
            <v>부지점장</v>
          </cell>
          <cell r="G222" t="str">
            <v>차장</v>
          </cell>
          <cell r="H222" t="str">
            <v>21</v>
          </cell>
          <cell r="I222" t="str">
            <v>01</v>
          </cell>
          <cell r="J222">
            <v>2101</v>
          </cell>
          <cell r="K222" t="str">
            <v>일반직</v>
          </cell>
          <cell r="L222" t="str">
            <v>G1</v>
          </cell>
          <cell r="M222" t="str">
            <v>A</v>
          </cell>
          <cell r="N222">
            <v>45930000</v>
          </cell>
          <cell r="O222">
            <v>1200000</v>
          </cell>
          <cell r="P222">
            <v>12018210</v>
          </cell>
          <cell r="Q222">
            <v>1.5</v>
          </cell>
          <cell r="R222">
            <v>45930000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1200000</v>
          </cell>
          <cell r="X222">
            <v>18027320</v>
          </cell>
          <cell r="Y222">
            <v>-586200</v>
          </cell>
          <cell r="Z222">
            <v>444520</v>
          </cell>
          <cell r="AA222">
            <v>0</v>
          </cell>
          <cell r="AB222">
            <v>65015640</v>
          </cell>
          <cell r="AC222">
            <v>45930000</v>
          </cell>
          <cell r="AD222">
            <v>17885640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K222">
            <v>1200000</v>
          </cell>
          <cell r="AL222">
            <v>65015640</v>
          </cell>
          <cell r="AM222">
            <v>222</v>
          </cell>
        </row>
        <row r="223">
          <cell r="A223" t="str">
            <v>인대열</v>
          </cell>
          <cell r="B223">
            <v>9133868</v>
          </cell>
          <cell r="C223" t="str">
            <v>1014254</v>
          </cell>
          <cell r="D223" t="str">
            <v>서울사업단</v>
          </cell>
          <cell r="E223" t="str">
            <v>하남지점</v>
          </cell>
          <cell r="F223" t="str">
            <v>지점선임</v>
          </cell>
          <cell r="G223" t="str">
            <v>대리</v>
          </cell>
          <cell r="H223" t="str">
            <v>22</v>
          </cell>
          <cell r="I223" t="str">
            <v>02</v>
          </cell>
          <cell r="J223">
            <v>2202</v>
          </cell>
          <cell r="K223" t="str">
            <v>일반직</v>
          </cell>
          <cell r="L223" t="str">
            <v>G2</v>
          </cell>
          <cell r="M223" t="str">
            <v>B</v>
          </cell>
          <cell r="N223">
            <v>39060000</v>
          </cell>
          <cell r="O223">
            <v>1200000</v>
          </cell>
          <cell r="P223">
            <v>8991480</v>
          </cell>
          <cell r="Q223">
            <v>1</v>
          </cell>
          <cell r="R223">
            <v>39060000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1200000</v>
          </cell>
          <cell r="X223">
            <v>8991480</v>
          </cell>
          <cell r="Y223">
            <v>0</v>
          </cell>
          <cell r="Z223">
            <v>0</v>
          </cell>
          <cell r="AA223">
            <v>0</v>
          </cell>
          <cell r="AB223">
            <v>49251480</v>
          </cell>
          <cell r="AC223">
            <v>39060000</v>
          </cell>
          <cell r="AD223">
            <v>8991480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K223">
            <v>1200000</v>
          </cell>
          <cell r="AL223">
            <v>49251480</v>
          </cell>
          <cell r="AM223">
            <v>223</v>
          </cell>
        </row>
        <row r="224">
          <cell r="A224" t="str">
            <v>우제윤</v>
          </cell>
          <cell r="B224">
            <v>9133019</v>
          </cell>
          <cell r="C224" t="str">
            <v>1014259</v>
          </cell>
          <cell r="D224" t="str">
            <v>서울사업단</v>
          </cell>
          <cell r="E224" t="str">
            <v>사당지점</v>
          </cell>
          <cell r="F224" t="str">
            <v>지점선임</v>
          </cell>
          <cell r="G224" t="str">
            <v>과장</v>
          </cell>
          <cell r="H224" t="str">
            <v>22</v>
          </cell>
          <cell r="I224" t="str">
            <v>04</v>
          </cell>
          <cell r="J224">
            <v>2204</v>
          </cell>
          <cell r="K224" t="str">
            <v>일반직</v>
          </cell>
          <cell r="L224" t="str">
            <v>G2</v>
          </cell>
          <cell r="M224" t="str">
            <v>C</v>
          </cell>
          <cell r="N224">
            <v>39606000</v>
          </cell>
          <cell r="O224">
            <v>1200000</v>
          </cell>
          <cell r="P224">
            <v>9370110</v>
          </cell>
          <cell r="Q224">
            <v>0.5</v>
          </cell>
          <cell r="R224">
            <v>39606000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1200000</v>
          </cell>
          <cell r="X224">
            <v>4685060</v>
          </cell>
          <cell r="Y224">
            <v>0</v>
          </cell>
          <cell r="Z224">
            <v>0</v>
          </cell>
          <cell r="AA224">
            <v>0</v>
          </cell>
          <cell r="AB224">
            <v>45491060</v>
          </cell>
          <cell r="AC224">
            <v>39606000</v>
          </cell>
          <cell r="AD224">
            <v>4685060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K224">
            <v>1200000</v>
          </cell>
          <cell r="AL224">
            <v>45491060</v>
          </cell>
          <cell r="AM224">
            <v>224</v>
          </cell>
        </row>
        <row r="225">
          <cell r="A225" t="str">
            <v>박병배</v>
          </cell>
          <cell r="B225">
            <v>9131415</v>
          </cell>
          <cell r="C225" t="str">
            <v>1014278</v>
          </cell>
          <cell r="D225" t="str">
            <v>서울사업단</v>
          </cell>
          <cell r="E225" t="str">
            <v>서초지점</v>
          </cell>
          <cell r="F225" t="str">
            <v>부지점장</v>
          </cell>
          <cell r="G225" t="str">
            <v>차장</v>
          </cell>
          <cell r="H225" t="str">
            <v>21</v>
          </cell>
          <cell r="I225" t="str">
            <v>01</v>
          </cell>
          <cell r="J225">
            <v>2101</v>
          </cell>
          <cell r="K225" t="str">
            <v>일반직</v>
          </cell>
          <cell r="L225" t="str">
            <v>G1</v>
          </cell>
          <cell r="M225" t="str">
            <v>A</v>
          </cell>
          <cell r="N225">
            <v>45930000</v>
          </cell>
          <cell r="O225">
            <v>1200000</v>
          </cell>
          <cell r="P225">
            <v>12302800</v>
          </cell>
          <cell r="Q225">
            <v>1.5</v>
          </cell>
          <cell r="R225">
            <v>45930000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1200000</v>
          </cell>
          <cell r="X225">
            <v>18454200</v>
          </cell>
          <cell r="Y225">
            <v>-586200</v>
          </cell>
          <cell r="Z225">
            <v>444520</v>
          </cell>
          <cell r="AA225">
            <v>0</v>
          </cell>
          <cell r="AB225">
            <v>65442520</v>
          </cell>
          <cell r="AC225">
            <v>45930000</v>
          </cell>
          <cell r="AD225">
            <v>18312520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K225">
            <v>1200000</v>
          </cell>
          <cell r="AL225">
            <v>65442520</v>
          </cell>
          <cell r="AM225">
            <v>225</v>
          </cell>
        </row>
        <row r="226">
          <cell r="A226" t="str">
            <v>서은정</v>
          </cell>
          <cell r="B226">
            <v>9081612</v>
          </cell>
          <cell r="C226" t="str">
            <v>1014279</v>
          </cell>
          <cell r="D226" t="str">
            <v>서울사업단</v>
          </cell>
          <cell r="E226" t="str">
            <v>삼성지점</v>
          </cell>
          <cell r="F226" t="str">
            <v>지점선임</v>
          </cell>
          <cell r="G226" t="str">
            <v>대리</v>
          </cell>
          <cell r="H226" t="str">
            <v>31</v>
          </cell>
          <cell r="I226" t="str">
            <v>04</v>
          </cell>
          <cell r="J226">
            <v>3104</v>
          </cell>
          <cell r="K226" t="str">
            <v>일반직</v>
          </cell>
          <cell r="L226" t="str">
            <v>G2</v>
          </cell>
          <cell r="M226" t="str">
            <v>B</v>
          </cell>
          <cell r="N226">
            <v>34663500</v>
          </cell>
          <cell r="O226">
            <v>1200000</v>
          </cell>
          <cell r="P226">
            <v>9358370</v>
          </cell>
          <cell r="Q226">
            <v>1</v>
          </cell>
          <cell r="R226">
            <v>34663500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1200000</v>
          </cell>
          <cell r="X226">
            <v>9358370</v>
          </cell>
          <cell r="Y226">
            <v>0</v>
          </cell>
          <cell r="Z226">
            <v>0</v>
          </cell>
          <cell r="AA226">
            <v>0</v>
          </cell>
          <cell r="AB226">
            <v>45221870</v>
          </cell>
          <cell r="AC226">
            <v>34663500</v>
          </cell>
          <cell r="AD226">
            <v>9358370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K226">
            <v>1200000</v>
          </cell>
          <cell r="AL226">
            <v>45221870</v>
          </cell>
          <cell r="AM226">
            <v>226</v>
          </cell>
        </row>
        <row r="227">
          <cell r="A227" t="str">
            <v>최희정</v>
          </cell>
          <cell r="B227">
            <v>9134775</v>
          </cell>
          <cell r="C227" t="str">
            <v>1020102</v>
          </cell>
          <cell r="D227" t="str">
            <v>수도사업단</v>
          </cell>
          <cell r="E227" t="str">
            <v>수도사업단</v>
          </cell>
          <cell r="F227" t="str">
            <v>업무지원</v>
          </cell>
          <cell r="G227" t="str">
            <v>사원</v>
          </cell>
          <cell r="H227" t="str">
            <v>42</v>
          </cell>
          <cell r="I227" t="str">
            <v>11</v>
          </cell>
          <cell r="J227">
            <v>4211</v>
          </cell>
          <cell r="K227" t="str">
            <v>사무직</v>
          </cell>
          <cell r="L227" t="str">
            <v>G3</v>
          </cell>
          <cell r="M227" t="str">
            <v>C</v>
          </cell>
          <cell r="N227">
            <v>24554770</v>
          </cell>
          <cell r="O227">
            <v>1200000</v>
          </cell>
          <cell r="P227">
            <v>4000000</v>
          </cell>
          <cell r="Q227">
            <v>0.5</v>
          </cell>
          <cell r="R227">
            <v>24554770</v>
          </cell>
          <cell r="S227">
            <v>5000000</v>
          </cell>
          <cell r="T227">
            <v>0</v>
          </cell>
          <cell r="U227">
            <v>0</v>
          </cell>
          <cell r="V227">
            <v>0</v>
          </cell>
          <cell r="W227">
            <v>1200000</v>
          </cell>
          <cell r="X227">
            <v>2000000</v>
          </cell>
          <cell r="Y227">
            <v>0</v>
          </cell>
          <cell r="Z227">
            <v>0</v>
          </cell>
          <cell r="AA227">
            <v>0</v>
          </cell>
          <cell r="AB227">
            <v>32754770</v>
          </cell>
          <cell r="AC227">
            <v>24554770</v>
          </cell>
          <cell r="AD227">
            <v>2000000</v>
          </cell>
          <cell r="AE227">
            <v>5000000</v>
          </cell>
          <cell r="AF227">
            <v>0</v>
          </cell>
          <cell r="AG227">
            <v>0</v>
          </cell>
          <cell r="AH227">
            <v>0</v>
          </cell>
          <cell r="AK227">
            <v>1200000</v>
          </cell>
          <cell r="AL227">
            <v>32754770</v>
          </cell>
          <cell r="AM227">
            <v>227</v>
          </cell>
        </row>
        <row r="228">
          <cell r="A228" t="str">
            <v>김은정</v>
          </cell>
          <cell r="B228">
            <v>9133361</v>
          </cell>
          <cell r="C228" t="str">
            <v>1020102</v>
          </cell>
          <cell r="D228" t="str">
            <v>수도사업단</v>
          </cell>
          <cell r="E228" t="str">
            <v>수도사업단</v>
          </cell>
          <cell r="F228" t="str">
            <v>업무지원</v>
          </cell>
          <cell r="G228" t="str">
            <v>주임</v>
          </cell>
          <cell r="H228" t="str">
            <v>41</v>
          </cell>
          <cell r="I228" t="str">
            <v>12</v>
          </cell>
          <cell r="J228">
            <v>4112</v>
          </cell>
          <cell r="K228" t="str">
            <v>사무직</v>
          </cell>
          <cell r="L228" t="str">
            <v>G3</v>
          </cell>
          <cell r="M228" t="str">
            <v>B</v>
          </cell>
          <cell r="N228">
            <v>31569470</v>
          </cell>
          <cell r="O228">
            <v>1200000</v>
          </cell>
          <cell r="P228">
            <v>5146000</v>
          </cell>
          <cell r="Q228">
            <v>1</v>
          </cell>
          <cell r="R228">
            <v>31569470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1200000</v>
          </cell>
          <cell r="X228">
            <v>5146000</v>
          </cell>
          <cell r="Y228">
            <v>0</v>
          </cell>
          <cell r="Z228">
            <v>0</v>
          </cell>
          <cell r="AA228">
            <v>0</v>
          </cell>
          <cell r="AB228">
            <v>37915470</v>
          </cell>
          <cell r="AC228">
            <v>31569470</v>
          </cell>
          <cell r="AD228">
            <v>5146000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K228">
            <v>1200000</v>
          </cell>
          <cell r="AL228">
            <v>37915470</v>
          </cell>
          <cell r="AM228">
            <v>228</v>
          </cell>
        </row>
        <row r="229">
          <cell r="A229" t="str">
            <v>김영숙</v>
          </cell>
          <cell r="B229">
            <v>9133302</v>
          </cell>
          <cell r="C229" t="str">
            <v>1020102</v>
          </cell>
          <cell r="D229" t="str">
            <v>수도사업단</v>
          </cell>
          <cell r="E229" t="str">
            <v>수도사업단</v>
          </cell>
          <cell r="F229" t="str">
            <v>마케팅지원</v>
          </cell>
          <cell r="G229" t="str">
            <v>주임</v>
          </cell>
          <cell r="H229" t="str">
            <v>41</v>
          </cell>
          <cell r="I229" t="str">
            <v>11</v>
          </cell>
          <cell r="J229">
            <v>4111</v>
          </cell>
          <cell r="K229" t="str">
            <v>사무직</v>
          </cell>
          <cell r="L229" t="str">
            <v>G3</v>
          </cell>
          <cell r="M229" t="str">
            <v>B</v>
          </cell>
          <cell r="N229">
            <v>31456280</v>
          </cell>
          <cell r="O229">
            <v>1200000</v>
          </cell>
          <cell r="P229">
            <v>5126000</v>
          </cell>
          <cell r="Q229">
            <v>1</v>
          </cell>
          <cell r="R229">
            <v>31456280</v>
          </cell>
          <cell r="S229">
            <v>5000000</v>
          </cell>
          <cell r="T229">
            <v>0</v>
          </cell>
          <cell r="U229">
            <v>0</v>
          </cell>
          <cell r="V229">
            <v>0</v>
          </cell>
          <cell r="W229">
            <v>1200000</v>
          </cell>
          <cell r="X229">
            <v>5126000</v>
          </cell>
          <cell r="Y229">
            <v>0</v>
          </cell>
          <cell r="Z229">
            <v>0</v>
          </cell>
          <cell r="AA229">
            <v>0</v>
          </cell>
          <cell r="AB229">
            <v>42782280</v>
          </cell>
          <cell r="AC229">
            <v>31456280</v>
          </cell>
          <cell r="AD229">
            <v>5126000</v>
          </cell>
          <cell r="AE229">
            <v>5000000</v>
          </cell>
          <cell r="AF229">
            <v>0</v>
          </cell>
          <cell r="AG229">
            <v>0</v>
          </cell>
          <cell r="AH229">
            <v>0</v>
          </cell>
          <cell r="AK229">
            <v>1200000</v>
          </cell>
          <cell r="AL229">
            <v>42782280</v>
          </cell>
          <cell r="AM229">
            <v>229</v>
          </cell>
        </row>
        <row r="230">
          <cell r="A230" t="str">
            <v>서영빈</v>
          </cell>
          <cell r="B230">
            <v>9133760</v>
          </cell>
          <cell r="C230" t="str">
            <v>1020102</v>
          </cell>
          <cell r="D230" t="str">
            <v>수도사업단</v>
          </cell>
          <cell r="E230" t="str">
            <v>수도사업단</v>
          </cell>
          <cell r="F230" t="str">
            <v>업무지원</v>
          </cell>
          <cell r="G230" t="str">
            <v>주임</v>
          </cell>
          <cell r="H230" t="str">
            <v>41</v>
          </cell>
          <cell r="I230" t="str">
            <v>11</v>
          </cell>
          <cell r="J230">
            <v>4111</v>
          </cell>
          <cell r="K230" t="str">
            <v>사무직</v>
          </cell>
          <cell r="L230" t="str">
            <v>G3</v>
          </cell>
          <cell r="M230" t="str">
            <v>B</v>
          </cell>
          <cell r="N230">
            <v>31365690</v>
          </cell>
          <cell r="O230">
            <v>1200000</v>
          </cell>
          <cell r="P230">
            <v>5126000</v>
          </cell>
          <cell r="Q230">
            <v>1</v>
          </cell>
          <cell r="R230">
            <v>31365690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1200000</v>
          </cell>
          <cell r="X230">
            <v>5126000</v>
          </cell>
          <cell r="Y230">
            <v>0</v>
          </cell>
          <cell r="Z230">
            <v>0</v>
          </cell>
          <cell r="AA230">
            <v>0</v>
          </cell>
          <cell r="AB230">
            <v>37691690</v>
          </cell>
          <cell r="AC230">
            <v>31365690</v>
          </cell>
          <cell r="AD230">
            <v>5126000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K230">
            <v>1200000</v>
          </cell>
          <cell r="AL230">
            <v>37691690</v>
          </cell>
          <cell r="AM230">
            <v>230</v>
          </cell>
        </row>
        <row r="231">
          <cell r="A231" t="str">
            <v>홍섬기</v>
          </cell>
          <cell r="B231">
            <v>9132632</v>
          </cell>
          <cell r="C231" t="str">
            <v>1020102</v>
          </cell>
          <cell r="D231" t="str">
            <v>수도사업단</v>
          </cell>
          <cell r="E231" t="str">
            <v>수도사업단</v>
          </cell>
          <cell r="F231" t="str">
            <v>지급지원</v>
          </cell>
          <cell r="G231" t="str">
            <v>주임</v>
          </cell>
          <cell r="H231" t="str">
            <v>41</v>
          </cell>
          <cell r="I231" t="str">
            <v>11</v>
          </cell>
          <cell r="J231">
            <v>4111</v>
          </cell>
          <cell r="K231" t="str">
            <v>사무직</v>
          </cell>
          <cell r="L231" t="str">
            <v>G3</v>
          </cell>
          <cell r="M231" t="str">
            <v>B</v>
          </cell>
          <cell r="N231">
            <v>31637460</v>
          </cell>
          <cell r="O231">
            <v>1440000</v>
          </cell>
          <cell r="P231">
            <v>5126000</v>
          </cell>
          <cell r="Q231">
            <v>1</v>
          </cell>
          <cell r="R231">
            <v>31637460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1440000</v>
          </cell>
          <cell r="X231">
            <v>5126000</v>
          </cell>
          <cell r="Y231">
            <v>0</v>
          </cell>
          <cell r="Z231">
            <v>0</v>
          </cell>
          <cell r="AA231">
            <v>0</v>
          </cell>
          <cell r="AB231">
            <v>38203460</v>
          </cell>
          <cell r="AC231">
            <v>31637460</v>
          </cell>
          <cell r="AD231">
            <v>5126000</v>
          </cell>
          <cell r="AE231">
            <v>0</v>
          </cell>
          <cell r="AF231">
            <v>240000</v>
          </cell>
          <cell r="AG231">
            <v>0</v>
          </cell>
          <cell r="AH231">
            <v>0</v>
          </cell>
          <cell r="AI231">
            <v>240000</v>
          </cell>
          <cell r="AJ231">
            <v>0</v>
          </cell>
          <cell r="AK231">
            <v>1200000</v>
          </cell>
          <cell r="AL231">
            <v>38203460</v>
          </cell>
          <cell r="AM231">
            <v>231</v>
          </cell>
        </row>
        <row r="232">
          <cell r="A232" t="str">
            <v>김동미</v>
          </cell>
          <cell r="B232">
            <v>9134490</v>
          </cell>
          <cell r="C232" t="str">
            <v>1020102</v>
          </cell>
          <cell r="D232" t="str">
            <v>수도사업단</v>
          </cell>
          <cell r="E232" t="str">
            <v>수도사업단</v>
          </cell>
          <cell r="F232" t="str">
            <v>업무지원</v>
          </cell>
          <cell r="G232" t="str">
            <v>사원</v>
          </cell>
          <cell r="H232" t="str">
            <v>41</v>
          </cell>
          <cell r="I232" t="str">
            <v>08</v>
          </cell>
          <cell r="J232">
            <v>4108</v>
          </cell>
          <cell r="K232" t="str">
            <v>사무직</v>
          </cell>
          <cell r="L232" t="str">
            <v>G3</v>
          </cell>
          <cell r="M232" t="str">
            <v>B</v>
          </cell>
          <cell r="N232">
            <v>29942370</v>
          </cell>
          <cell r="O232">
            <v>1200000</v>
          </cell>
          <cell r="P232">
            <v>4926000</v>
          </cell>
          <cell r="Q232">
            <v>1</v>
          </cell>
          <cell r="R232">
            <v>29942370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1200000</v>
          </cell>
          <cell r="X232">
            <v>4926000</v>
          </cell>
          <cell r="Y232">
            <v>0</v>
          </cell>
          <cell r="Z232">
            <v>0</v>
          </cell>
          <cell r="AA232">
            <v>0</v>
          </cell>
          <cell r="AB232">
            <v>36068370</v>
          </cell>
          <cell r="AC232">
            <v>29942370</v>
          </cell>
          <cell r="AD232">
            <v>4926000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K232">
            <v>1200000</v>
          </cell>
          <cell r="AL232">
            <v>36068370</v>
          </cell>
          <cell r="AM232">
            <v>232</v>
          </cell>
        </row>
        <row r="233">
          <cell r="A233" t="str">
            <v>정인숙</v>
          </cell>
          <cell r="B233">
            <v>9131954</v>
          </cell>
          <cell r="C233" t="str">
            <v>1020102</v>
          </cell>
          <cell r="D233" t="str">
            <v>수도사업단</v>
          </cell>
          <cell r="E233" t="str">
            <v>수도사업단</v>
          </cell>
          <cell r="F233" t="str">
            <v>업무지원</v>
          </cell>
          <cell r="G233" t="str">
            <v>대리</v>
          </cell>
          <cell r="H233" t="str">
            <v>31</v>
          </cell>
          <cell r="I233" t="str">
            <v>04</v>
          </cell>
          <cell r="J233">
            <v>3104</v>
          </cell>
          <cell r="K233" t="str">
            <v>사무직</v>
          </cell>
          <cell r="L233" t="str">
            <v>G3</v>
          </cell>
          <cell r="M233" t="str">
            <v>B</v>
          </cell>
          <cell r="N233">
            <v>37807870</v>
          </cell>
          <cell r="O233">
            <v>1200000</v>
          </cell>
          <cell r="P233">
            <v>6214000</v>
          </cell>
          <cell r="Q233">
            <v>1</v>
          </cell>
          <cell r="R233">
            <v>37807870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1200000</v>
          </cell>
          <cell r="X233">
            <v>6214000</v>
          </cell>
          <cell r="Y233">
            <v>0</v>
          </cell>
          <cell r="Z233">
            <v>0</v>
          </cell>
          <cell r="AA233">
            <v>0</v>
          </cell>
          <cell r="AB233">
            <v>45221870</v>
          </cell>
          <cell r="AC233">
            <v>37807870</v>
          </cell>
          <cell r="AD233">
            <v>6214000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K233">
            <v>1200000</v>
          </cell>
          <cell r="AL233">
            <v>45221870</v>
          </cell>
          <cell r="AM233">
            <v>233</v>
          </cell>
        </row>
        <row r="234">
          <cell r="A234" t="str">
            <v>최경자</v>
          </cell>
          <cell r="B234">
            <v>9132829</v>
          </cell>
          <cell r="C234" t="str">
            <v>1020102</v>
          </cell>
          <cell r="D234" t="str">
            <v>수도사업단</v>
          </cell>
          <cell r="E234" t="str">
            <v>수도사업단</v>
          </cell>
          <cell r="F234" t="str">
            <v>교육지원</v>
          </cell>
          <cell r="G234" t="str">
            <v>대리</v>
          </cell>
          <cell r="H234" t="str">
            <v>31</v>
          </cell>
          <cell r="I234" t="str">
            <v>03</v>
          </cell>
          <cell r="J234">
            <v>3103</v>
          </cell>
          <cell r="K234" t="str">
            <v>사무직</v>
          </cell>
          <cell r="L234" t="str">
            <v>G3</v>
          </cell>
          <cell r="M234" t="str">
            <v>B</v>
          </cell>
          <cell r="N234">
            <v>37180950</v>
          </cell>
          <cell r="O234">
            <v>1200000</v>
          </cell>
          <cell r="P234">
            <v>6182000</v>
          </cell>
          <cell r="Q234">
            <v>1</v>
          </cell>
          <cell r="R234">
            <v>37180950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1200000</v>
          </cell>
          <cell r="X234">
            <v>6182000</v>
          </cell>
          <cell r="Y234">
            <v>0</v>
          </cell>
          <cell r="Z234">
            <v>0</v>
          </cell>
          <cell r="AA234">
            <v>0</v>
          </cell>
          <cell r="AB234">
            <v>44562950</v>
          </cell>
          <cell r="AC234">
            <v>37180950</v>
          </cell>
          <cell r="AD234">
            <v>6182000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K234">
            <v>1200000</v>
          </cell>
          <cell r="AL234">
            <v>44562950</v>
          </cell>
          <cell r="AM234">
            <v>234</v>
          </cell>
        </row>
        <row r="235">
          <cell r="A235" t="str">
            <v>신경아</v>
          </cell>
          <cell r="B235">
            <v>9131652</v>
          </cell>
          <cell r="C235" t="str">
            <v>1020102</v>
          </cell>
          <cell r="D235" t="str">
            <v>수도사업단</v>
          </cell>
          <cell r="E235" t="str">
            <v>수도사업단</v>
          </cell>
          <cell r="F235" t="str">
            <v>업무지원</v>
          </cell>
          <cell r="G235" t="str">
            <v>대리</v>
          </cell>
          <cell r="H235" t="str">
            <v>31</v>
          </cell>
          <cell r="I235" t="str">
            <v>03</v>
          </cell>
          <cell r="J235">
            <v>3103</v>
          </cell>
          <cell r="K235" t="str">
            <v>사무직</v>
          </cell>
          <cell r="L235" t="str">
            <v>G3</v>
          </cell>
          <cell r="M235" t="str">
            <v>C</v>
          </cell>
          <cell r="N235">
            <v>37732560</v>
          </cell>
          <cell r="O235">
            <v>1200000</v>
          </cell>
          <cell r="P235">
            <v>6182000</v>
          </cell>
          <cell r="Q235">
            <v>0.5</v>
          </cell>
          <cell r="R235">
            <v>37732560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1200000</v>
          </cell>
          <cell r="X235">
            <v>3091000</v>
          </cell>
          <cell r="Y235">
            <v>0</v>
          </cell>
          <cell r="Z235">
            <v>0</v>
          </cell>
          <cell r="AA235">
            <v>0</v>
          </cell>
          <cell r="AB235">
            <v>42023560</v>
          </cell>
          <cell r="AC235">
            <v>37732560</v>
          </cell>
          <cell r="AD235">
            <v>3091000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K235">
            <v>1200000</v>
          </cell>
          <cell r="AL235">
            <v>42023560</v>
          </cell>
          <cell r="AM235">
            <v>235</v>
          </cell>
        </row>
        <row r="236">
          <cell r="A236" t="str">
            <v>엄영숙</v>
          </cell>
          <cell r="B236">
            <v>9132225</v>
          </cell>
          <cell r="C236" t="str">
            <v>1020102</v>
          </cell>
          <cell r="D236" t="str">
            <v>수도사업단</v>
          </cell>
          <cell r="E236" t="str">
            <v>수도사업단</v>
          </cell>
          <cell r="F236" t="str">
            <v>업무지원</v>
          </cell>
          <cell r="G236" t="str">
            <v>대리</v>
          </cell>
          <cell r="H236" t="str">
            <v>31</v>
          </cell>
          <cell r="I236" t="str">
            <v>02</v>
          </cell>
          <cell r="J236">
            <v>3102</v>
          </cell>
          <cell r="K236" t="str">
            <v>사무직</v>
          </cell>
          <cell r="L236" t="str">
            <v>G3</v>
          </cell>
          <cell r="M236" t="str">
            <v>A</v>
          </cell>
          <cell r="N236">
            <v>37242720</v>
          </cell>
          <cell r="O236">
            <v>1200000</v>
          </cell>
          <cell r="P236">
            <v>6134000</v>
          </cell>
          <cell r="Q236">
            <v>1.5</v>
          </cell>
          <cell r="R236">
            <v>37242720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1200000</v>
          </cell>
          <cell r="X236">
            <v>9201000</v>
          </cell>
          <cell r="Y236">
            <v>0</v>
          </cell>
          <cell r="Z236">
            <v>0</v>
          </cell>
          <cell r="AA236">
            <v>0</v>
          </cell>
          <cell r="AB236">
            <v>47643720</v>
          </cell>
          <cell r="AC236">
            <v>37242720</v>
          </cell>
          <cell r="AD236">
            <v>9201000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K236">
            <v>1200000</v>
          </cell>
          <cell r="AL236">
            <v>47643720</v>
          </cell>
          <cell r="AM236">
            <v>236</v>
          </cell>
        </row>
        <row r="237">
          <cell r="A237" t="str">
            <v>임재인</v>
          </cell>
          <cell r="B237">
            <v>9131407</v>
          </cell>
          <cell r="C237" t="str">
            <v>1020102</v>
          </cell>
          <cell r="D237" t="str">
            <v>수도사업단</v>
          </cell>
          <cell r="E237" t="str">
            <v>수도사업단</v>
          </cell>
          <cell r="F237" t="str">
            <v>지급지원</v>
          </cell>
          <cell r="G237" t="str">
            <v>대리</v>
          </cell>
          <cell r="H237" t="str">
            <v>31</v>
          </cell>
          <cell r="I237" t="str">
            <v>02</v>
          </cell>
          <cell r="J237">
            <v>3102</v>
          </cell>
          <cell r="K237" t="str">
            <v>사무직</v>
          </cell>
          <cell r="L237" t="str">
            <v>G3</v>
          </cell>
          <cell r="M237" t="str">
            <v>C</v>
          </cell>
          <cell r="N237">
            <v>37564070</v>
          </cell>
          <cell r="O237">
            <v>1440000</v>
          </cell>
          <cell r="P237">
            <v>6134000</v>
          </cell>
          <cell r="Q237">
            <v>0.5</v>
          </cell>
          <cell r="R237">
            <v>37564070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1440000</v>
          </cell>
          <cell r="X237">
            <v>3067000</v>
          </cell>
          <cell r="Y237">
            <v>0</v>
          </cell>
          <cell r="Z237">
            <v>0</v>
          </cell>
          <cell r="AA237">
            <v>0</v>
          </cell>
          <cell r="AB237">
            <v>42071070</v>
          </cell>
          <cell r="AC237">
            <v>37564070</v>
          </cell>
          <cell r="AD237">
            <v>3067000</v>
          </cell>
          <cell r="AE237">
            <v>0</v>
          </cell>
          <cell r="AF237">
            <v>240000</v>
          </cell>
          <cell r="AG237">
            <v>0</v>
          </cell>
          <cell r="AH237">
            <v>0</v>
          </cell>
          <cell r="AI237">
            <v>240000</v>
          </cell>
          <cell r="AJ237">
            <v>0</v>
          </cell>
          <cell r="AK237">
            <v>1200000</v>
          </cell>
          <cell r="AL237">
            <v>42071070</v>
          </cell>
          <cell r="AM237">
            <v>237</v>
          </cell>
        </row>
        <row r="238">
          <cell r="A238" t="str">
            <v>이병화</v>
          </cell>
          <cell r="B238">
            <v>9131512</v>
          </cell>
          <cell r="C238" t="str">
            <v>1020102</v>
          </cell>
          <cell r="D238" t="str">
            <v>수도사업단</v>
          </cell>
          <cell r="E238" t="str">
            <v>수도사업단</v>
          </cell>
          <cell r="F238" t="str">
            <v>업무지원</v>
          </cell>
          <cell r="G238" t="str">
            <v>주임</v>
          </cell>
          <cell r="H238" t="str">
            <v>31</v>
          </cell>
          <cell r="I238" t="str">
            <v>01</v>
          </cell>
          <cell r="J238">
            <v>3101</v>
          </cell>
          <cell r="K238" t="str">
            <v>사무직</v>
          </cell>
          <cell r="L238" t="str">
            <v>G3</v>
          </cell>
          <cell r="M238" t="str">
            <v>A</v>
          </cell>
          <cell r="N238">
            <v>37181350</v>
          </cell>
          <cell r="O238">
            <v>1200000</v>
          </cell>
          <cell r="P238">
            <v>6086000</v>
          </cell>
          <cell r="Q238">
            <v>1.5</v>
          </cell>
          <cell r="R238">
            <v>37181350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1200000</v>
          </cell>
          <cell r="X238">
            <v>9129000</v>
          </cell>
          <cell r="Y238">
            <v>0</v>
          </cell>
          <cell r="Z238">
            <v>0</v>
          </cell>
          <cell r="AA238">
            <v>0</v>
          </cell>
          <cell r="AB238">
            <v>47510350</v>
          </cell>
          <cell r="AC238">
            <v>37181350</v>
          </cell>
          <cell r="AD238">
            <v>9129000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K238">
            <v>1200000</v>
          </cell>
          <cell r="AL238">
            <v>47510350</v>
          </cell>
          <cell r="AM238">
            <v>238</v>
          </cell>
        </row>
        <row r="239">
          <cell r="A239" t="str">
            <v>김정숙</v>
          </cell>
          <cell r="B239">
            <v>9131300</v>
          </cell>
          <cell r="C239" t="str">
            <v>1020102</v>
          </cell>
          <cell r="D239" t="str">
            <v>수도사업단</v>
          </cell>
          <cell r="E239" t="str">
            <v>수도사업단</v>
          </cell>
          <cell r="F239" t="str">
            <v>업무지원</v>
          </cell>
          <cell r="G239" t="str">
            <v>주임</v>
          </cell>
          <cell r="H239" t="str">
            <v>31</v>
          </cell>
          <cell r="I239" t="str">
            <v>01</v>
          </cell>
          <cell r="J239">
            <v>3101</v>
          </cell>
          <cell r="K239" t="str">
            <v>사무직</v>
          </cell>
          <cell r="L239" t="str">
            <v>G3</v>
          </cell>
          <cell r="M239" t="str">
            <v>D</v>
          </cell>
          <cell r="N239">
            <v>37394010</v>
          </cell>
          <cell r="O239">
            <v>1200000</v>
          </cell>
          <cell r="P239">
            <v>6086000</v>
          </cell>
          <cell r="Q239">
            <v>0</v>
          </cell>
          <cell r="R239">
            <v>37394010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1200000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38594010</v>
          </cell>
          <cell r="AC239">
            <v>37394010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K239">
            <v>1200000</v>
          </cell>
          <cell r="AL239">
            <v>38594010</v>
          </cell>
          <cell r="AM239">
            <v>239</v>
          </cell>
        </row>
        <row r="240">
          <cell r="A240" t="str">
            <v>서창희</v>
          </cell>
          <cell r="B240">
            <v>9133930</v>
          </cell>
          <cell r="C240" t="str">
            <v>1020102</v>
          </cell>
          <cell r="D240" t="str">
            <v>수도사업단</v>
          </cell>
          <cell r="E240" t="str">
            <v>수도사업단</v>
          </cell>
          <cell r="F240" t="str">
            <v>융자지원</v>
          </cell>
          <cell r="G240" t="str">
            <v>과장</v>
          </cell>
          <cell r="H240" t="str">
            <v>22</v>
          </cell>
          <cell r="I240" t="str">
            <v>05</v>
          </cell>
          <cell r="J240">
            <v>2205</v>
          </cell>
          <cell r="K240" t="str">
            <v>일반직</v>
          </cell>
          <cell r="L240" t="str">
            <v>G1</v>
          </cell>
          <cell r="M240" t="str">
            <v>B</v>
          </cell>
          <cell r="N240">
            <v>39795000</v>
          </cell>
          <cell r="O240">
            <v>1200000</v>
          </cell>
          <cell r="P240">
            <v>9043940</v>
          </cell>
          <cell r="Q240">
            <v>1</v>
          </cell>
          <cell r="R240">
            <v>39795000</v>
          </cell>
          <cell r="S240">
            <v>5000000</v>
          </cell>
          <cell r="T240">
            <v>0</v>
          </cell>
          <cell r="U240">
            <v>0</v>
          </cell>
          <cell r="V240">
            <v>0</v>
          </cell>
          <cell r="W240">
            <v>1200000</v>
          </cell>
          <cell r="X240">
            <v>9043940</v>
          </cell>
          <cell r="Y240">
            <v>-586200</v>
          </cell>
          <cell r="Z240">
            <v>0</v>
          </cell>
          <cell r="AA240">
            <v>0</v>
          </cell>
          <cell r="AB240">
            <v>54452740</v>
          </cell>
          <cell r="AC240">
            <v>39795000</v>
          </cell>
          <cell r="AD240">
            <v>8457740</v>
          </cell>
          <cell r="AE240">
            <v>5000000</v>
          </cell>
          <cell r="AF240">
            <v>0</v>
          </cell>
          <cell r="AG240">
            <v>0</v>
          </cell>
          <cell r="AH240">
            <v>0</v>
          </cell>
          <cell r="AK240">
            <v>1200000</v>
          </cell>
          <cell r="AL240">
            <v>54452740</v>
          </cell>
          <cell r="AM240">
            <v>240</v>
          </cell>
        </row>
        <row r="241">
          <cell r="A241" t="str">
            <v>엄현섭</v>
          </cell>
          <cell r="B241">
            <v>9134414</v>
          </cell>
          <cell r="C241" t="str">
            <v>1020102</v>
          </cell>
          <cell r="D241" t="str">
            <v>수도사업단</v>
          </cell>
          <cell r="E241" t="str">
            <v>수도사업단</v>
          </cell>
          <cell r="F241" t="str">
            <v>보험금심사지원</v>
          </cell>
          <cell r="G241" t="str">
            <v>과장</v>
          </cell>
          <cell r="H241" t="str">
            <v>22</v>
          </cell>
          <cell r="I241" t="str">
            <v>04</v>
          </cell>
          <cell r="J241">
            <v>2204</v>
          </cell>
          <cell r="K241" t="str">
            <v>일반직</v>
          </cell>
          <cell r="L241" t="str">
            <v>G2</v>
          </cell>
          <cell r="M241" t="str">
            <v>B</v>
          </cell>
          <cell r="N241">
            <v>39486000</v>
          </cell>
          <cell r="O241">
            <v>1200000</v>
          </cell>
          <cell r="P241">
            <v>8999090</v>
          </cell>
          <cell r="Q241">
            <v>1</v>
          </cell>
          <cell r="R241">
            <v>39486000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1200000</v>
          </cell>
          <cell r="X241">
            <v>8999090</v>
          </cell>
          <cell r="Y241">
            <v>0</v>
          </cell>
          <cell r="Z241">
            <v>0</v>
          </cell>
          <cell r="AA241">
            <v>0</v>
          </cell>
          <cell r="AB241">
            <v>49685090</v>
          </cell>
          <cell r="AC241">
            <v>39486000</v>
          </cell>
          <cell r="AD241">
            <v>8999090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K241">
            <v>1200000</v>
          </cell>
          <cell r="AL241">
            <v>49685090</v>
          </cell>
          <cell r="AM241">
            <v>241</v>
          </cell>
        </row>
        <row r="242">
          <cell r="A242" t="str">
            <v>신덕호</v>
          </cell>
          <cell r="B242">
            <v>9134287</v>
          </cell>
          <cell r="C242" t="str">
            <v>1020102</v>
          </cell>
          <cell r="D242" t="str">
            <v>수도사업단</v>
          </cell>
          <cell r="E242" t="str">
            <v>수도사업단</v>
          </cell>
          <cell r="F242" t="str">
            <v>마케팅지원</v>
          </cell>
          <cell r="G242" t="str">
            <v>대리</v>
          </cell>
          <cell r="H242" t="str">
            <v>22</v>
          </cell>
          <cell r="I242" t="str">
            <v>01</v>
          </cell>
          <cell r="J242">
            <v>2201</v>
          </cell>
          <cell r="K242" t="str">
            <v>일반직</v>
          </cell>
          <cell r="L242" t="str">
            <v>G2</v>
          </cell>
          <cell r="M242" t="str">
            <v>C</v>
          </cell>
          <cell r="N242">
            <v>38787000</v>
          </cell>
          <cell r="O242">
            <v>1200000</v>
          </cell>
          <cell r="P242">
            <v>8804730</v>
          </cell>
          <cell r="Q242">
            <v>0.5</v>
          </cell>
          <cell r="R242">
            <v>38787000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1200000</v>
          </cell>
          <cell r="X242">
            <v>4402370</v>
          </cell>
          <cell r="Y242">
            <v>0</v>
          </cell>
          <cell r="Z242">
            <v>0</v>
          </cell>
          <cell r="AA242">
            <v>1000000</v>
          </cell>
          <cell r="AB242">
            <v>45389370</v>
          </cell>
          <cell r="AC242">
            <v>38787000</v>
          </cell>
          <cell r="AD242">
            <v>5402370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K242">
            <v>1200000</v>
          </cell>
          <cell r="AL242">
            <v>45389370</v>
          </cell>
          <cell r="AM242">
            <v>242</v>
          </cell>
        </row>
        <row r="243">
          <cell r="A243" t="str">
            <v>배병선</v>
          </cell>
          <cell r="B243">
            <v>9131164</v>
          </cell>
          <cell r="C243" t="str">
            <v>1020102</v>
          </cell>
          <cell r="D243" t="str">
            <v>수도사업단</v>
          </cell>
          <cell r="E243" t="str">
            <v>수도사업단</v>
          </cell>
          <cell r="F243" t="str">
            <v>고객지원</v>
          </cell>
          <cell r="G243" t="str">
            <v>차장</v>
          </cell>
          <cell r="H243" t="str">
            <v>21</v>
          </cell>
          <cell r="I243" t="str">
            <v>06</v>
          </cell>
          <cell r="J243">
            <v>2106</v>
          </cell>
          <cell r="K243" t="str">
            <v>일반직</v>
          </cell>
          <cell r="L243" t="str">
            <v>G1</v>
          </cell>
          <cell r="M243" t="str">
            <v>B</v>
          </cell>
          <cell r="N243">
            <v>47520000</v>
          </cell>
          <cell r="O243">
            <v>1200000</v>
          </cell>
          <cell r="P243">
            <v>13275910</v>
          </cell>
          <cell r="Q243">
            <v>1</v>
          </cell>
          <cell r="R243">
            <v>47520000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1200000</v>
          </cell>
          <cell r="X243">
            <v>13275910</v>
          </cell>
          <cell r="Y243">
            <v>-586200</v>
          </cell>
          <cell r="Z243">
            <v>0</v>
          </cell>
          <cell r="AA243">
            <v>0</v>
          </cell>
          <cell r="AB243">
            <v>61409710</v>
          </cell>
          <cell r="AC243">
            <v>47520000</v>
          </cell>
          <cell r="AD243">
            <v>12689710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K243">
            <v>1200000</v>
          </cell>
          <cell r="AL243">
            <v>61409710</v>
          </cell>
          <cell r="AM243">
            <v>243</v>
          </cell>
        </row>
        <row r="244">
          <cell r="A244" t="str">
            <v>이창호</v>
          </cell>
          <cell r="B244">
            <v>9131792</v>
          </cell>
          <cell r="C244" t="str">
            <v>1020102</v>
          </cell>
          <cell r="D244" t="str">
            <v>수도사업단</v>
          </cell>
          <cell r="E244" t="str">
            <v>수도사업단</v>
          </cell>
          <cell r="F244" t="str">
            <v>융자지원</v>
          </cell>
          <cell r="G244" t="str">
            <v>차장</v>
          </cell>
          <cell r="H244" t="str">
            <v>21</v>
          </cell>
          <cell r="I244" t="str">
            <v>01</v>
          </cell>
          <cell r="J244">
            <v>2101</v>
          </cell>
          <cell r="K244" t="str">
            <v>일반직</v>
          </cell>
          <cell r="L244" t="str">
            <v>G1</v>
          </cell>
          <cell r="M244" t="str">
            <v>B</v>
          </cell>
          <cell r="N244">
            <v>45930000</v>
          </cell>
          <cell r="O244">
            <v>1200000</v>
          </cell>
          <cell r="P244">
            <v>12018210</v>
          </cell>
          <cell r="Q244">
            <v>1</v>
          </cell>
          <cell r="R244">
            <v>45930000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1200000</v>
          </cell>
          <cell r="X244">
            <v>12018210</v>
          </cell>
          <cell r="Y244">
            <v>-586200</v>
          </cell>
          <cell r="Z244">
            <v>0</v>
          </cell>
          <cell r="AA244">
            <v>0</v>
          </cell>
          <cell r="AB244">
            <v>58562010</v>
          </cell>
          <cell r="AC244">
            <v>45930000</v>
          </cell>
          <cell r="AD244">
            <v>11432010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K244">
            <v>1200000</v>
          </cell>
          <cell r="AL244">
            <v>58562010</v>
          </cell>
          <cell r="AM244">
            <v>244</v>
          </cell>
        </row>
        <row r="245">
          <cell r="A245" t="str">
            <v>공병구</v>
          </cell>
          <cell r="B245">
            <v>9131458</v>
          </cell>
          <cell r="C245" t="str">
            <v>1020102</v>
          </cell>
          <cell r="D245" t="str">
            <v>수도사업단</v>
          </cell>
          <cell r="E245" t="str">
            <v>수도사업단</v>
          </cell>
          <cell r="F245" t="str">
            <v>마케팅팀장</v>
          </cell>
          <cell r="G245" t="str">
            <v>팀장</v>
          </cell>
          <cell r="H245" t="str">
            <v>12</v>
          </cell>
          <cell r="I245" t="str">
            <v>01</v>
          </cell>
          <cell r="J245">
            <v>1201</v>
          </cell>
          <cell r="K245" t="str">
            <v>일반직</v>
          </cell>
          <cell r="L245" t="str">
            <v>G1</v>
          </cell>
          <cell r="M245" t="str">
            <v>B</v>
          </cell>
          <cell r="N245">
            <v>52057500</v>
          </cell>
          <cell r="O245">
            <v>1200000</v>
          </cell>
          <cell r="P245">
            <v>13831320</v>
          </cell>
          <cell r="Q245">
            <v>1</v>
          </cell>
          <cell r="R245">
            <v>52057500</v>
          </cell>
          <cell r="S245">
            <v>0</v>
          </cell>
          <cell r="T245">
            <v>5000000</v>
          </cell>
          <cell r="U245">
            <v>0</v>
          </cell>
          <cell r="V245">
            <v>0</v>
          </cell>
          <cell r="W245">
            <v>1200000</v>
          </cell>
          <cell r="X245">
            <v>13831320</v>
          </cell>
          <cell r="Y245">
            <v>0</v>
          </cell>
          <cell r="Z245">
            <v>0</v>
          </cell>
          <cell r="AA245">
            <v>0</v>
          </cell>
          <cell r="AB245">
            <v>72088820</v>
          </cell>
          <cell r="AC245">
            <v>52057500</v>
          </cell>
          <cell r="AD245">
            <v>13831320</v>
          </cell>
          <cell r="AE245">
            <v>0</v>
          </cell>
          <cell r="AF245">
            <v>5000000</v>
          </cell>
          <cell r="AG245">
            <v>5000000</v>
          </cell>
          <cell r="AH245">
            <v>0</v>
          </cell>
          <cell r="AK245">
            <v>1200000</v>
          </cell>
          <cell r="AL245">
            <v>72088820</v>
          </cell>
          <cell r="AM245">
            <v>245</v>
          </cell>
        </row>
        <row r="246">
          <cell r="A246" t="str">
            <v>임종광</v>
          </cell>
          <cell r="B246">
            <v>9131180</v>
          </cell>
          <cell r="C246" t="str">
            <v>1020102</v>
          </cell>
          <cell r="D246" t="str">
            <v>수도사업단</v>
          </cell>
          <cell r="E246" t="str">
            <v>수도사업단</v>
          </cell>
          <cell r="F246" t="str">
            <v>업무지원팀장</v>
          </cell>
          <cell r="G246" t="str">
            <v>팀장</v>
          </cell>
          <cell r="H246" t="str">
            <v>12</v>
          </cell>
          <cell r="I246" t="str">
            <v>01</v>
          </cell>
          <cell r="J246">
            <v>1201</v>
          </cell>
          <cell r="K246" t="str">
            <v>일반직</v>
          </cell>
          <cell r="L246" t="str">
            <v>G1</v>
          </cell>
          <cell r="M246" t="str">
            <v>C</v>
          </cell>
          <cell r="N246">
            <v>52177500</v>
          </cell>
          <cell r="O246">
            <v>1200000</v>
          </cell>
          <cell r="P246">
            <v>14473290</v>
          </cell>
          <cell r="Q246">
            <v>0.5</v>
          </cell>
          <cell r="R246">
            <v>52177500</v>
          </cell>
          <cell r="S246">
            <v>0</v>
          </cell>
          <cell r="T246">
            <v>5000000</v>
          </cell>
          <cell r="U246">
            <v>0</v>
          </cell>
          <cell r="V246">
            <v>0</v>
          </cell>
          <cell r="W246">
            <v>1200000</v>
          </cell>
          <cell r="X246">
            <v>7236650</v>
          </cell>
          <cell r="Y246">
            <v>0</v>
          </cell>
          <cell r="Z246">
            <v>0</v>
          </cell>
          <cell r="AA246">
            <v>2000000</v>
          </cell>
          <cell r="AB246">
            <v>67614150</v>
          </cell>
          <cell r="AC246">
            <v>52177500</v>
          </cell>
          <cell r="AD246">
            <v>9236650</v>
          </cell>
          <cell r="AE246">
            <v>0</v>
          </cell>
          <cell r="AF246">
            <v>5000000</v>
          </cell>
          <cell r="AG246">
            <v>5000000</v>
          </cell>
          <cell r="AH246">
            <v>0</v>
          </cell>
          <cell r="AK246">
            <v>1200000</v>
          </cell>
          <cell r="AL246">
            <v>67614150</v>
          </cell>
          <cell r="AM246">
            <v>246</v>
          </cell>
        </row>
        <row r="247">
          <cell r="A247" t="str">
            <v>박노철</v>
          </cell>
          <cell r="B247">
            <v>9134090</v>
          </cell>
          <cell r="C247" t="str">
            <v>1022018</v>
          </cell>
          <cell r="D247" t="str">
            <v>수도사업단</v>
          </cell>
          <cell r="E247" t="str">
            <v>주안지점</v>
          </cell>
          <cell r="F247" t="str">
            <v>지점선임</v>
          </cell>
          <cell r="G247" t="str">
            <v>대리</v>
          </cell>
          <cell r="H247" t="str">
            <v>22</v>
          </cell>
          <cell r="I247" t="str">
            <v>01</v>
          </cell>
          <cell r="J247">
            <v>2201</v>
          </cell>
          <cell r="K247" t="str">
            <v>일반직</v>
          </cell>
          <cell r="L247" t="str">
            <v>G2</v>
          </cell>
          <cell r="M247" t="str">
            <v>B</v>
          </cell>
          <cell r="N247">
            <v>38787000</v>
          </cell>
          <cell r="O247">
            <v>1200000</v>
          </cell>
          <cell r="P247">
            <v>8804730</v>
          </cell>
          <cell r="Q247">
            <v>1</v>
          </cell>
          <cell r="R247">
            <v>38787000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1200000</v>
          </cell>
          <cell r="X247">
            <v>8804730</v>
          </cell>
          <cell r="Y247">
            <v>0</v>
          </cell>
          <cell r="Z247">
            <v>0</v>
          </cell>
          <cell r="AA247">
            <v>0</v>
          </cell>
          <cell r="AB247">
            <v>48791730</v>
          </cell>
          <cell r="AC247">
            <v>38787000</v>
          </cell>
          <cell r="AD247">
            <v>8804730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K247">
            <v>1200000</v>
          </cell>
          <cell r="AL247">
            <v>48791730</v>
          </cell>
          <cell r="AM247">
            <v>247</v>
          </cell>
        </row>
        <row r="248">
          <cell r="A248" t="str">
            <v>윤덕용</v>
          </cell>
          <cell r="B248">
            <v>9132870</v>
          </cell>
          <cell r="C248" t="str">
            <v>1022101</v>
          </cell>
          <cell r="D248" t="str">
            <v>수도사업단</v>
          </cell>
          <cell r="E248" t="str">
            <v>성남지점</v>
          </cell>
          <cell r="F248" t="str">
            <v>부지점장</v>
          </cell>
          <cell r="G248" t="str">
            <v>과장</v>
          </cell>
          <cell r="H248" t="str">
            <v>21</v>
          </cell>
          <cell r="I248" t="str">
            <v>01</v>
          </cell>
          <cell r="J248">
            <v>2101</v>
          </cell>
          <cell r="K248" t="str">
            <v>일반직</v>
          </cell>
          <cell r="L248" t="str">
            <v>G1</v>
          </cell>
          <cell r="M248" t="str">
            <v>A</v>
          </cell>
          <cell r="N248">
            <v>45810000</v>
          </cell>
          <cell r="O248">
            <v>1200000</v>
          </cell>
          <cell r="P248">
            <v>11591330</v>
          </cell>
          <cell r="Q248">
            <v>1.5</v>
          </cell>
          <cell r="R248">
            <v>45810000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1200000</v>
          </cell>
          <cell r="X248">
            <v>17387000</v>
          </cell>
          <cell r="Y248">
            <v>-586200</v>
          </cell>
          <cell r="Z248">
            <v>444520</v>
          </cell>
          <cell r="AA248">
            <v>0</v>
          </cell>
          <cell r="AB248">
            <v>64255320</v>
          </cell>
          <cell r="AC248">
            <v>45810000</v>
          </cell>
          <cell r="AD248">
            <v>17245320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K248">
            <v>1200000</v>
          </cell>
          <cell r="AL248">
            <v>64255320</v>
          </cell>
          <cell r="AM248">
            <v>248</v>
          </cell>
        </row>
        <row r="249">
          <cell r="A249" t="str">
            <v>정원술</v>
          </cell>
          <cell r="B249">
            <v>9116645</v>
          </cell>
          <cell r="C249" t="str">
            <v>1022120</v>
          </cell>
          <cell r="D249" t="str">
            <v>수도사업단</v>
          </cell>
          <cell r="E249" t="str">
            <v>안양지점</v>
          </cell>
          <cell r="F249" t="str">
            <v>지점선임</v>
          </cell>
          <cell r="G249" t="str">
            <v>대리</v>
          </cell>
          <cell r="H249" t="str">
            <v>22</v>
          </cell>
          <cell r="I249" t="str">
            <v>02</v>
          </cell>
          <cell r="J249">
            <v>2202</v>
          </cell>
          <cell r="K249" t="str">
            <v>일반직</v>
          </cell>
          <cell r="L249" t="str">
            <v>G2</v>
          </cell>
          <cell r="M249" t="str">
            <v>A</v>
          </cell>
          <cell r="N249">
            <v>39060000</v>
          </cell>
          <cell r="O249">
            <v>1200000</v>
          </cell>
          <cell r="P249">
            <v>8869520</v>
          </cell>
          <cell r="Q249">
            <v>1.5</v>
          </cell>
          <cell r="R249">
            <v>39060000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1200000</v>
          </cell>
          <cell r="X249">
            <v>13304280</v>
          </cell>
          <cell r="Y249">
            <v>0</v>
          </cell>
          <cell r="Z249">
            <v>440490</v>
          </cell>
          <cell r="AA249">
            <v>0</v>
          </cell>
          <cell r="AB249">
            <v>54004770</v>
          </cell>
          <cell r="AC249">
            <v>39060000</v>
          </cell>
          <cell r="AD249">
            <v>13744770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K249">
            <v>1200000</v>
          </cell>
          <cell r="AL249">
            <v>54004770</v>
          </cell>
          <cell r="AM249">
            <v>249</v>
          </cell>
        </row>
        <row r="250">
          <cell r="A250" t="str">
            <v>신승정</v>
          </cell>
          <cell r="B250">
            <v>9131580</v>
          </cell>
          <cell r="C250" t="str">
            <v>1023137</v>
          </cell>
          <cell r="D250" t="str">
            <v>수도사업단</v>
          </cell>
          <cell r="E250" t="str">
            <v>의정부지점</v>
          </cell>
          <cell r="F250" t="str">
            <v>지점선임</v>
          </cell>
          <cell r="G250" t="str">
            <v>대리</v>
          </cell>
          <cell r="H250" t="str">
            <v>31</v>
          </cell>
          <cell r="I250" t="str">
            <v>04</v>
          </cell>
          <cell r="J250">
            <v>3104</v>
          </cell>
          <cell r="K250" t="str">
            <v>사무직</v>
          </cell>
          <cell r="L250" t="str">
            <v>G3</v>
          </cell>
          <cell r="M250" t="str">
            <v>B</v>
          </cell>
          <cell r="N250">
            <v>37916300</v>
          </cell>
          <cell r="O250">
            <v>1200000</v>
          </cell>
          <cell r="P250">
            <v>6214000</v>
          </cell>
          <cell r="Q250">
            <v>1</v>
          </cell>
          <cell r="R250">
            <v>37916300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1200000</v>
          </cell>
          <cell r="X250">
            <v>6214000</v>
          </cell>
          <cell r="Y250">
            <v>0</v>
          </cell>
          <cell r="Z250">
            <v>0</v>
          </cell>
          <cell r="AA250">
            <v>0</v>
          </cell>
          <cell r="AB250">
            <v>45330300</v>
          </cell>
          <cell r="AC250">
            <v>37916300</v>
          </cell>
          <cell r="AD250">
            <v>6214000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K250">
            <v>1200000</v>
          </cell>
          <cell r="AL250">
            <v>45330300</v>
          </cell>
          <cell r="AM250">
            <v>250</v>
          </cell>
        </row>
        <row r="251">
          <cell r="A251" t="str">
            <v>최윤주</v>
          </cell>
          <cell r="B251">
            <v>9131210</v>
          </cell>
          <cell r="C251" t="str">
            <v>1023179</v>
          </cell>
          <cell r="D251" t="str">
            <v>수도사업단</v>
          </cell>
          <cell r="E251" t="str">
            <v>부평지점</v>
          </cell>
          <cell r="F251" t="str">
            <v>부지점장</v>
          </cell>
          <cell r="G251" t="str">
            <v>차장</v>
          </cell>
          <cell r="H251" t="str">
            <v>12</v>
          </cell>
          <cell r="I251" t="str">
            <v>01</v>
          </cell>
          <cell r="J251">
            <v>1201</v>
          </cell>
          <cell r="K251" t="str">
            <v>일반직</v>
          </cell>
          <cell r="L251" t="str">
            <v>G1</v>
          </cell>
          <cell r="M251" t="str">
            <v>C</v>
          </cell>
          <cell r="N251">
            <v>52177500</v>
          </cell>
          <cell r="O251">
            <v>1200000</v>
          </cell>
          <cell r="P251">
            <v>14312800</v>
          </cell>
          <cell r="Q251">
            <v>0.5</v>
          </cell>
          <cell r="R251">
            <v>52177500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1200000</v>
          </cell>
          <cell r="X251">
            <v>7156400</v>
          </cell>
          <cell r="Y251">
            <v>-586200</v>
          </cell>
          <cell r="Z251">
            <v>0</v>
          </cell>
          <cell r="AA251">
            <v>0</v>
          </cell>
          <cell r="AB251">
            <v>59947700</v>
          </cell>
          <cell r="AC251">
            <v>52177500</v>
          </cell>
          <cell r="AD251">
            <v>6570200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K251">
            <v>1200000</v>
          </cell>
          <cell r="AL251">
            <v>59947700</v>
          </cell>
          <cell r="AM251">
            <v>251</v>
          </cell>
        </row>
        <row r="252">
          <cell r="A252" t="str">
            <v>강우진</v>
          </cell>
          <cell r="B252">
            <v>9133663</v>
          </cell>
          <cell r="C252" t="str">
            <v>1023185</v>
          </cell>
          <cell r="D252" t="str">
            <v>수도사업단</v>
          </cell>
          <cell r="E252" t="str">
            <v>수원지점</v>
          </cell>
          <cell r="F252" t="str">
            <v>지점선임</v>
          </cell>
          <cell r="G252" t="str">
            <v>과장</v>
          </cell>
          <cell r="H252" t="str">
            <v>22</v>
          </cell>
          <cell r="I252" t="str">
            <v>04</v>
          </cell>
          <cell r="J252">
            <v>2204</v>
          </cell>
          <cell r="K252" t="str">
            <v>일반직</v>
          </cell>
          <cell r="L252" t="str">
            <v>G2</v>
          </cell>
          <cell r="M252" t="str">
            <v>B</v>
          </cell>
          <cell r="N252">
            <v>39606000</v>
          </cell>
          <cell r="O252">
            <v>1200000</v>
          </cell>
          <cell r="P252">
            <v>9122760</v>
          </cell>
          <cell r="Q252">
            <v>1</v>
          </cell>
          <cell r="R252">
            <v>39606000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1200000</v>
          </cell>
          <cell r="X252">
            <v>9122760</v>
          </cell>
          <cell r="Y252">
            <v>0</v>
          </cell>
          <cell r="Z252">
            <v>0</v>
          </cell>
          <cell r="AA252">
            <v>0</v>
          </cell>
          <cell r="AB252">
            <v>49928760</v>
          </cell>
          <cell r="AC252">
            <v>39606000</v>
          </cell>
          <cell r="AD252">
            <v>9122760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K252">
            <v>1200000</v>
          </cell>
          <cell r="AL252">
            <v>49928760</v>
          </cell>
          <cell r="AM252">
            <v>252</v>
          </cell>
        </row>
        <row r="253">
          <cell r="A253" t="str">
            <v>임진기</v>
          </cell>
          <cell r="B253">
            <v>9134759</v>
          </cell>
          <cell r="C253" t="str">
            <v>1023191</v>
          </cell>
          <cell r="D253" t="str">
            <v>수도사업단</v>
          </cell>
          <cell r="E253" t="str">
            <v>원주지점</v>
          </cell>
          <cell r="F253" t="str">
            <v>지점선임</v>
          </cell>
          <cell r="G253" t="str">
            <v>대리</v>
          </cell>
          <cell r="H253" t="str">
            <v>22</v>
          </cell>
          <cell r="I253" t="str">
            <v>03</v>
          </cell>
          <cell r="J253">
            <v>2203</v>
          </cell>
          <cell r="K253" t="str">
            <v>일반직</v>
          </cell>
          <cell r="L253" t="str">
            <v>G2</v>
          </cell>
          <cell r="M253" t="str">
            <v>B</v>
          </cell>
          <cell r="N253">
            <v>39213000</v>
          </cell>
          <cell r="O253">
            <v>1200000</v>
          </cell>
          <cell r="P253">
            <v>8688660</v>
          </cell>
          <cell r="Q253">
            <v>1</v>
          </cell>
          <cell r="R253">
            <v>39213000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1200000</v>
          </cell>
          <cell r="X253">
            <v>8688660</v>
          </cell>
          <cell r="Y253">
            <v>0</v>
          </cell>
          <cell r="Z253">
            <v>0</v>
          </cell>
          <cell r="AA253">
            <v>0</v>
          </cell>
          <cell r="AB253">
            <v>49101660</v>
          </cell>
          <cell r="AC253">
            <v>39213000</v>
          </cell>
          <cell r="AD253">
            <v>8688660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K253">
            <v>1200000</v>
          </cell>
          <cell r="AL253">
            <v>49101660</v>
          </cell>
          <cell r="AM253">
            <v>253</v>
          </cell>
        </row>
        <row r="254">
          <cell r="A254" t="str">
            <v>이금자</v>
          </cell>
          <cell r="B254">
            <v>9132616</v>
          </cell>
          <cell r="C254" t="str">
            <v>1023192</v>
          </cell>
          <cell r="D254" t="str">
            <v>수도사업단</v>
          </cell>
          <cell r="E254" t="str">
            <v>춘천지점</v>
          </cell>
          <cell r="F254" t="str">
            <v>부지점장</v>
          </cell>
          <cell r="G254" t="str">
            <v>차장</v>
          </cell>
          <cell r="H254" t="str">
            <v>21</v>
          </cell>
          <cell r="I254" t="str">
            <v>01</v>
          </cell>
          <cell r="J254">
            <v>2101</v>
          </cell>
          <cell r="K254" t="str">
            <v>일반직</v>
          </cell>
          <cell r="L254" t="str">
            <v>G1</v>
          </cell>
          <cell r="M254" t="str">
            <v>B</v>
          </cell>
          <cell r="N254">
            <v>45810000</v>
          </cell>
          <cell r="O254">
            <v>1200000</v>
          </cell>
          <cell r="P254">
            <v>12871990</v>
          </cell>
          <cell r="Q254">
            <v>1</v>
          </cell>
          <cell r="R254">
            <v>45810000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1200000</v>
          </cell>
          <cell r="X254">
            <v>12871990</v>
          </cell>
          <cell r="Y254">
            <v>-586200</v>
          </cell>
          <cell r="Z254">
            <v>0</v>
          </cell>
          <cell r="AA254">
            <v>0</v>
          </cell>
          <cell r="AB254">
            <v>59295790</v>
          </cell>
          <cell r="AC254">
            <v>45810000</v>
          </cell>
          <cell r="AD254">
            <v>12285790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K254">
            <v>1200000</v>
          </cell>
          <cell r="AL254">
            <v>59295790</v>
          </cell>
          <cell r="AM254">
            <v>254</v>
          </cell>
        </row>
        <row r="255">
          <cell r="A255" t="str">
            <v>김영숙</v>
          </cell>
          <cell r="B255">
            <v>9132705</v>
          </cell>
          <cell r="C255" t="str">
            <v>1023200</v>
          </cell>
          <cell r="D255" t="str">
            <v>수도사업단</v>
          </cell>
          <cell r="E255" t="str">
            <v>여주지점</v>
          </cell>
          <cell r="F255" t="str">
            <v>부지점장</v>
          </cell>
          <cell r="G255" t="str">
            <v>과장</v>
          </cell>
          <cell r="H255" t="str">
            <v>21</v>
          </cell>
          <cell r="I255" t="str">
            <v>01</v>
          </cell>
          <cell r="J255">
            <v>2101</v>
          </cell>
          <cell r="K255" t="str">
            <v>일반직</v>
          </cell>
          <cell r="L255" t="str">
            <v>G1</v>
          </cell>
          <cell r="M255" t="str">
            <v>B</v>
          </cell>
          <cell r="N255">
            <v>45810000</v>
          </cell>
          <cell r="O255">
            <v>1200000</v>
          </cell>
          <cell r="P255">
            <v>12729700</v>
          </cell>
          <cell r="Q255">
            <v>1</v>
          </cell>
          <cell r="R255">
            <v>45810000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1200000</v>
          </cell>
          <cell r="X255">
            <v>12729700</v>
          </cell>
          <cell r="Y255">
            <v>-586200</v>
          </cell>
          <cell r="Z255">
            <v>0</v>
          </cell>
          <cell r="AA255">
            <v>0</v>
          </cell>
          <cell r="AB255">
            <v>59153500</v>
          </cell>
          <cell r="AC255">
            <v>45810000</v>
          </cell>
          <cell r="AD255">
            <v>12143500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K255">
            <v>1200000</v>
          </cell>
          <cell r="AL255">
            <v>59153500</v>
          </cell>
          <cell r="AM255">
            <v>255</v>
          </cell>
        </row>
        <row r="256">
          <cell r="A256" t="str">
            <v>김기순</v>
          </cell>
          <cell r="B256">
            <v>9131059</v>
          </cell>
          <cell r="C256" t="str">
            <v>1023203</v>
          </cell>
          <cell r="D256" t="str">
            <v>수도사업단</v>
          </cell>
          <cell r="E256" t="str">
            <v>속초지점</v>
          </cell>
          <cell r="F256" t="str">
            <v>지점선임</v>
          </cell>
          <cell r="G256" t="str">
            <v>대리</v>
          </cell>
          <cell r="H256" t="str">
            <v>22</v>
          </cell>
          <cell r="I256" t="str">
            <v>03</v>
          </cell>
          <cell r="J256">
            <v>2203</v>
          </cell>
          <cell r="K256" t="str">
            <v>일반직</v>
          </cell>
          <cell r="L256" t="str">
            <v>G2</v>
          </cell>
          <cell r="M256" t="str">
            <v>B</v>
          </cell>
          <cell r="N256">
            <v>39573000</v>
          </cell>
          <cell r="O256">
            <v>1200000</v>
          </cell>
          <cell r="P256">
            <v>12127620</v>
          </cell>
          <cell r="Q256">
            <v>1</v>
          </cell>
          <cell r="R256">
            <v>39573000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1200000</v>
          </cell>
          <cell r="X256">
            <v>12127620</v>
          </cell>
          <cell r="Y256">
            <v>0</v>
          </cell>
          <cell r="Z256">
            <v>0</v>
          </cell>
          <cell r="AA256">
            <v>0</v>
          </cell>
          <cell r="AB256">
            <v>52900620</v>
          </cell>
          <cell r="AC256">
            <v>39573000</v>
          </cell>
          <cell r="AD256">
            <v>12127620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K256">
            <v>1200000</v>
          </cell>
          <cell r="AL256">
            <v>52900620</v>
          </cell>
          <cell r="AM256">
            <v>256</v>
          </cell>
        </row>
        <row r="257">
          <cell r="A257" t="str">
            <v>금재순</v>
          </cell>
          <cell r="B257">
            <v>9132292</v>
          </cell>
          <cell r="C257" t="str">
            <v>1023205</v>
          </cell>
          <cell r="D257" t="str">
            <v>수도사업단</v>
          </cell>
          <cell r="E257" t="str">
            <v>태백지점</v>
          </cell>
          <cell r="F257" t="str">
            <v>지점선임</v>
          </cell>
          <cell r="G257" t="str">
            <v>대리</v>
          </cell>
          <cell r="H257" t="str">
            <v>31</v>
          </cell>
          <cell r="I257" t="str">
            <v>03</v>
          </cell>
          <cell r="J257">
            <v>3103</v>
          </cell>
          <cell r="K257" t="str">
            <v>사무직</v>
          </cell>
          <cell r="L257" t="str">
            <v>G3</v>
          </cell>
          <cell r="M257" t="str">
            <v>B</v>
          </cell>
          <cell r="N257">
            <v>37396760</v>
          </cell>
          <cell r="O257">
            <v>1200000</v>
          </cell>
          <cell r="P257">
            <v>6182000</v>
          </cell>
          <cell r="Q257">
            <v>1</v>
          </cell>
          <cell r="R257">
            <v>37396760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1200000</v>
          </cell>
          <cell r="X257">
            <v>6182000</v>
          </cell>
          <cell r="Y257">
            <v>0</v>
          </cell>
          <cell r="Z257">
            <v>0</v>
          </cell>
          <cell r="AA257">
            <v>0</v>
          </cell>
          <cell r="AB257">
            <v>44778760</v>
          </cell>
          <cell r="AC257">
            <v>37396760</v>
          </cell>
          <cell r="AD257">
            <v>6182000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K257">
            <v>1200000</v>
          </cell>
          <cell r="AL257">
            <v>44778760</v>
          </cell>
          <cell r="AM257">
            <v>257</v>
          </cell>
        </row>
        <row r="258">
          <cell r="A258" t="str">
            <v>정해영</v>
          </cell>
          <cell r="B258">
            <v>9133841</v>
          </cell>
          <cell r="C258" t="str">
            <v>1023375</v>
          </cell>
          <cell r="D258" t="str">
            <v>수도사업단</v>
          </cell>
          <cell r="E258" t="str">
            <v>인천지점</v>
          </cell>
          <cell r="F258" t="str">
            <v>지점선임</v>
          </cell>
          <cell r="G258" t="str">
            <v>과장</v>
          </cell>
          <cell r="H258" t="str">
            <v>22</v>
          </cell>
          <cell r="I258" t="str">
            <v>04</v>
          </cell>
          <cell r="J258">
            <v>2204</v>
          </cell>
          <cell r="K258" t="str">
            <v>일반직</v>
          </cell>
          <cell r="L258" t="str">
            <v>G2</v>
          </cell>
          <cell r="M258" t="str">
            <v>B</v>
          </cell>
          <cell r="N258">
            <v>39606000</v>
          </cell>
          <cell r="O258">
            <v>1200000</v>
          </cell>
          <cell r="P258">
            <v>9122760</v>
          </cell>
          <cell r="Q258">
            <v>1</v>
          </cell>
          <cell r="R258">
            <v>39606000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1200000</v>
          </cell>
          <cell r="X258">
            <v>9122760</v>
          </cell>
          <cell r="Y258">
            <v>0</v>
          </cell>
          <cell r="Z258">
            <v>0</v>
          </cell>
          <cell r="AA258">
            <v>0</v>
          </cell>
          <cell r="AB258">
            <v>49928760</v>
          </cell>
          <cell r="AC258">
            <v>39606000</v>
          </cell>
          <cell r="AD258">
            <v>9122760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K258">
            <v>1200000</v>
          </cell>
          <cell r="AL258">
            <v>49928760</v>
          </cell>
          <cell r="AM258">
            <v>258</v>
          </cell>
        </row>
        <row r="259">
          <cell r="A259" t="str">
            <v>임준선</v>
          </cell>
          <cell r="B259">
            <v>9131172</v>
          </cell>
          <cell r="C259" t="str">
            <v>1023611</v>
          </cell>
          <cell r="D259" t="str">
            <v>수도사업단</v>
          </cell>
          <cell r="E259" t="str">
            <v>석수지점</v>
          </cell>
          <cell r="F259" t="str">
            <v>부지점장</v>
          </cell>
          <cell r="G259" t="str">
            <v>차장</v>
          </cell>
          <cell r="H259" t="str">
            <v>21</v>
          </cell>
          <cell r="I259" t="str">
            <v>05</v>
          </cell>
          <cell r="J259">
            <v>2105</v>
          </cell>
          <cell r="K259" t="str">
            <v>일반직</v>
          </cell>
          <cell r="L259" t="str">
            <v>G1</v>
          </cell>
          <cell r="M259" t="str">
            <v>C</v>
          </cell>
          <cell r="N259">
            <v>47310000</v>
          </cell>
          <cell r="O259">
            <v>1200000</v>
          </cell>
          <cell r="P259">
            <v>13218210</v>
          </cell>
          <cell r="Q259">
            <v>0.5</v>
          </cell>
          <cell r="R259">
            <v>47310000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1200000</v>
          </cell>
          <cell r="X259">
            <v>6609110</v>
          </cell>
          <cell r="Y259">
            <v>-586200</v>
          </cell>
          <cell r="Z259">
            <v>0</v>
          </cell>
          <cell r="AA259">
            <v>0</v>
          </cell>
          <cell r="AB259">
            <v>54532910</v>
          </cell>
          <cell r="AC259">
            <v>47310000</v>
          </cell>
          <cell r="AD259">
            <v>6022910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K259">
            <v>1200000</v>
          </cell>
          <cell r="AL259">
            <v>54532910</v>
          </cell>
          <cell r="AM259">
            <v>259</v>
          </cell>
        </row>
        <row r="260">
          <cell r="A260" t="str">
            <v>김욱준</v>
          </cell>
          <cell r="B260">
            <v>9133850</v>
          </cell>
          <cell r="C260" t="str">
            <v>1023678</v>
          </cell>
          <cell r="D260" t="str">
            <v>수도사업단</v>
          </cell>
          <cell r="E260" t="str">
            <v>동해지점</v>
          </cell>
          <cell r="F260" t="str">
            <v>지점선임</v>
          </cell>
          <cell r="G260" t="str">
            <v>대리</v>
          </cell>
          <cell r="H260" t="str">
            <v>22</v>
          </cell>
          <cell r="I260" t="str">
            <v>03</v>
          </cell>
          <cell r="J260">
            <v>2203</v>
          </cell>
          <cell r="K260" t="str">
            <v>일반직</v>
          </cell>
          <cell r="L260" t="str">
            <v>G2</v>
          </cell>
          <cell r="M260" t="str">
            <v>B</v>
          </cell>
          <cell r="N260">
            <v>39333000</v>
          </cell>
          <cell r="O260">
            <v>1200000</v>
          </cell>
          <cell r="P260">
            <v>9057120</v>
          </cell>
          <cell r="Q260">
            <v>1</v>
          </cell>
          <cell r="R260">
            <v>39333000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1200000</v>
          </cell>
          <cell r="X260">
            <v>9057120</v>
          </cell>
          <cell r="Y260">
            <v>0</v>
          </cell>
          <cell r="Z260">
            <v>0</v>
          </cell>
          <cell r="AA260">
            <v>0</v>
          </cell>
          <cell r="AB260">
            <v>49590120</v>
          </cell>
          <cell r="AC260">
            <v>39333000</v>
          </cell>
          <cell r="AD260">
            <v>9057120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K260">
            <v>1200000</v>
          </cell>
          <cell r="AL260">
            <v>49590120</v>
          </cell>
          <cell r="AM260">
            <v>260</v>
          </cell>
        </row>
        <row r="261">
          <cell r="A261" t="str">
            <v>방명주</v>
          </cell>
          <cell r="B261">
            <v>9131679</v>
          </cell>
          <cell r="C261" t="str">
            <v>1023745</v>
          </cell>
          <cell r="D261" t="str">
            <v>수도사업단</v>
          </cell>
          <cell r="E261" t="str">
            <v>중원지점</v>
          </cell>
          <cell r="F261" t="str">
            <v>지점선임</v>
          </cell>
          <cell r="G261" t="str">
            <v>대리</v>
          </cell>
          <cell r="H261" t="str">
            <v>31</v>
          </cell>
          <cell r="I261" t="str">
            <v>03</v>
          </cell>
          <cell r="J261">
            <v>3103</v>
          </cell>
          <cell r="K261" t="str">
            <v>사무직</v>
          </cell>
          <cell r="L261" t="str">
            <v>G3</v>
          </cell>
          <cell r="M261" t="str">
            <v>B</v>
          </cell>
          <cell r="N261">
            <v>37732560</v>
          </cell>
          <cell r="O261">
            <v>1200000</v>
          </cell>
          <cell r="P261">
            <v>6182000</v>
          </cell>
          <cell r="Q261">
            <v>1</v>
          </cell>
          <cell r="R261">
            <v>37732560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1200000</v>
          </cell>
          <cell r="X261">
            <v>6182000</v>
          </cell>
          <cell r="Y261">
            <v>0</v>
          </cell>
          <cell r="Z261">
            <v>0</v>
          </cell>
          <cell r="AA261">
            <v>0</v>
          </cell>
          <cell r="AB261">
            <v>45114560</v>
          </cell>
          <cell r="AC261">
            <v>37732560</v>
          </cell>
          <cell r="AD261">
            <v>6182000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K261">
            <v>1200000</v>
          </cell>
          <cell r="AL261">
            <v>45114560</v>
          </cell>
          <cell r="AM261">
            <v>261</v>
          </cell>
        </row>
        <row r="262">
          <cell r="A262" t="str">
            <v>이정훈</v>
          </cell>
          <cell r="B262">
            <v>9120162</v>
          </cell>
          <cell r="C262" t="str">
            <v>1024241</v>
          </cell>
          <cell r="D262" t="str">
            <v>수도사업단</v>
          </cell>
          <cell r="E262" t="str">
            <v>고양지점</v>
          </cell>
          <cell r="F262" t="str">
            <v>지점선임</v>
          </cell>
          <cell r="G262" t="str">
            <v>대리</v>
          </cell>
          <cell r="H262" t="str">
            <v>31</v>
          </cell>
          <cell r="I262" t="str">
            <v>06</v>
          </cell>
          <cell r="J262">
            <v>3106</v>
          </cell>
          <cell r="K262" t="str">
            <v>일반직</v>
          </cell>
          <cell r="L262" t="str">
            <v>G2</v>
          </cell>
          <cell r="M262" t="str">
            <v>C</v>
          </cell>
          <cell r="N262">
            <v>34759500</v>
          </cell>
          <cell r="O262">
            <v>1200000</v>
          </cell>
          <cell r="P262">
            <v>7810670</v>
          </cell>
          <cell r="Q262">
            <v>0.5</v>
          </cell>
          <cell r="R262">
            <v>34759500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1200000</v>
          </cell>
          <cell r="X262">
            <v>3905340</v>
          </cell>
          <cell r="Y262">
            <v>0</v>
          </cell>
          <cell r="Z262">
            <v>0</v>
          </cell>
          <cell r="AA262">
            <v>0</v>
          </cell>
          <cell r="AB262">
            <v>39864840</v>
          </cell>
          <cell r="AC262">
            <v>34759500</v>
          </cell>
          <cell r="AD262">
            <v>3905340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K262">
            <v>1200000</v>
          </cell>
          <cell r="AL262">
            <v>39864840</v>
          </cell>
          <cell r="AM262">
            <v>262</v>
          </cell>
        </row>
        <row r="263">
          <cell r="A263" t="str">
            <v>임병덕</v>
          </cell>
          <cell r="B263">
            <v>9132250</v>
          </cell>
          <cell r="C263" t="str">
            <v>1024256</v>
          </cell>
          <cell r="D263" t="str">
            <v>수도사업단</v>
          </cell>
          <cell r="E263" t="str">
            <v>중동지점</v>
          </cell>
          <cell r="F263" t="str">
            <v>부지점장</v>
          </cell>
          <cell r="G263" t="str">
            <v>과장</v>
          </cell>
          <cell r="H263" t="str">
            <v>21</v>
          </cell>
          <cell r="I263" t="str">
            <v>01</v>
          </cell>
          <cell r="J263">
            <v>2101</v>
          </cell>
          <cell r="K263" t="str">
            <v>일반직</v>
          </cell>
          <cell r="L263" t="str">
            <v>G1</v>
          </cell>
          <cell r="M263" t="str">
            <v>A</v>
          </cell>
          <cell r="N263">
            <v>45810000</v>
          </cell>
          <cell r="O263">
            <v>1200000</v>
          </cell>
          <cell r="P263">
            <v>11875920</v>
          </cell>
          <cell r="Q263">
            <v>1.5</v>
          </cell>
          <cell r="R263">
            <v>45810000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1200000</v>
          </cell>
          <cell r="X263">
            <v>17813880</v>
          </cell>
          <cell r="Y263">
            <v>-586200</v>
          </cell>
          <cell r="Z263">
            <v>444520</v>
          </cell>
          <cell r="AA263">
            <v>0</v>
          </cell>
          <cell r="AB263">
            <v>64682200</v>
          </cell>
          <cell r="AC263">
            <v>45810000</v>
          </cell>
          <cell r="AD263">
            <v>17672200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K263">
            <v>1200000</v>
          </cell>
          <cell r="AL263">
            <v>64682200</v>
          </cell>
          <cell r="AM263">
            <v>263</v>
          </cell>
        </row>
        <row r="264">
          <cell r="A264" t="str">
            <v>안금주</v>
          </cell>
          <cell r="B264">
            <v>9132560</v>
          </cell>
          <cell r="C264" t="str">
            <v>1024282</v>
          </cell>
          <cell r="D264" t="str">
            <v>수도사업단</v>
          </cell>
          <cell r="E264" t="str">
            <v>연수지점</v>
          </cell>
          <cell r="F264" t="str">
            <v>지점선임</v>
          </cell>
          <cell r="G264" t="str">
            <v>대리</v>
          </cell>
          <cell r="H264" t="str">
            <v>31</v>
          </cell>
          <cell r="I264" t="str">
            <v>03</v>
          </cell>
          <cell r="J264">
            <v>3103</v>
          </cell>
          <cell r="K264" t="str">
            <v>사무직</v>
          </cell>
          <cell r="L264" t="str">
            <v>G3</v>
          </cell>
          <cell r="M264" t="str">
            <v>A</v>
          </cell>
          <cell r="N264">
            <v>37288860</v>
          </cell>
          <cell r="O264">
            <v>1200000</v>
          </cell>
          <cell r="P264">
            <v>6182000</v>
          </cell>
          <cell r="Q264">
            <v>1.5</v>
          </cell>
          <cell r="R264">
            <v>37288860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1200000</v>
          </cell>
          <cell r="X264">
            <v>9273000</v>
          </cell>
          <cell r="Y264">
            <v>0</v>
          </cell>
          <cell r="Z264">
            <v>0</v>
          </cell>
          <cell r="AA264">
            <v>0</v>
          </cell>
          <cell r="AB264">
            <v>47761860</v>
          </cell>
          <cell r="AC264">
            <v>37288860</v>
          </cell>
          <cell r="AD264">
            <v>9273000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K264">
            <v>1200000</v>
          </cell>
          <cell r="AL264">
            <v>47761860</v>
          </cell>
          <cell r="AM264">
            <v>264</v>
          </cell>
        </row>
        <row r="265">
          <cell r="A265" t="str">
            <v>황선걸</v>
          </cell>
          <cell r="B265">
            <v>9131784</v>
          </cell>
          <cell r="C265" t="str">
            <v>1024287</v>
          </cell>
          <cell r="D265" t="str">
            <v>수도사업단</v>
          </cell>
          <cell r="E265" t="str">
            <v>신평촌지점</v>
          </cell>
          <cell r="F265" t="str">
            <v>부지점장</v>
          </cell>
          <cell r="G265" t="str">
            <v>차장</v>
          </cell>
          <cell r="H265" t="str">
            <v>21</v>
          </cell>
          <cell r="I265" t="str">
            <v>01</v>
          </cell>
          <cell r="J265">
            <v>2101</v>
          </cell>
          <cell r="K265" t="str">
            <v>일반직</v>
          </cell>
          <cell r="L265" t="str">
            <v>G1</v>
          </cell>
          <cell r="M265" t="str">
            <v>A</v>
          </cell>
          <cell r="N265">
            <v>45930000</v>
          </cell>
          <cell r="O265">
            <v>1200000</v>
          </cell>
          <cell r="P265">
            <v>12018210</v>
          </cell>
          <cell r="Q265">
            <v>1.5</v>
          </cell>
          <cell r="R265">
            <v>45930000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1200000</v>
          </cell>
          <cell r="X265">
            <v>18027320</v>
          </cell>
          <cell r="Y265">
            <v>-586200</v>
          </cell>
          <cell r="Z265">
            <v>444520</v>
          </cell>
          <cell r="AA265">
            <v>-3000000</v>
          </cell>
          <cell r="AB265">
            <v>62015640</v>
          </cell>
          <cell r="AC265">
            <v>45930000</v>
          </cell>
          <cell r="AD265">
            <v>14885640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K265">
            <v>1200000</v>
          </cell>
          <cell r="AL265">
            <v>62015640</v>
          </cell>
          <cell r="AM265">
            <v>265</v>
          </cell>
        </row>
        <row r="266">
          <cell r="A266" t="str">
            <v>임채성</v>
          </cell>
          <cell r="B266">
            <v>9134880</v>
          </cell>
          <cell r="C266" t="str">
            <v>1024289</v>
          </cell>
          <cell r="D266" t="str">
            <v>수도사업단</v>
          </cell>
          <cell r="E266" t="str">
            <v>분당지점</v>
          </cell>
          <cell r="F266" t="str">
            <v>지점선임</v>
          </cell>
          <cell r="G266" t="str">
            <v>주임</v>
          </cell>
          <cell r="H266" t="str">
            <v>31</v>
          </cell>
          <cell r="I266" t="str">
            <v>02</v>
          </cell>
          <cell r="J266">
            <v>3102</v>
          </cell>
          <cell r="K266" t="str">
            <v>일반직</v>
          </cell>
          <cell r="L266" t="str">
            <v>G2</v>
          </cell>
          <cell r="M266" t="str">
            <v>C</v>
          </cell>
          <cell r="N266">
            <v>34003500</v>
          </cell>
          <cell r="O266">
            <v>1200000</v>
          </cell>
          <cell r="P266">
            <v>7419380</v>
          </cell>
          <cell r="Q266">
            <v>0.5</v>
          </cell>
          <cell r="R266">
            <v>34003500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1200000</v>
          </cell>
          <cell r="X266">
            <v>3709690</v>
          </cell>
          <cell r="Y266">
            <v>0</v>
          </cell>
          <cell r="Z266">
            <v>0</v>
          </cell>
          <cell r="AA266">
            <v>0</v>
          </cell>
          <cell r="AB266">
            <v>38913190</v>
          </cell>
          <cell r="AC266">
            <v>34003500</v>
          </cell>
          <cell r="AD266">
            <v>3709690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K266">
            <v>1200000</v>
          </cell>
          <cell r="AL266">
            <v>38913190</v>
          </cell>
          <cell r="AM266">
            <v>266</v>
          </cell>
        </row>
        <row r="267">
          <cell r="A267" t="str">
            <v>임용철</v>
          </cell>
          <cell r="B267">
            <v>9131199</v>
          </cell>
          <cell r="C267" t="str">
            <v>1024299</v>
          </cell>
          <cell r="D267" t="str">
            <v>수도사업단</v>
          </cell>
          <cell r="E267" t="str">
            <v>부천지점</v>
          </cell>
          <cell r="F267" t="str">
            <v>부지점장</v>
          </cell>
          <cell r="G267" t="str">
            <v>차장</v>
          </cell>
          <cell r="H267" t="str">
            <v>21</v>
          </cell>
          <cell r="I267" t="str">
            <v>04</v>
          </cell>
          <cell r="J267">
            <v>2104</v>
          </cell>
          <cell r="K267" t="str">
            <v>일반직</v>
          </cell>
          <cell r="L267" t="str">
            <v>G1</v>
          </cell>
          <cell r="M267" t="str">
            <v>B</v>
          </cell>
          <cell r="N267">
            <v>46995000</v>
          </cell>
          <cell r="O267">
            <v>1200000</v>
          </cell>
          <cell r="P267">
            <v>13131650</v>
          </cell>
          <cell r="Q267">
            <v>1</v>
          </cell>
          <cell r="R267">
            <v>46995000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1200000</v>
          </cell>
          <cell r="X267">
            <v>13131650</v>
          </cell>
          <cell r="Y267">
            <v>-586200</v>
          </cell>
          <cell r="Z267">
            <v>0</v>
          </cell>
          <cell r="AA267">
            <v>0</v>
          </cell>
          <cell r="AB267">
            <v>60740450</v>
          </cell>
          <cell r="AC267">
            <v>46995000</v>
          </cell>
          <cell r="AD267">
            <v>12545450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K267">
            <v>1200000</v>
          </cell>
          <cell r="AL267">
            <v>60740450</v>
          </cell>
          <cell r="AM267">
            <v>267</v>
          </cell>
        </row>
        <row r="268">
          <cell r="A268" t="str">
            <v>염수자</v>
          </cell>
          <cell r="B268">
            <v>9131709</v>
          </cell>
          <cell r="C268" t="str">
            <v>1024401</v>
          </cell>
          <cell r="D268" t="str">
            <v>수도사업단</v>
          </cell>
          <cell r="E268" t="str">
            <v>안산지사</v>
          </cell>
          <cell r="F268" t="str">
            <v>매니저</v>
          </cell>
          <cell r="G268" t="str">
            <v>과장</v>
          </cell>
          <cell r="H268" t="str">
            <v>22</v>
          </cell>
          <cell r="I268" t="str">
            <v>12</v>
          </cell>
          <cell r="J268">
            <v>2212</v>
          </cell>
          <cell r="K268" t="str">
            <v>일반직</v>
          </cell>
          <cell r="L268" t="str">
            <v>G2</v>
          </cell>
          <cell r="M268" t="str">
            <v>D</v>
          </cell>
          <cell r="N268">
            <v>41028000</v>
          </cell>
          <cell r="O268">
            <v>1200000</v>
          </cell>
          <cell r="P268">
            <v>11096410</v>
          </cell>
          <cell r="Q268">
            <v>0</v>
          </cell>
          <cell r="R268">
            <v>41028000</v>
          </cell>
          <cell r="S268">
            <v>0</v>
          </cell>
          <cell r="T268">
            <v>0</v>
          </cell>
          <cell r="U268">
            <v>0</v>
          </cell>
          <cell r="V268">
            <v>-4102800</v>
          </cell>
          <cell r="W268">
            <v>1200000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38125200</v>
          </cell>
          <cell r="AC268">
            <v>36925200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K268">
            <v>1200000</v>
          </cell>
          <cell r="AL268">
            <v>38125200</v>
          </cell>
          <cell r="AM268">
            <v>268</v>
          </cell>
        </row>
        <row r="269">
          <cell r="A269" t="str">
            <v>소이영</v>
          </cell>
          <cell r="B269">
            <v>9131040</v>
          </cell>
          <cell r="C269" t="str">
            <v>1024406</v>
          </cell>
          <cell r="D269" t="str">
            <v>수도사업단</v>
          </cell>
          <cell r="E269" t="str">
            <v>사북지사</v>
          </cell>
          <cell r="F269" t="str">
            <v>매니저</v>
          </cell>
          <cell r="G269" t="str">
            <v>차장</v>
          </cell>
          <cell r="H269" t="str">
            <v>21</v>
          </cell>
          <cell r="I269" t="str">
            <v>09</v>
          </cell>
          <cell r="J269">
            <v>2109</v>
          </cell>
          <cell r="K269" t="str">
            <v>일반직</v>
          </cell>
          <cell r="L269" t="str">
            <v>G1</v>
          </cell>
          <cell r="M269" t="str">
            <v>C</v>
          </cell>
          <cell r="N269">
            <v>48108000</v>
          </cell>
          <cell r="O269">
            <v>1200000</v>
          </cell>
          <cell r="P269">
            <v>14478530</v>
          </cell>
          <cell r="Q269">
            <v>0.5</v>
          </cell>
          <cell r="R269">
            <v>48108000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1200000</v>
          </cell>
          <cell r="X269">
            <v>7239270</v>
          </cell>
          <cell r="Y269">
            <v>-586200</v>
          </cell>
          <cell r="Z269">
            <v>0</v>
          </cell>
          <cell r="AA269">
            <v>0</v>
          </cell>
          <cell r="AB269">
            <v>55961070</v>
          </cell>
          <cell r="AC269">
            <v>48108000</v>
          </cell>
          <cell r="AD269">
            <v>6653070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K269">
            <v>1200000</v>
          </cell>
          <cell r="AL269">
            <v>55961070</v>
          </cell>
          <cell r="AM269">
            <v>269</v>
          </cell>
        </row>
        <row r="270">
          <cell r="A270" t="str">
            <v>이호삼</v>
          </cell>
          <cell r="B270">
            <v>9132284</v>
          </cell>
          <cell r="C270" t="str">
            <v>1024407</v>
          </cell>
          <cell r="D270" t="str">
            <v>수도사업단</v>
          </cell>
          <cell r="E270" t="str">
            <v>송탄지사</v>
          </cell>
          <cell r="F270" t="str">
            <v>매니저</v>
          </cell>
          <cell r="G270" t="str">
            <v>과장</v>
          </cell>
          <cell r="H270" t="str">
            <v>22</v>
          </cell>
          <cell r="I270" t="str">
            <v>07</v>
          </cell>
          <cell r="J270">
            <v>2207</v>
          </cell>
          <cell r="K270" t="str">
            <v>일반직</v>
          </cell>
          <cell r="L270" t="str">
            <v>G2</v>
          </cell>
          <cell r="M270" t="str">
            <v>B</v>
          </cell>
          <cell r="N270">
            <v>40173000</v>
          </cell>
          <cell r="O270">
            <v>1200000</v>
          </cell>
          <cell r="P270">
            <v>9760870</v>
          </cell>
          <cell r="Q270">
            <v>1</v>
          </cell>
          <cell r="R270">
            <v>40173000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1200000</v>
          </cell>
          <cell r="X270">
            <v>9760870</v>
          </cell>
          <cell r="Y270">
            <v>0</v>
          </cell>
          <cell r="Z270">
            <v>0</v>
          </cell>
          <cell r="AA270">
            <v>0</v>
          </cell>
          <cell r="AB270">
            <v>51133870</v>
          </cell>
          <cell r="AC270">
            <v>40173000</v>
          </cell>
          <cell r="AD270">
            <v>9760870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K270">
            <v>1200000</v>
          </cell>
          <cell r="AL270">
            <v>51133870</v>
          </cell>
          <cell r="AM270">
            <v>270</v>
          </cell>
        </row>
        <row r="271">
          <cell r="A271" t="str">
            <v>엄기학</v>
          </cell>
          <cell r="B271">
            <v>9134805</v>
          </cell>
          <cell r="C271" t="str">
            <v>1024418</v>
          </cell>
          <cell r="D271" t="str">
            <v>수도사업단</v>
          </cell>
          <cell r="E271" t="str">
            <v>수지지사</v>
          </cell>
          <cell r="F271" t="str">
            <v>매니저</v>
          </cell>
          <cell r="G271" t="str">
            <v>차장</v>
          </cell>
          <cell r="H271" t="str">
            <v>21</v>
          </cell>
          <cell r="I271" t="str">
            <v>01</v>
          </cell>
          <cell r="J271">
            <v>2101</v>
          </cell>
          <cell r="K271" t="str">
            <v>일반직</v>
          </cell>
          <cell r="L271" t="str">
            <v>G1</v>
          </cell>
          <cell r="M271" t="str">
            <v>B</v>
          </cell>
          <cell r="N271">
            <v>45690000</v>
          </cell>
          <cell r="O271">
            <v>1200000</v>
          </cell>
          <cell r="P271">
            <v>10879850</v>
          </cell>
          <cell r="Q271">
            <v>1</v>
          </cell>
          <cell r="R271">
            <v>45690000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1200000</v>
          </cell>
          <cell r="X271">
            <v>10879850</v>
          </cell>
          <cell r="Y271">
            <v>-586200</v>
          </cell>
          <cell r="Z271">
            <v>0</v>
          </cell>
          <cell r="AA271">
            <v>0</v>
          </cell>
          <cell r="AB271">
            <v>57183650</v>
          </cell>
          <cell r="AC271">
            <v>45690000</v>
          </cell>
          <cell r="AD271">
            <v>10293650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K271">
            <v>1200000</v>
          </cell>
          <cell r="AL271">
            <v>57183650</v>
          </cell>
          <cell r="AM271">
            <v>271</v>
          </cell>
        </row>
        <row r="272">
          <cell r="A272" t="str">
            <v>정은하</v>
          </cell>
          <cell r="B272">
            <v>9133892</v>
          </cell>
          <cell r="C272" t="str">
            <v>1030103</v>
          </cell>
          <cell r="D272" t="str">
            <v>동부사업단</v>
          </cell>
          <cell r="E272" t="str">
            <v>동부사업단</v>
          </cell>
          <cell r="F272" t="str">
            <v>업무지원</v>
          </cell>
          <cell r="G272" t="str">
            <v>사원</v>
          </cell>
          <cell r="H272" t="str">
            <v>42</v>
          </cell>
          <cell r="I272" t="str">
            <v>13</v>
          </cell>
          <cell r="J272">
            <v>4213</v>
          </cell>
          <cell r="K272" t="str">
            <v>사무직</v>
          </cell>
          <cell r="L272" t="str">
            <v>G3</v>
          </cell>
          <cell r="M272" t="str">
            <v>A</v>
          </cell>
          <cell r="N272">
            <v>25044120</v>
          </cell>
          <cell r="O272">
            <v>1200000</v>
          </cell>
          <cell r="P272">
            <v>4040000</v>
          </cell>
          <cell r="Q272">
            <v>1.5</v>
          </cell>
          <cell r="R272">
            <v>25044120</v>
          </cell>
          <cell r="S272">
            <v>5000000</v>
          </cell>
          <cell r="T272">
            <v>0</v>
          </cell>
          <cell r="U272">
            <v>0</v>
          </cell>
          <cell r="V272">
            <v>0</v>
          </cell>
          <cell r="W272">
            <v>1200000</v>
          </cell>
          <cell r="X272">
            <v>6060000</v>
          </cell>
          <cell r="Y272">
            <v>0</v>
          </cell>
          <cell r="Z272">
            <v>0</v>
          </cell>
          <cell r="AA272">
            <v>0</v>
          </cell>
          <cell r="AB272">
            <v>37304120</v>
          </cell>
          <cell r="AC272">
            <v>25044120</v>
          </cell>
          <cell r="AD272">
            <v>6060000</v>
          </cell>
          <cell r="AE272">
            <v>5000000</v>
          </cell>
          <cell r="AF272">
            <v>0</v>
          </cell>
          <cell r="AG272">
            <v>0</v>
          </cell>
          <cell r="AH272">
            <v>0</v>
          </cell>
          <cell r="AK272">
            <v>1200000</v>
          </cell>
          <cell r="AL272">
            <v>37304120</v>
          </cell>
          <cell r="AM272">
            <v>272</v>
          </cell>
        </row>
        <row r="273">
          <cell r="A273" t="str">
            <v>석민희</v>
          </cell>
          <cell r="B273">
            <v>9134538</v>
          </cell>
          <cell r="C273" t="str">
            <v>1030103</v>
          </cell>
          <cell r="D273" t="str">
            <v>동부사업단</v>
          </cell>
          <cell r="E273" t="str">
            <v>동부사업단</v>
          </cell>
          <cell r="F273" t="str">
            <v>업무지원</v>
          </cell>
          <cell r="G273" t="str">
            <v>사원</v>
          </cell>
          <cell r="H273" t="str">
            <v>42</v>
          </cell>
          <cell r="I273" t="str">
            <v>12</v>
          </cell>
          <cell r="J273">
            <v>4212</v>
          </cell>
          <cell r="K273" t="str">
            <v>사무직</v>
          </cell>
          <cell r="L273" t="str">
            <v>G3</v>
          </cell>
          <cell r="M273" t="str">
            <v>B</v>
          </cell>
          <cell r="N273">
            <v>24739110</v>
          </cell>
          <cell r="O273">
            <v>1200000</v>
          </cell>
          <cell r="P273">
            <v>4020000</v>
          </cell>
          <cell r="Q273">
            <v>1</v>
          </cell>
          <cell r="R273">
            <v>24739110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1200000</v>
          </cell>
          <cell r="X273">
            <v>4020000</v>
          </cell>
          <cell r="Y273">
            <v>0</v>
          </cell>
          <cell r="Z273">
            <v>0</v>
          </cell>
          <cell r="AA273">
            <v>0</v>
          </cell>
          <cell r="AB273">
            <v>29959110</v>
          </cell>
          <cell r="AC273">
            <v>24739110</v>
          </cell>
          <cell r="AD273">
            <v>4020000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K273">
            <v>1200000</v>
          </cell>
          <cell r="AL273">
            <v>29959110</v>
          </cell>
          <cell r="AM273">
            <v>273</v>
          </cell>
        </row>
        <row r="274">
          <cell r="A274" t="str">
            <v>한말순</v>
          </cell>
          <cell r="B274">
            <v>9134740</v>
          </cell>
          <cell r="C274" t="str">
            <v>1030103</v>
          </cell>
          <cell r="D274" t="str">
            <v>동부사업단</v>
          </cell>
          <cell r="E274" t="str">
            <v>동부사업단</v>
          </cell>
          <cell r="F274" t="str">
            <v>업무지원</v>
          </cell>
          <cell r="G274" t="str">
            <v>사원</v>
          </cell>
          <cell r="H274" t="str">
            <v>42</v>
          </cell>
          <cell r="I274" t="str">
            <v>11</v>
          </cell>
          <cell r="J274">
            <v>4211</v>
          </cell>
          <cell r="K274" t="str">
            <v>사무직</v>
          </cell>
          <cell r="L274" t="str">
            <v>G3</v>
          </cell>
          <cell r="M274" t="str">
            <v>B</v>
          </cell>
          <cell r="N274">
            <v>24554770</v>
          </cell>
          <cell r="O274">
            <v>1200000</v>
          </cell>
          <cell r="P274">
            <v>4000000</v>
          </cell>
          <cell r="Q274">
            <v>1</v>
          </cell>
          <cell r="R274">
            <v>24554770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1200000</v>
          </cell>
          <cell r="X274">
            <v>4000000</v>
          </cell>
          <cell r="Y274">
            <v>0</v>
          </cell>
          <cell r="Z274">
            <v>0</v>
          </cell>
          <cell r="AA274">
            <v>0</v>
          </cell>
          <cell r="AB274">
            <v>29754770</v>
          </cell>
          <cell r="AC274">
            <v>24554770</v>
          </cell>
          <cell r="AD274">
            <v>4000000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K274">
            <v>1200000</v>
          </cell>
          <cell r="AL274">
            <v>29754770</v>
          </cell>
          <cell r="AM274">
            <v>274</v>
          </cell>
        </row>
        <row r="275">
          <cell r="A275" t="str">
            <v>송수경</v>
          </cell>
          <cell r="B275">
            <v>9134732</v>
          </cell>
          <cell r="C275" t="str">
            <v>1030103</v>
          </cell>
          <cell r="D275" t="str">
            <v>동부사업단</v>
          </cell>
          <cell r="E275" t="str">
            <v>동부사업단</v>
          </cell>
          <cell r="F275" t="str">
            <v>지급지원</v>
          </cell>
          <cell r="G275" t="str">
            <v>사원</v>
          </cell>
          <cell r="H275" t="str">
            <v>42</v>
          </cell>
          <cell r="I275" t="str">
            <v>11</v>
          </cell>
          <cell r="J275">
            <v>4211</v>
          </cell>
          <cell r="K275" t="str">
            <v>사무직</v>
          </cell>
          <cell r="L275" t="str">
            <v>G3</v>
          </cell>
          <cell r="M275" t="str">
            <v>B</v>
          </cell>
          <cell r="N275">
            <v>24554770</v>
          </cell>
          <cell r="O275">
            <v>1440000</v>
          </cell>
          <cell r="P275">
            <v>4000000</v>
          </cell>
          <cell r="Q275">
            <v>1</v>
          </cell>
          <cell r="R275">
            <v>24554770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1440000</v>
          </cell>
          <cell r="X275">
            <v>4000000</v>
          </cell>
          <cell r="Y275">
            <v>0</v>
          </cell>
          <cell r="Z275">
            <v>0</v>
          </cell>
          <cell r="AA275">
            <v>0</v>
          </cell>
          <cell r="AB275">
            <v>29994770</v>
          </cell>
          <cell r="AC275">
            <v>24554770</v>
          </cell>
          <cell r="AD275">
            <v>4000000</v>
          </cell>
          <cell r="AE275">
            <v>0</v>
          </cell>
          <cell r="AF275">
            <v>240000</v>
          </cell>
          <cell r="AG275">
            <v>0</v>
          </cell>
          <cell r="AH275">
            <v>0</v>
          </cell>
          <cell r="AI275">
            <v>240000</v>
          </cell>
          <cell r="AJ275">
            <v>0</v>
          </cell>
          <cell r="AK275">
            <v>1200000</v>
          </cell>
          <cell r="AL275">
            <v>29994770</v>
          </cell>
          <cell r="AM275">
            <v>275</v>
          </cell>
        </row>
        <row r="276">
          <cell r="A276" t="str">
            <v>설수교</v>
          </cell>
          <cell r="B276">
            <v>9134902</v>
          </cell>
          <cell r="C276" t="str">
            <v>1030103</v>
          </cell>
          <cell r="D276" t="str">
            <v>동부사업단</v>
          </cell>
          <cell r="E276" t="str">
            <v>동부사업단</v>
          </cell>
          <cell r="F276" t="str">
            <v>업무지원</v>
          </cell>
          <cell r="G276" t="str">
            <v>사원</v>
          </cell>
          <cell r="H276" t="str">
            <v>42</v>
          </cell>
          <cell r="I276" t="str">
            <v>10</v>
          </cell>
          <cell r="J276">
            <v>4210</v>
          </cell>
          <cell r="K276" t="str">
            <v>사무직</v>
          </cell>
          <cell r="L276" t="str">
            <v>G3</v>
          </cell>
          <cell r="M276" t="str">
            <v>B</v>
          </cell>
          <cell r="N276">
            <v>24139520</v>
          </cell>
          <cell r="O276">
            <v>1200000</v>
          </cell>
          <cell r="P276">
            <v>3960000</v>
          </cell>
          <cell r="Q276">
            <v>1</v>
          </cell>
          <cell r="R276">
            <v>24139520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1200000</v>
          </cell>
          <cell r="X276">
            <v>3960000</v>
          </cell>
          <cell r="Y276">
            <v>0</v>
          </cell>
          <cell r="Z276">
            <v>0</v>
          </cell>
          <cell r="AA276">
            <v>0</v>
          </cell>
          <cell r="AB276">
            <v>29299520</v>
          </cell>
          <cell r="AC276">
            <v>24139520</v>
          </cell>
          <cell r="AD276">
            <v>3960000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K276">
            <v>1200000</v>
          </cell>
          <cell r="AL276">
            <v>29299520</v>
          </cell>
          <cell r="AM276">
            <v>276</v>
          </cell>
        </row>
        <row r="277">
          <cell r="A277" t="str">
            <v>박순남</v>
          </cell>
          <cell r="B277">
            <v>9131660</v>
          </cell>
          <cell r="C277" t="str">
            <v>1030103</v>
          </cell>
          <cell r="D277" t="str">
            <v>동부사업단</v>
          </cell>
          <cell r="E277" t="str">
            <v>동부사업단</v>
          </cell>
          <cell r="F277" t="str">
            <v>업무지원</v>
          </cell>
          <cell r="G277" t="str">
            <v>주임</v>
          </cell>
          <cell r="H277" t="str">
            <v>41</v>
          </cell>
          <cell r="I277" t="str">
            <v>14</v>
          </cell>
          <cell r="J277">
            <v>4114</v>
          </cell>
          <cell r="K277" t="str">
            <v>사무직</v>
          </cell>
          <cell r="L277" t="str">
            <v>G3</v>
          </cell>
          <cell r="M277" t="str">
            <v>B</v>
          </cell>
          <cell r="N277">
            <v>32373730</v>
          </cell>
          <cell r="O277">
            <v>1200000</v>
          </cell>
          <cell r="P277">
            <v>5186000</v>
          </cell>
          <cell r="Q277">
            <v>1</v>
          </cell>
          <cell r="R277">
            <v>32373730</v>
          </cell>
          <cell r="S277">
            <v>5000000</v>
          </cell>
          <cell r="T277">
            <v>0</v>
          </cell>
          <cell r="U277">
            <v>0</v>
          </cell>
          <cell r="V277">
            <v>0</v>
          </cell>
          <cell r="W277">
            <v>1200000</v>
          </cell>
          <cell r="X277">
            <v>5186000</v>
          </cell>
          <cell r="Y277">
            <v>0</v>
          </cell>
          <cell r="Z277">
            <v>0</v>
          </cell>
          <cell r="AA277">
            <v>0</v>
          </cell>
          <cell r="AB277">
            <v>43759730</v>
          </cell>
          <cell r="AC277">
            <v>32373730</v>
          </cell>
          <cell r="AD277">
            <v>5186000</v>
          </cell>
          <cell r="AE277">
            <v>5000000</v>
          </cell>
          <cell r="AF277">
            <v>0</v>
          </cell>
          <cell r="AG277">
            <v>0</v>
          </cell>
          <cell r="AH277">
            <v>0</v>
          </cell>
          <cell r="AK277">
            <v>1200000</v>
          </cell>
          <cell r="AL277">
            <v>43759730</v>
          </cell>
          <cell r="AM277">
            <v>277</v>
          </cell>
        </row>
        <row r="278">
          <cell r="A278" t="str">
            <v>김종순</v>
          </cell>
          <cell r="B278">
            <v>9133060</v>
          </cell>
          <cell r="C278" t="str">
            <v>1030103</v>
          </cell>
          <cell r="D278" t="str">
            <v>동부사업단</v>
          </cell>
          <cell r="E278" t="str">
            <v>동부사업단</v>
          </cell>
          <cell r="F278" t="str">
            <v>업무지원</v>
          </cell>
          <cell r="G278" t="str">
            <v>주임</v>
          </cell>
          <cell r="H278" t="str">
            <v>41</v>
          </cell>
          <cell r="I278" t="str">
            <v>12</v>
          </cell>
          <cell r="J278">
            <v>4112</v>
          </cell>
          <cell r="K278" t="str">
            <v>사무직</v>
          </cell>
          <cell r="L278" t="str">
            <v>G3</v>
          </cell>
          <cell r="M278" t="str">
            <v>A</v>
          </cell>
          <cell r="N278">
            <v>31660380</v>
          </cell>
          <cell r="O278">
            <v>1200000</v>
          </cell>
          <cell r="P278">
            <v>5146000</v>
          </cell>
          <cell r="Q278">
            <v>1.5</v>
          </cell>
          <cell r="R278">
            <v>31660380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1200000</v>
          </cell>
          <cell r="X278">
            <v>7719000</v>
          </cell>
          <cell r="Y278">
            <v>0</v>
          </cell>
          <cell r="Z278">
            <v>0</v>
          </cell>
          <cell r="AA278">
            <v>0</v>
          </cell>
          <cell r="AB278">
            <v>40579380</v>
          </cell>
          <cell r="AC278">
            <v>31660380</v>
          </cell>
          <cell r="AD278">
            <v>7719000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K278">
            <v>1200000</v>
          </cell>
          <cell r="AL278">
            <v>40579380</v>
          </cell>
          <cell r="AM278">
            <v>278</v>
          </cell>
        </row>
        <row r="279">
          <cell r="A279" t="str">
            <v>명신숙</v>
          </cell>
          <cell r="B279">
            <v>9133078</v>
          </cell>
          <cell r="C279" t="str">
            <v>1030103</v>
          </cell>
          <cell r="D279" t="str">
            <v>동부사업단</v>
          </cell>
          <cell r="E279" t="str">
            <v>동부사업단</v>
          </cell>
          <cell r="F279" t="str">
            <v>업무지원</v>
          </cell>
          <cell r="G279" t="str">
            <v>주임</v>
          </cell>
          <cell r="H279" t="str">
            <v>41</v>
          </cell>
          <cell r="I279" t="str">
            <v>11</v>
          </cell>
          <cell r="J279">
            <v>4111</v>
          </cell>
          <cell r="K279" t="str">
            <v>사무직</v>
          </cell>
          <cell r="L279" t="str">
            <v>G3</v>
          </cell>
          <cell r="M279" t="str">
            <v>A</v>
          </cell>
          <cell r="N279">
            <v>31546870</v>
          </cell>
          <cell r="O279">
            <v>1200000</v>
          </cell>
          <cell r="P279">
            <v>5126000</v>
          </cell>
          <cell r="Q279">
            <v>1.5</v>
          </cell>
          <cell r="R279">
            <v>31546870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1200000</v>
          </cell>
          <cell r="X279">
            <v>7689000</v>
          </cell>
          <cell r="Y279">
            <v>0</v>
          </cell>
          <cell r="Z279">
            <v>0</v>
          </cell>
          <cell r="AA279">
            <v>0</v>
          </cell>
          <cell r="AB279">
            <v>40435870</v>
          </cell>
          <cell r="AC279">
            <v>31546870</v>
          </cell>
          <cell r="AD279">
            <v>7689000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K279">
            <v>1200000</v>
          </cell>
          <cell r="AL279">
            <v>40435870</v>
          </cell>
          <cell r="AM279">
            <v>279</v>
          </cell>
        </row>
        <row r="280">
          <cell r="A280" t="str">
            <v>이금주</v>
          </cell>
          <cell r="B280">
            <v>9134317</v>
          </cell>
          <cell r="C280" t="str">
            <v>1030103</v>
          </cell>
          <cell r="D280" t="str">
            <v>동부사업단</v>
          </cell>
          <cell r="E280" t="str">
            <v>동부사업단</v>
          </cell>
          <cell r="F280" t="str">
            <v>지급지원</v>
          </cell>
          <cell r="G280" t="str">
            <v>주임</v>
          </cell>
          <cell r="H280" t="str">
            <v>41</v>
          </cell>
          <cell r="I280" t="str">
            <v>10</v>
          </cell>
          <cell r="J280">
            <v>4110</v>
          </cell>
          <cell r="K280" t="str">
            <v>사무직</v>
          </cell>
          <cell r="L280" t="str">
            <v>G3</v>
          </cell>
          <cell r="M280" t="str">
            <v>B</v>
          </cell>
          <cell r="N280">
            <v>30930010</v>
          </cell>
          <cell r="O280">
            <v>1440000</v>
          </cell>
          <cell r="P280">
            <v>5086000</v>
          </cell>
          <cell r="Q280">
            <v>1</v>
          </cell>
          <cell r="R280">
            <v>30930010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1440000</v>
          </cell>
          <cell r="X280">
            <v>5086000</v>
          </cell>
          <cell r="Y280">
            <v>0</v>
          </cell>
          <cell r="Z280">
            <v>0</v>
          </cell>
          <cell r="AA280">
            <v>0</v>
          </cell>
          <cell r="AB280">
            <v>37456010</v>
          </cell>
          <cell r="AC280">
            <v>30930010</v>
          </cell>
          <cell r="AD280">
            <v>5086000</v>
          </cell>
          <cell r="AE280">
            <v>0</v>
          </cell>
          <cell r="AF280">
            <v>240000</v>
          </cell>
          <cell r="AG280">
            <v>0</v>
          </cell>
          <cell r="AH280">
            <v>0</v>
          </cell>
          <cell r="AI280">
            <v>240000</v>
          </cell>
          <cell r="AJ280">
            <v>0</v>
          </cell>
          <cell r="AK280">
            <v>1200000</v>
          </cell>
          <cell r="AL280">
            <v>37456010</v>
          </cell>
          <cell r="AM280">
            <v>280</v>
          </cell>
        </row>
        <row r="281">
          <cell r="A281" t="str">
            <v>윤미선</v>
          </cell>
          <cell r="B281">
            <v>9133370</v>
          </cell>
          <cell r="C281" t="str">
            <v>1030103</v>
          </cell>
          <cell r="D281" t="str">
            <v>동부사업단</v>
          </cell>
          <cell r="E281" t="str">
            <v>동부사업단</v>
          </cell>
          <cell r="F281" t="str">
            <v>업무지원</v>
          </cell>
          <cell r="G281" t="str">
            <v>사원</v>
          </cell>
          <cell r="H281" t="str">
            <v>41</v>
          </cell>
          <cell r="I281" t="str">
            <v>09</v>
          </cell>
          <cell r="J281">
            <v>4109</v>
          </cell>
          <cell r="K281" t="str">
            <v>사무직</v>
          </cell>
          <cell r="L281" t="str">
            <v>G3</v>
          </cell>
          <cell r="M281" t="str">
            <v>C</v>
          </cell>
          <cell r="N281">
            <v>30777090</v>
          </cell>
          <cell r="O281">
            <v>1200000</v>
          </cell>
          <cell r="P281">
            <v>5006000</v>
          </cell>
          <cell r="Q281">
            <v>0.5</v>
          </cell>
          <cell r="R281">
            <v>30777090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1200000</v>
          </cell>
          <cell r="X281">
            <v>2503000</v>
          </cell>
          <cell r="Y281">
            <v>0</v>
          </cell>
          <cell r="Z281">
            <v>0</v>
          </cell>
          <cell r="AA281">
            <v>0</v>
          </cell>
          <cell r="AB281">
            <v>34480090</v>
          </cell>
          <cell r="AC281">
            <v>30777090</v>
          </cell>
          <cell r="AD281">
            <v>2503000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K281">
            <v>1200000</v>
          </cell>
          <cell r="AL281">
            <v>34480090</v>
          </cell>
          <cell r="AM281">
            <v>281</v>
          </cell>
        </row>
        <row r="282">
          <cell r="A282" t="str">
            <v>한현숙</v>
          </cell>
          <cell r="B282">
            <v>9134333</v>
          </cell>
          <cell r="C282" t="str">
            <v>1030103</v>
          </cell>
          <cell r="D282" t="str">
            <v>동부사업단</v>
          </cell>
          <cell r="E282" t="str">
            <v>동부사업단</v>
          </cell>
          <cell r="F282" t="str">
            <v>업무지원</v>
          </cell>
          <cell r="G282" t="str">
            <v>주임</v>
          </cell>
          <cell r="H282" t="str">
            <v>41</v>
          </cell>
          <cell r="I282" t="str">
            <v>09</v>
          </cell>
          <cell r="J282">
            <v>4109</v>
          </cell>
          <cell r="K282" t="str">
            <v>사무직</v>
          </cell>
          <cell r="L282" t="str">
            <v>G3</v>
          </cell>
          <cell r="M282" t="str">
            <v>D</v>
          </cell>
          <cell r="N282">
            <v>30479840</v>
          </cell>
          <cell r="O282">
            <v>1200000</v>
          </cell>
          <cell r="P282">
            <v>5006000</v>
          </cell>
          <cell r="Q282">
            <v>0</v>
          </cell>
          <cell r="R282">
            <v>30479840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1200000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31679840</v>
          </cell>
          <cell r="AC282">
            <v>30479840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K282">
            <v>1200000</v>
          </cell>
          <cell r="AL282">
            <v>31679840</v>
          </cell>
          <cell r="AM282">
            <v>282</v>
          </cell>
        </row>
        <row r="283">
          <cell r="A283" t="str">
            <v>박은혜</v>
          </cell>
          <cell r="B283">
            <v>9134520</v>
          </cell>
          <cell r="C283" t="str">
            <v>1030103</v>
          </cell>
          <cell r="D283" t="str">
            <v>동부사업단</v>
          </cell>
          <cell r="E283" t="str">
            <v>동부사업단</v>
          </cell>
          <cell r="F283" t="str">
            <v>업무지원</v>
          </cell>
          <cell r="G283" t="str">
            <v>사원</v>
          </cell>
          <cell r="H283" t="str">
            <v>41</v>
          </cell>
          <cell r="I283" t="str">
            <v>08</v>
          </cell>
          <cell r="J283">
            <v>4108</v>
          </cell>
          <cell r="K283" t="str">
            <v>사무직</v>
          </cell>
          <cell r="L283" t="str">
            <v>G3</v>
          </cell>
          <cell r="M283" t="str">
            <v>B</v>
          </cell>
          <cell r="N283">
            <v>29942370</v>
          </cell>
          <cell r="O283">
            <v>1200000</v>
          </cell>
          <cell r="P283">
            <v>4926000</v>
          </cell>
          <cell r="Q283">
            <v>1</v>
          </cell>
          <cell r="R283">
            <v>29942370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1200000</v>
          </cell>
          <cell r="X283">
            <v>4926000</v>
          </cell>
          <cell r="Y283">
            <v>0</v>
          </cell>
          <cell r="Z283">
            <v>0</v>
          </cell>
          <cell r="AA283">
            <v>0</v>
          </cell>
          <cell r="AB283">
            <v>36068370</v>
          </cell>
          <cell r="AC283">
            <v>29942370</v>
          </cell>
          <cell r="AD283">
            <v>4926000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K283">
            <v>1200000</v>
          </cell>
          <cell r="AL283">
            <v>36068370</v>
          </cell>
          <cell r="AM283">
            <v>283</v>
          </cell>
        </row>
        <row r="284">
          <cell r="A284" t="str">
            <v>김경아</v>
          </cell>
          <cell r="B284">
            <v>9131342</v>
          </cell>
          <cell r="C284" t="str">
            <v>1030103</v>
          </cell>
          <cell r="D284" t="str">
            <v>동부사업단</v>
          </cell>
          <cell r="E284" t="str">
            <v>동부사업단</v>
          </cell>
          <cell r="F284" t="str">
            <v>업무지원</v>
          </cell>
          <cell r="G284" t="str">
            <v>대리</v>
          </cell>
          <cell r="H284" t="str">
            <v>31</v>
          </cell>
          <cell r="I284" t="str">
            <v>02</v>
          </cell>
          <cell r="J284">
            <v>3102</v>
          </cell>
          <cell r="K284" t="str">
            <v>사무직</v>
          </cell>
          <cell r="L284" t="str">
            <v>G3</v>
          </cell>
          <cell r="M284" t="str">
            <v>B</v>
          </cell>
          <cell r="N284">
            <v>37671180</v>
          </cell>
          <cell r="O284">
            <v>1200000</v>
          </cell>
          <cell r="P284">
            <v>6134000</v>
          </cell>
          <cell r="Q284">
            <v>1</v>
          </cell>
          <cell r="R284">
            <v>37671180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1200000</v>
          </cell>
          <cell r="X284">
            <v>6134000</v>
          </cell>
          <cell r="Y284">
            <v>0</v>
          </cell>
          <cell r="Z284">
            <v>0</v>
          </cell>
          <cell r="AA284">
            <v>0</v>
          </cell>
          <cell r="AB284">
            <v>45005180</v>
          </cell>
          <cell r="AC284">
            <v>37671180</v>
          </cell>
          <cell r="AD284">
            <v>6134000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K284">
            <v>1200000</v>
          </cell>
          <cell r="AL284">
            <v>45005180</v>
          </cell>
          <cell r="AM284">
            <v>284</v>
          </cell>
        </row>
        <row r="285">
          <cell r="A285" t="str">
            <v>이혜숙</v>
          </cell>
          <cell r="B285">
            <v>9131350</v>
          </cell>
          <cell r="C285" t="str">
            <v>1030103</v>
          </cell>
          <cell r="D285" t="str">
            <v>동부사업단</v>
          </cell>
          <cell r="E285" t="str">
            <v>동부사업단</v>
          </cell>
          <cell r="F285" t="str">
            <v>교육지원</v>
          </cell>
          <cell r="G285" t="str">
            <v>주임</v>
          </cell>
          <cell r="H285" t="str">
            <v>31</v>
          </cell>
          <cell r="I285" t="str">
            <v>01</v>
          </cell>
          <cell r="J285">
            <v>3101</v>
          </cell>
          <cell r="K285" t="str">
            <v>사무직</v>
          </cell>
          <cell r="L285" t="str">
            <v>G3</v>
          </cell>
          <cell r="M285" t="str">
            <v>B</v>
          </cell>
          <cell r="N285">
            <v>37394010</v>
          </cell>
          <cell r="O285">
            <v>1200000</v>
          </cell>
          <cell r="P285">
            <v>6086000</v>
          </cell>
          <cell r="Q285">
            <v>1</v>
          </cell>
          <cell r="R285">
            <v>37394010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1200000</v>
          </cell>
          <cell r="X285">
            <v>6086000</v>
          </cell>
          <cell r="Y285">
            <v>0</v>
          </cell>
          <cell r="Z285">
            <v>0</v>
          </cell>
          <cell r="AA285">
            <v>0</v>
          </cell>
          <cell r="AB285">
            <v>44680010</v>
          </cell>
          <cell r="AC285">
            <v>37394010</v>
          </cell>
          <cell r="AD285">
            <v>6086000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K285">
            <v>1200000</v>
          </cell>
          <cell r="AL285">
            <v>44680010</v>
          </cell>
          <cell r="AM285">
            <v>285</v>
          </cell>
        </row>
        <row r="286">
          <cell r="A286" t="str">
            <v>조미경</v>
          </cell>
          <cell r="B286">
            <v>9131687</v>
          </cell>
          <cell r="C286" t="str">
            <v>1030103</v>
          </cell>
          <cell r="D286" t="str">
            <v>동부사업단</v>
          </cell>
          <cell r="E286" t="str">
            <v>동부사업단</v>
          </cell>
          <cell r="F286" t="str">
            <v>업무지원</v>
          </cell>
          <cell r="G286" t="str">
            <v>주임</v>
          </cell>
          <cell r="H286" t="str">
            <v>31</v>
          </cell>
          <cell r="I286" t="str">
            <v>01</v>
          </cell>
          <cell r="J286">
            <v>3101</v>
          </cell>
          <cell r="K286" t="str">
            <v>사무직</v>
          </cell>
          <cell r="L286" t="str">
            <v>G3</v>
          </cell>
          <cell r="M286" t="str">
            <v>B</v>
          </cell>
          <cell r="N286">
            <v>37181350</v>
          </cell>
          <cell r="O286">
            <v>1200000</v>
          </cell>
          <cell r="P286">
            <v>6086000</v>
          </cell>
          <cell r="Q286">
            <v>1</v>
          </cell>
          <cell r="R286">
            <v>37181350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1200000</v>
          </cell>
          <cell r="X286">
            <v>6086000</v>
          </cell>
          <cell r="Y286">
            <v>0</v>
          </cell>
          <cell r="Z286">
            <v>0</v>
          </cell>
          <cell r="AA286">
            <v>0</v>
          </cell>
          <cell r="AB286">
            <v>44467350</v>
          </cell>
          <cell r="AC286">
            <v>37181350</v>
          </cell>
          <cell r="AD286">
            <v>6086000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K286">
            <v>1200000</v>
          </cell>
          <cell r="AL286">
            <v>44467350</v>
          </cell>
          <cell r="AM286">
            <v>286</v>
          </cell>
        </row>
        <row r="287">
          <cell r="A287" t="str">
            <v>정인성</v>
          </cell>
          <cell r="B287">
            <v>9134058</v>
          </cell>
          <cell r="C287" t="str">
            <v>1030103</v>
          </cell>
          <cell r="D287" t="str">
            <v>동부사업단</v>
          </cell>
          <cell r="E287" t="str">
            <v>동부사업단</v>
          </cell>
          <cell r="F287" t="str">
            <v>융자지원</v>
          </cell>
          <cell r="G287" t="str">
            <v>대리</v>
          </cell>
          <cell r="H287" t="str">
            <v>22</v>
          </cell>
          <cell r="I287" t="str">
            <v>03</v>
          </cell>
          <cell r="J287">
            <v>2203</v>
          </cell>
          <cell r="K287" t="str">
            <v>일반직</v>
          </cell>
          <cell r="L287" t="str">
            <v>G2</v>
          </cell>
          <cell r="M287" t="str">
            <v>B</v>
          </cell>
          <cell r="N287">
            <v>39333000</v>
          </cell>
          <cell r="O287">
            <v>1200000</v>
          </cell>
          <cell r="P287">
            <v>8934300</v>
          </cell>
          <cell r="Q287">
            <v>1</v>
          </cell>
          <cell r="R287">
            <v>39333000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1200000</v>
          </cell>
          <cell r="X287">
            <v>8934300</v>
          </cell>
          <cell r="Y287">
            <v>0</v>
          </cell>
          <cell r="Z287">
            <v>0</v>
          </cell>
          <cell r="AA287">
            <v>0</v>
          </cell>
          <cell r="AB287">
            <v>49467300</v>
          </cell>
          <cell r="AC287">
            <v>39333000</v>
          </cell>
          <cell r="AD287">
            <v>8934300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K287">
            <v>1200000</v>
          </cell>
          <cell r="AL287">
            <v>49467300</v>
          </cell>
          <cell r="AM287">
            <v>287</v>
          </cell>
        </row>
        <row r="288">
          <cell r="A288" t="str">
            <v>차준호</v>
          </cell>
          <cell r="B288">
            <v>9134619</v>
          </cell>
          <cell r="C288" t="str">
            <v>1030103</v>
          </cell>
          <cell r="D288" t="str">
            <v>동부사업단</v>
          </cell>
          <cell r="E288" t="str">
            <v>동부사업단</v>
          </cell>
          <cell r="F288" t="str">
            <v>보험금심사지원</v>
          </cell>
          <cell r="G288" t="str">
            <v>대리</v>
          </cell>
          <cell r="H288" t="str">
            <v>22</v>
          </cell>
          <cell r="I288" t="str">
            <v>03</v>
          </cell>
          <cell r="J288">
            <v>2203</v>
          </cell>
          <cell r="K288" t="str">
            <v>일반직</v>
          </cell>
          <cell r="L288" t="str">
            <v>G2</v>
          </cell>
          <cell r="M288" t="str">
            <v>B</v>
          </cell>
          <cell r="N288">
            <v>39213000</v>
          </cell>
          <cell r="O288">
            <v>1200000</v>
          </cell>
          <cell r="P288">
            <v>8811480</v>
          </cell>
          <cell r="Q288">
            <v>1</v>
          </cell>
          <cell r="R288">
            <v>39213000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1200000</v>
          </cell>
          <cell r="X288">
            <v>8811480</v>
          </cell>
          <cell r="Y288">
            <v>0</v>
          </cell>
          <cell r="Z288">
            <v>0</v>
          </cell>
          <cell r="AA288">
            <v>0</v>
          </cell>
          <cell r="AB288">
            <v>49224480</v>
          </cell>
          <cell r="AC288">
            <v>39213000</v>
          </cell>
          <cell r="AD288">
            <v>8811480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K288">
            <v>1200000</v>
          </cell>
          <cell r="AL288">
            <v>49224480</v>
          </cell>
          <cell r="AM288">
            <v>288</v>
          </cell>
        </row>
        <row r="289">
          <cell r="A289" t="str">
            <v>이상민</v>
          </cell>
          <cell r="B289">
            <v>9133701</v>
          </cell>
          <cell r="C289" t="str">
            <v>1030103</v>
          </cell>
          <cell r="D289" t="str">
            <v>동부사업단</v>
          </cell>
          <cell r="E289" t="str">
            <v>동부사업단</v>
          </cell>
          <cell r="F289" t="str">
            <v>마케팅지원</v>
          </cell>
          <cell r="G289" t="str">
            <v>대리</v>
          </cell>
          <cell r="H289" t="str">
            <v>22</v>
          </cell>
          <cell r="I289" t="str">
            <v>03</v>
          </cell>
          <cell r="J289">
            <v>2203</v>
          </cell>
          <cell r="K289" t="str">
            <v>일반직</v>
          </cell>
          <cell r="L289" t="str">
            <v>G2</v>
          </cell>
          <cell r="M289" t="str">
            <v>C</v>
          </cell>
          <cell r="N289">
            <v>39333000</v>
          </cell>
          <cell r="O289">
            <v>1200000</v>
          </cell>
          <cell r="P289">
            <v>9057120</v>
          </cell>
          <cell r="Q289">
            <v>0.5</v>
          </cell>
          <cell r="R289">
            <v>39333000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1200000</v>
          </cell>
          <cell r="X289">
            <v>4528560</v>
          </cell>
          <cell r="Y289">
            <v>0</v>
          </cell>
          <cell r="Z289">
            <v>0</v>
          </cell>
          <cell r="AA289">
            <v>0</v>
          </cell>
          <cell r="AB289">
            <v>45061560</v>
          </cell>
          <cell r="AC289">
            <v>39333000</v>
          </cell>
          <cell r="AD289">
            <v>4528560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K289">
            <v>1200000</v>
          </cell>
          <cell r="AL289">
            <v>45061560</v>
          </cell>
          <cell r="AM289">
            <v>289</v>
          </cell>
        </row>
        <row r="290">
          <cell r="A290" t="str">
            <v>김재현</v>
          </cell>
          <cell r="B290">
            <v>9134910</v>
          </cell>
          <cell r="C290" t="str">
            <v>1030103</v>
          </cell>
          <cell r="D290" t="str">
            <v>동부사업단</v>
          </cell>
          <cell r="E290" t="str">
            <v>동부사업단</v>
          </cell>
          <cell r="F290" t="str">
            <v>마케팅지원</v>
          </cell>
          <cell r="G290" t="str">
            <v>대리</v>
          </cell>
          <cell r="H290" t="str">
            <v>22</v>
          </cell>
          <cell r="I290" t="str">
            <v>01</v>
          </cell>
          <cell r="J290">
            <v>2201</v>
          </cell>
          <cell r="K290" t="str">
            <v>일반직</v>
          </cell>
          <cell r="L290" t="str">
            <v>G2</v>
          </cell>
          <cell r="M290" t="str">
            <v>A</v>
          </cell>
          <cell r="N290">
            <v>38547000</v>
          </cell>
          <cell r="O290">
            <v>1200000</v>
          </cell>
          <cell r="P290">
            <v>8441380</v>
          </cell>
          <cell r="Q290">
            <v>1.5</v>
          </cell>
          <cell r="R290">
            <v>38547000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1200000</v>
          </cell>
          <cell r="X290">
            <v>12662070</v>
          </cell>
          <cell r="Y290">
            <v>0</v>
          </cell>
          <cell r="Z290">
            <v>440490</v>
          </cell>
          <cell r="AA290">
            <v>0</v>
          </cell>
          <cell r="AB290">
            <v>52849560</v>
          </cell>
          <cell r="AC290">
            <v>38547000</v>
          </cell>
          <cell r="AD290">
            <v>13102560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K290">
            <v>1200000</v>
          </cell>
          <cell r="AL290">
            <v>52849560</v>
          </cell>
          <cell r="AM290">
            <v>290</v>
          </cell>
        </row>
        <row r="291">
          <cell r="A291" t="str">
            <v>김민효</v>
          </cell>
          <cell r="B291">
            <v>9133914</v>
          </cell>
          <cell r="C291" t="str">
            <v>1030103</v>
          </cell>
          <cell r="D291" t="str">
            <v>동부사업단</v>
          </cell>
          <cell r="E291" t="str">
            <v>동부사업단</v>
          </cell>
          <cell r="F291" t="str">
            <v>융자지원</v>
          </cell>
          <cell r="G291" t="str">
            <v>과장</v>
          </cell>
          <cell r="H291" t="str">
            <v>21</v>
          </cell>
          <cell r="I291" t="str">
            <v>01</v>
          </cell>
          <cell r="J291">
            <v>2101</v>
          </cell>
          <cell r="K291" t="str">
            <v>일반직</v>
          </cell>
          <cell r="L291" t="str">
            <v>G1</v>
          </cell>
          <cell r="M291" t="str">
            <v>B</v>
          </cell>
          <cell r="N291">
            <v>45810000</v>
          </cell>
          <cell r="O291">
            <v>1200000</v>
          </cell>
          <cell r="P291">
            <v>11164440</v>
          </cell>
          <cell r="Q291">
            <v>1</v>
          </cell>
          <cell r="R291">
            <v>45810000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1200000</v>
          </cell>
          <cell r="X291">
            <v>11164440</v>
          </cell>
          <cell r="Y291">
            <v>-586200</v>
          </cell>
          <cell r="Z291">
            <v>0</v>
          </cell>
          <cell r="AA291">
            <v>0</v>
          </cell>
          <cell r="AB291">
            <v>57588240</v>
          </cell>
          <cell r="AC291">
            <v>45810000</v>
          </cell>
          <cell r="AD291">
            <v>10578240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K291">
            <v>1200000</v>
          </cell>
          <cell r="AL291">
            <v>57588240</v>
          </cell>
          <cell r="AM291">
            <v>291</v>
          </cell>
        </row>
        <row r="292">
          <cell r="A292" t="str">
            <v>김동현</v>
          </cell>
          <cell r="B292">
            <v>9131318</v>
          </cell>
          <cell r="C292" t="str">
            <v>1030103</v>
          </cell>
          <cell r="D292" t="str">
            <v>동부사업단</v>
          </cell>
          <cell r="E292" t="str">
            <v>동부사업단</v>
          </cell>
          <cell r="F292" t="str">
            <v>마케팅팀장</v>
          </cell>
          <cell r="G292" t="str">
            <v>팀장</v>
          </cell>
          <cell r="H292" t="str">
            <v>12</v>
          </cell>
          <cell r="I292" t="str">
            <v>01</v>
          </cell>
          <cell r="J292">
            <v>1201</v>
          </cell>
          <cell r="K292" t="str">
            <v>일반직</v>
          </cell>
          <cell r="L292" t="str">
            <v>G1</v>
          </cell>
          <cell r="M292" t="str">
            <v>A</v>
          </cell>
          <cell r="N292">
            <v>52057500</v>
          </cell>
          <cell r="O292">
            <v>1200000</v>
          </cell>
          <cell r="P292">
            <v>13991820</v>
          </cell>
          <cell r="Q292">
            <v>1.5</v>
          </cell>
          <cell r="R292">
            <v>52057500</v>
          </cell>
          <cell r="S292">
            <v>0</v>
          </cell>
          <cell r="T292">
            <v>5000000</v>
          </cell>
          <cell r="U292">
            <v>0</v>
          </cell>
          <cell r="V292">
            <v>0</v>
          </cell>
          <cell r="W292">
            <v>1200000</v>
          </cell>
          <cell r="X292">
            <v>20987730</v>
          </cell>
          <cell r="Y292">
            <v>0</v>
          </cell>
          <cell r="Z292">
            <v>0</v>
          </cell>
          <cell r="AA292">
            <v>0</v>
          </cell>
          <cell r="AB292">
            <v>79245230</v>
          </cell>
          <cell r="AC292">
            <v>52057500</v>
          </cell>
          <cell r="AD292">
            <v>20987730</v>
          </cell>
          <cell r="AE292">
            <v>0</v>
          </cell>
          <cell r="AF292">
            <v>5000000</v>
          </cell>
          <cell r="AG292">
            <v>5000000</v>
          </cell>
          <cell r="AH292">
            <v>0</v>
          </cell>
          <cell r="AK292">
            <v>1200000</v>
          </cell>
          <cell r="AL292">
            <v>79245230</v>
          </cell>
          <cell r="AM292">
            <v>292</v>
          </cell>
        </row>
        <row r="293">
          <cell r="A293" t="str">
            <v>은종한</v>
          </cell>
          <cell r="B293">
            <v>9131369</v>
          </cell>
          <cell r="C293" t="str">
            <v>1030103</v>
          </cell>
          <cell r="D293" t="str">
            <v>동부사업단</v>
          </cell>
          <cell r="E293" t="str">
            <v>동부사업단</v>
          </cell>
          <cell r="F293" t="str">
            <v>고객지원</v>
          </cell>
          <cell r="G293" t="str">
            <v>차장</v>
          </cell>
          <cell r="H293" t="str">
            <v>12</v>
          </cell>
          <cell r="I293" t="str">
            <v>01</v>
          </cell>
          <cell r="J293">
            <v>1201</v>
          </cell>
          <cell r="K293" t="str">
            <v>일반직</v>
          </cell>
          <cell r="L293" t="str">
            <v>G1</v>
          </cell>
          <cell r="M293" t="str">
            <v>B</v>
          </cell>
          <cell r="N293">
            <v>52057500</v>
          </cell>
          <cell r="O293">
            <v>1200000</v>
          </cell>
          <cell r="P293">
            <v>13831320</v>
          </cell>
          <cell r="Q293">
            <v>1</v>
          </cell>
          <cell r="R293">
            <v>52057500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1200000</v>
          </cell>
          <cell r="X293">
            <v>13831320</v>
          </cell>
          <cell r="Y293">
            <v>-586200</v>
          </cell>
          <cell r="Z293">
            <v>0</v>
          </cell>
          <cell r="AA293">
            <v>0</v>
          </cell>
          <cell r="AB293">
            <v>66502620</v>
          </cell>
          <cell r="AC293">
            <v>52057500</v>
          </cell>
          <cell r="AD293">
            <v>13245120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K293">
            <v>1200000</v>
          </cell>
          <cell r="AL293">
            <v>66502620</v>
          </cell>
          <cell r="AM293">
            <v>293</v>
          </cell>
        </row>
        <row r="294">
          <cell r="A294" t="str">
            <v>김철희</v>
          </cell>
          <cell r="B294">
            <v>9134708</v>
          </cell>
          <cell r="C294" t="str">
            <v>1030103</v>
          </cell>
          <cell r="D294" t="str">
            <v>동부사업단</v>
          </cell>
          <cell r="E294" t="str">
            <v>동부사업단</v>
          </cell>
          <cell r="F294" t="str">
            <v>업무지원팀장</v>
          </cell>
          <cell r="G294" t="str">
            <v>팀장</v>
          </cell>
          <cell r="H294" t="str">
            <v>12</v>
          </cell>
          <cell r="I294" t="str">
            <v>01</v>
          </cell>
          <cell r="J294">
            <v>1201</v>
          </cell>
          <cell r="K294" t="str">
            <v>일반직</v>
          </cell>
          <cell r="L294" t="str">
            <v>G1</v>
          </cell>
          <cell r="M294" t="str">
            <v>C</v>
          </cell>
          <cell r="N294">
            <v>51817500</v>
          </cell>
          <cell r="O294">
            <v>1200000</v>
          </cell>
          <cell r="P294">
            <v>12386900</v>
          </cell>
          <cell r="Q294">
            <v>0.5</v>
          </cell>
          <cell r="R294">
            <v>51817500</v>
          </cell>
          <cell r="S294">
            <v>0</v>
          </cell>
          <cell r="T294">
            <v>5000000</v>
          </cell>
          <cell r="U294">
            <v>0</v>
          </cell>
          <cell r="V294">
            <v>0</v>
          </cell>
          <cell r="W294">
            <v>1200000</v>
          </cell>
          <cell r="X294">
            <v>6193450</v>
          </cell>
          <cell r="Y294">
            <v>0</v>
          </cell>
          <cell r="Z294">
            <v>0</v>
          </cell>
          <cell r="AA294">
            <v>0</v>
          </cell>
          <cell r="AB294">
            <v>64210950</v>
          </cell>
          <cell r="AC294">
            <v>51817500</v>
          </cell>
          <cell r="AD294">
            <v>6193450</v>
          </cell>
          <cell r="AE294">
            <v>0</v>
          </cell>
          <cell r="AF294">
            <v>5000000</v>
          </cell>
          <cell r="AG294">
            <v>5000000</v>
          </cell>
          <cell r="AH294">
            <v>0</v>
          </cell>
          <cell r="AK294">
            <v>1200000</v>
          </cell>
          <cell r="AL294">
            <v>64210950</v>
          </cell>
          <cell r="AM294">
            <v>294</v>
          </cell>
        </row>
        <row r="295">
          <cell r="A295" t="str">
            <v>김상윤</v>
          </cell>
          <cell r="B295">
            <v>9132772</v>
          </cell>
          <cell r="C295" t="str">
            <v>1032157</v>
          </cell>
          <cell r="D295" t="str">
            <v>동부사업단</v>
          </cell>
          <cell r="E295" t="str">
            <v>동부산지점</v>
          </cell>
          <cell r="F295" t="str">
            <v>지점선임</v>
          </cell>
          <cell r="G295" t="str">
            <v>과장</v>
          </cell>
          <cell r="H295" t="str">
            <v>22</v>
          </cell>
          <cell r="I295" t="str">
            <v>05</v>
          </cell>
          <cell r="J295">
            <v>2205</v>
          </cell>
          <cell r="K295" t="str">
            <v>일반직</v>
          </cell>
          <cell r="L295" t="str">
            <v>G2</v>
          </cell>
          <cell r="M295" t="str">
            <v>C</v>
          </cell>
          <cell r="N295">
            <v>39795000</v>
          </cell>
          <cell r="O295">
            <v>1200000</v>
          </cell>
          <cell r="P295">
            <v>9416730</v>
          </cell>
          <cell r="Q295">
            <v>0.5</v>
          </cell>
          <cell r="R295">
            <v>39795000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1200000</v>
          </cell>
          <cell r="X295">
            <v>4708370</v>
          </cell>
          <cell r="Y295">
            <v>0</v>
          </cell>
          <cell r="Z295">
            <v>0</v>
          </cell>
          <cell r="AA295">
            <v>0</v>
          </cell>
          <cell r="AB295">
            <v>45703370</v>
          </cell>
          <cell r="AC295">
            <v>39795000</v>
          </cell>
          <cell r="AD295">
            <v>4708370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K295">
            <v>1200000</v>
          </cell>
          <cell r="AL295">
            <v>45703370</v>
          </cell>
          <cell r="AM295">
            <v>295</v>
          </cell>
        </row>
        <row r="296">
          <cell r="A296" t="str">
            <v>김상희</v>
          </cell>
          <cell r="B296">
            <v>9132047</v>
          </cell>
          <cell r="C296" t="str">
            <v>1033156</v>
          </cell>
          <cell r="D296" t="str">
            <v>동부사업단</v>
          </cell>
          <cell r="E296" t="str">
            <v>서부산지점</v>
          </cell>
          <cell r="F296" t="str">
            <v>지점선임</v>
          </cell>
          <cell r="G296" t="str">
            <v>대리</v>
          </cell>
          <cell r="H296" t="str">
            <v>31</v>
          </cell>
          <cell r="I296" t="str">
            <v>03</v>
          </cell>
          <cell r="J296">
            <v>3103</v>
          </cell>
          <cell r="K296" t="str">
            <v>사무직</v>
          </cell>
          <cell r="L296" t="str">
            <v>G3</v>
          </cell>
          <cell r="M296" t="str">
            <v>S</v>
          </cell>
          <cell r="N296">
            <v>37624660</v>
          </cell>
          <cell r="O296">
            <v>1200000</v>
          </cell>
          <cell r="P296">
            <v>6182000</v>
          </cell>
          <cell r="Q296">
            <v>2</v>
          </cell>
          <cell r="R296">
            <v>37624660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1200000</v>
          </cell>
          <cell r="X296">
            <v>12364000</v>
          </cell>
          <cell r="Y296">
            <v>0</v>
          </cell>
          <cell r="Z296">
            <v>0</v>
          </cell>
          <cell r="AA296">
            <v>0</v>
          </cell>
          <cell r="AB296">
            <v>51188660</v>
          </cell>
          <cell r="AC296">
            <v>37624660</v>
          </cell>
          <cell r="AD296">
            <v>12364000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K296">
            <v>1200000</v>
          </cell>
          <cell r="AL296">
            <v>51188660</v>
          </cell>
          <cell r="AM296">
            <v>296</v>
          </cell>
        </row>
        <row r="297">
          <cell r="A297" t="str">
            <v>손영민</v>
          </cell>
          <cell r="B297">
            <v>9132802</v>
          </cell>
          <cell r="C297" t="str">
            <v>1033162</v>
          </cell>
          <cell r="D297" t="str">
            <v>동부사업단</v>
          </cell>
          <cell r="E297" t="str">
            <v>울산지점</v>
          </cell>
          <cell r="F297" t="str">
            <v>지점선임</v>
          </cell>
          <cell r="G297" t="str">
            <v>대리</v>
          </cell>
          <cell r="H297" t="str">
            <v>22</v>
          </cell>
          <cell r="I297" t="str">
            <v>03</v>
          </cell>
          <cell r="J297">
            <v>2203</v>
          </cell>
          <cell r="K297" t="str">
            <v>일반직</v>
          </cell>
          <cell r="L297" t="str">
            <v>G2</v>
          </cell>
          <cell r="M297" t="str">
            <v>B</v>
          </cell>
          <cell r="N297">
            <v>39333000</v>
          </cell>
          <cell r="O297">
            <v>1200000</v>
          </cell>
          <cell r="P297">
            <v>9302760</v>
          </cell>
          <cell r="Q297">
            <v>1</v>
          </cell>
          <cell r="R297">
            <v>39333000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1200000</v>
          </cell>
          <cell r="X297">
            <v>9302760</v>
          </cell>
          <cell r="Y297">
            <v>0</v>
          </cell>
          <cell r="Z297">
            <v>0</v>
          </cell>
          <cell r="AA297">
            <v>0</v>
          </cell>
          <cell r="AB297">
            <v>49835760</v>
          </cell>
          <cell r="AC297">
            <v>39333000</v>
          </cell>
          <cell r="AD297">
            <v>9302760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K297">
            <v>1200000</v>
          </cell>
          <cell r="AL297">
            <v>49835760</v>
          </cell>
          <cell r="AM297">
            <v>297</v>
          </cell>
        </row>
        <row r="298">
          <cell r="A298" t="str">
            <v>이미영</v>
          </cell>
          <cell r="B298">
            <v>9134945</v>
          </cell>
          <cell r="C298" t="str">
            <v>1033162</v>
          </cell>
          <cell r="D298" t="str">
            <v>동부사업단</v>
          </cell>
          <cell r="E298" t="str">
            <v>울산지점</v>
          </cell>
          <cell r="F298" t="str">
            <v>부지점장</v>
          </cell>
          <cell r="G298" t="str">
            <v>과장</v>
          </cell>
          <cell r="H298" t="str">
            <v>21</v>
          </cell>
          <cell r="I298" t="str">
            <v>01</v>
          </cell>
          <cell r="J298">
            <v>2101</v>
          </cell>
          <cell r="K298" t="str">
            <v>일반직</v>
          </cell>
          <cell r="L298" t="str">
            <v>G1</v>
          </cell>
          <cell r="M298" t="str">
            <v>A</v>
          </cell>
          <cell r="N298">
            <v>45570000</v>
          </cell>
          <cell r="O298">
            <v>1200000</v>
          </cell>
          <cell r="P298">
            <v>11875920</v>
          </cell>
          <cell r="Q298">
            <v>1.5</v>
          </cell>
          <cell r="R298">
            <v>45570000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1200000</v>
          </cell>
          <cell r="X298">
            <v>17813880</v>
          </cell>
          <cell r="Y298">
            <v>-586200</v>
          </cell>
          <cell r="Z298">
            <v>444520</v>
          </cell>
          <cell r="AA298">
            <v>0</v>
          </cell>
          <cell r="AB298">
            <v>64442200</v>
          </cell>
          <cell r="AC298">
            <v>45570000</v>
          </cell>
          <cell r="AD298">
            <v>17672200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K298">
            <v>1200000</v>
          </cell>
          <cell r="AL298">
            <v>64442200</v>
          </cell>
          <cell r="AM298">
            <v>298</v>
          </cell>
        </row>
        <row r="299">
          <cell r="A299" t="str">
            <v>김윤상</v>
          </cell>
          <cell r="B299">
            <v>9134066</v>
          </cell>
          <cell r="C299" t="str">
            <v>1033262</v>
          </cell>
          <cell r="D299" t="str">
            <v>동부사업단</v>
          </cell>
          <cell r="E299" t="str">
            <v>포항지점</v>
          </cell>
          <cell r="F299" t="str">
            <v>지점선임</v>
          </cell>
          <cell r="G299" t="str">
            <v>대리</v>
          </cell>
          <cell r="H299" t="str">
            <v>22</v>
          </cell>
          <cell r="I299" t="str">
            <v>03</v>
          </cell>
          <cell r="J299">
            <v>2203</v>
          </cell>
          <cell r="K299" t="str">
            <v>일반직</v>
          </cell>
          <cell r="L299" t="str">
            <v>G2</v>
          </cell>
          <cell r="M299" t="str">
            <v>B</v>
          </cell>
          <cell r="N299">
            <v>39333000</v>
          </cell>
          <cell r="O299">
            <v>1200000</v>
          </cell>
          <cell r="P299">
            <v>8934300</v>
          </cell>
          <cell r="Q299">
            <v>1</v>
          </cell>
          <cell r="R299">
            <v>39333000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1200000</v>
          </cell>
          <cell r="X299">
            <v>8934300</v>
          </cell>
          <cell r="Y299">
            <v>0</v>
          </cell>
          <cell r="Z299">
            <v>0</v>
          </cell>
          <cell r="AA299">
            <v>0</v>
          </cell>
          <cell r="AB299">
            <v>49467300</v>
          </cell>
          <cell r="AC299">
            <v>39333000</v>
          </cell>
          <cell r="AD299">
            <v>8934300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K299">
            <v>1200000</v>
          </cell>
          <cell r="AL299">
            <v>49467300</v>
          </cell>
          <cell r="AM299">
            <v>299</v>
          </cell>
        </row>
        <row r="300">
          <cell r="A300" t="str">
            <v>김도한</v>
          </cell>
          <cell r="B300">
            <v>9134856</v>
          </cell>
          <cell r="C300" t="str">
            <v>1033264</v>
          </cell>
          <cell r="D300" t="str">
            <v>동부사업단</v>
          </cell>
          <cell r="E300" t="str">
            <v>경주지점</v>
          </cell>
          <cell r="F300" t="str">
            <v>지점선임</v>
          </cell>
          <cell r="G300" t="str">
            <v>과장</v>
          </cell>
          <cell r="H300" t="str">
            <v>22</v>
          </cell>
          <cell r="I300" t="str">
            <v>05</v>
          </cell>
          <cell r="J300">
            <v>2205</v>
          </cell>
          <cell r="K300" t="str">
            <v>일반직</v>
          </cell>
          <cell r="L300" t="str">
            <v>G2</v>
          </cell>
          <cell r="M300" t="str">
            <v>B</v>
          </cell>
          <cell r="N300">
            <v>39675000</v>
          </cell>
          <cell r="O300">
            <v>1200000</v>
          </cell>
          <cell r="P300">
            <v>8795420</v>
          </cell>
          <cell r="Q300">
            <v>1</v>
          </cell>
          <cell r="R300">
            <v>39675000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1200000</v>
          </cell>
          <cell r="X300">
            <v>8795420</v>
          </cell>
          <cell r="Y300">
            <v>0</v>
          </cell>
          <cell r="Z300">
            <v>0</v>
          </cell>
          <cell r="AA300">
            <v>0</v>
          </cell>
          <cell r="AB300">
            <v>49670420</v>
          </cell>
          <cell r="AC300">
            <v>39675000</v>
          </cell>
          <cell r="AD300">
            <v>8795420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K300">
            <v>1200000</v>
          </cell>
          <cell r="AL300">
            <v>49670420</v>
          </cell>
          <cell r="AM300">
            <v>300</v>
          </cell>
        </row>
        <row r="301">
          <cell r="A301" t="str">
            <v>박년배</v>
          </cell>
          <cell r="B301">
            <v>9133418</v>
          </cell>
          <cell r="C301" t="str">
            <v>1033280</v>
          </cell>
          <cell r="D301" t="str">
            <v>동부사업단</v>
          </cell>
          <cell r="E301" t="str">
            <v>신마산지점</v>
          </cell>
          <cell r="F301" t="str">
            <v>부지점장</v>
          </cell>
          <cell r="G301" t="str">
            <v>과장</v>
          </cell>
          <cell r="H301" t="str">
            <v>21</v>
          </cell>
          <cell r="I301" t="str">
            <v>01</v>
          </cell>
          <cell r="J301">
            <v>2101</v>
          </cell>
          <cell r="K301" t="str">
            <v>일반직</v>
          </cell>
          <cell r="L301" t="str">
            <v>G1</v>
          </cell>
          <cell r="M301" t="str">
            <v>B</v>
          </cell>
          <cell r="N301">
            <v>45810000</v>
          </cell>
          <cell r="O301">
            <v>1200000</v>
          </cell>
          <cell r="P301">
            <v>11306740</v>
          </cell>
          <cell r="Q301">
            <v>1</v>
          </cell>
          <cell r="R301">
            <v>45810000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1200000</v>
          </cell>
          <cell r="X301">
            <v>11306740</v>
          </cell>
          <cell r="Y301">
            <v>-586200</v>
          </cell>
          <cell r="Z301">
            <v>0</v>
          </cell>
          <cell r="AA301">
            <v>0</v>
          </cell>
          <cell r="AB301">
            <v>57730540</v>
          </cell>
          <cell r="AC301">
            <v>45810000</v>
          </cell>
          <cell r="AD301">
            <v>10720540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K301">
            <v>1200000</v>
          </cell>
          <cell r="AL301">
            <v>57730540</v>
          </cell>
          <cell r="AM301">
            <v>301</v>
          </cell>
        </row>
        <row r="302">
          <cell r="A302" t="str">
            <v>김태원</v>
          </cell>
          <cell r="B302">
            <v>9133949</v>
          </cell>
          <cell r="C302" t="str">
            <v>1033286</v>
          </cell>
          <cell r="D302" t="str">
            <v>동부사업단</v>
          </cell>
          <cell r="E302" t="str">
            <v>밀양지점</v>
          </cell>
          <cell r="F302" t="str">
            <v>지점선임</v>
          </cell>
          <cell r="G302" t="str">
            <v>과장</v>
          </cell>
          <cell r="H302" t="str">
            <v>22</v>
          </cell>
          <cell r="I302" t="str">
            <v>05</v>
          </cell>
          <cell r="J302">
            <v>2205</v>
          </cell>
          <cell r="K302" t="str">
            <v>일반직</v>
          </cell>
          <cell r="L302" t="str">
            <v>G1</v>
          </cell>
          <cell r="M302" t="str">
            <v>A</v>
          </cell>
          <cell r="N302">
            <v>39795000</v>
          </cell>
          <cell r="O302">
            <v>1200000</v>
          </cell>
          <cell r="P302">
            <v>9043940</v>
          </cell>
          <cell r="Q302">
            <v>1.5</v>
          </cell>
          <cell r="R302">
            <v>39795000</v>
          </cell>
          <cell r="S302">
            <v>5000000</v>
          </cell>
          <cell r="T302">
            <v>0</v>
          </cell>
          <cell r="U302">
            <v>0</v>
          </cell>
          <cell r="V302">
            <v>0</v>
          </cell>
          <cell r="W302">
            <v>1200000</v>
          </cell>
          <cell r="X302">
            <v>13565910</v>
          </cell>
          <cell r="Y302">
            <v>-586200</v>
          </cell>
          <cell r="Z302">
            <v>440490</v>
          </cell>
          <cell r="AA302">
            <v>0</v>
          </cell>
          <cell r="AB302">
            <v>59415200</v>
          </cell>
          <cell r="AC302">
            <v>39795000</v>
          </cell>
          <cell r="AD302">
            <v>13420200</v>
          </cell>
          <cell r="AE302">
            <v>5000000</v>
          </cell>
          <cell r="AF302">
            <v>0</v>
          </cell>
          <cell r="AG302">
            <v>0</v>
          </cell>
          <cell r="AH302">
            <v>0</v>
          </cell>
          <cell r="AK302">
            <v>1200000</v>
          </cell>
          <cell r="AL302">
            <v>59415200</v>
          </cell>
          <cell r="AM302">
            <v>302</v>
          </cell>
        </row>
        <row r="303">
          <cell r="A303" t="str">
            <v>서미선</v>
          </cell>
          <cell r="B303">
            <v>9131334</v>
          </cell>
          <cell r="C303" t="str">
            <v>1033290</v>
          </cell>
          <cell r="D303" t="str">
            <v>동부사업단</v>
          </cell>
          <cell r="E303" t="str">
            <v>진주지점</v>
          </cell>
          <cell r="F303" t="str">
            <v>지점선임</v>
          </cell>
          <cell r="G303" t="str">
            <v>대리</v>
          </cell>
          <cell r="H303" t="str">
            <v>31</v>
          </cell>
          <cell r="I303" t="str">
            <v>04</v>
          </cell>
          <cell r="J303">
            <v>3104</v>
          </cell>
          <cell r="K303" t="str">
            <v>사무직</v>
          </cell>
          <cell r="L303" t="str">
            <v>G3</v>
          </cell>
          <cell r="M303" t="str">
            <v>A</v>
          </cell>
          <cell r="N303">
            <v>38133150</v>
          </cell>
          <cell r="O303">
            <v>1200000</v>
          </cell>
          <cell r="P303">
            <v>6214000</v>
          </cell>
          <cell r="Q303">
            <v>1.5</v>
          </cell>
          <cell r="R303">
            <v>38133150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1200000</v>
          </cell>
          <cell r="X303">
            <v>9321000</v>
          </cell>
          <cell r="Y303">
            <v>0</v>
          </cell>
          <cell r="Z303">
            <v>0</v>
          </cell>
          <cell r="AA303">
            <v>0</v>
          </cell>
          <cell r="AB303">
            <v>48654150</v>
          </cell>
          <cell r="AC303">
            <v>38133150</v>
          </cell>
          <cell r="AD303">
            <v>9321000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K303">
            <v>1200000</v>
          </cell>
          <cell r="AL303">
            <v>48654150</v>
          </cell>
          <cell r="AM303">
            <v>303</v>
          </cell>
        </row>
        <row r="304">
          <cell r="A304" t="str">
            <v>이은종</v>
          </cell>
          <cell r="B304">
            <v>9134791</v>
          </cell>
          <cell r="C304" t="str">
            <v>1033294</v>
          </cell>
          <cell r="D304" t="str">
            <v>동부사업단</v>
          </cell>
          <cell r="E304" t="str">
            <v>거제지점</v>
          </cell>
          <cell r="F304" t="str">
            <v>부지점장</v>
          </cell>
          <cell r="G304" t="str">
            <v>차장</v>
          </cell>
          <cell r="H304" t="str">
            <v>21</v>
          </cell>
          <cell r="I304" t="str">
            <v>03</v>
          </cell>
          <cell r="J304">
            <v>2103</v>
          </cell>
          <cell r="K304" t="str">
            <v>일반직</v>
          </cell>
          <cell r="L304" t="str">
            <v>G1</v>
          </cell>
          <cell r="M304" t="str">
            <v>D</v>
          </cell>
          <cell r="N304">
            <v>46320000</v>
          </cell>
          <cell r="O304">
            <v>1200000</v>
          </cell>
          <cell r="P304">
            <v>11025420</v>
          </cell>
          <cell r="Q304">
            <v>0</v>
          </cell>
          <cell r="R304">
            <v>46320000</v>
          </cell>
          <cell r="S304">
            <v>0</v>
          </cell>
          <cell r="T304">
            <v>0</v>
          </cell>
          <cell r="U304">
            <v>0</v>
          </cell>
          <cell r="V304">
            <v>-4632000</v>
          </cell>
          <cell r="W304">
            <v>1200000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42888000</v>
          </cell>
          <cell r="AC304">
            <v>41688000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K304">
            <v>1200000</v>
          </cell>
          <cell r="AL304">
            <v>42888000</v>
          </cell>
          <cell r="AM304">
            <v>304</v>
          </cell>
        </row>
        <row r="305">
          <cell r="A305" t="str">
            <v>손태호</v>
          </cell>
          <cell r="B305">
            <v>9132756</v>
          </cell>
          <cell r="C305" t="str">
            <v>1033310</v>
          </cell>
          <cell r="D305" t="str">
            <v>동부사업단</v>
          </cell>
          <cell r="E305" t="str">
            <v>양산지점</v>
          </cell>
          <cell r="F305" t="str">
            <v>부지점장</v>
          </cell>
          <cell r="G305" t="str">
            <v>과장</v>
          </cell>
          <cell r="H305" t="str">
            <v>21</v>
          </cell>
          <cell r="I305" t="str">
            <v>01</v>
          </cell>
          <cell r="J305">
            <v>2101</v>
          </cell>
          <cell r="K305" t="str">
            <v>일반직</v>
          </cell>
          <cell r="L305" t="str">
            <v>G1</v>
          </cell>
          <cell r="M305" t="str">
            <v>B</v>
          </cell>
          <cell r="N305">
            <v>45810000</v>
          </cell>
          <cell r="O305">
            <v>1200000</v>
          </cell>
          <cell r="P305">
            <v>11591330</v>
          </cell>
          <cell r="Q305">
            <v>1</v>
          </cell>
          <cell r="R305">
            <v>45810000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1200000</v>
          </cell>
          <cell r="X305">
            <v>11591330</v>
          </cell>
          <cell r="Y305">
            <v>-586200</v>
          </cell>
          <cell r="Z305">
            <v>0</v>
          </cell>
          <cell r="AA305">
            <v>0</v>
          </cell>
          <cell r="AB305">
            <v>58015130</v>
          </cell>
          <cell r="AC305">
            <v>45810000</v>
          </cell>
          <cell r="AD305">
            <v>11005130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K305">
            <v>1200000</v>
          </cell>
          <cell r="AL305">
            <v>58015130</v>
          </cell>
          <cell r="AM305">
            <v>305</v>
          </cell>
        </row>
        <row r="306">
          <cell r="A306" t="str">
            <v>박용규</v>
          </cell>
          <cell r="B306">
            <v>9119849</v>
          </cell>
          <cell r="C306" t="str">
            <v>1033331</v>
          </cell>
          <cell r="D306" t="str">
            <v>동부사업단</v>
          </cell>
          <cell r="E306" t="str">
            <v>방어진지점</v>
          </cell>
          <cell r="F306" t="str">
            <v>지점선임</v>
          </cell>
          <cell r="G306" t="str">
            <v>대리</v>
          </cell>
          <cell r="H306" t="str">
            <v>22</v>
          </cell>
          <cell r="I306" t="str">
            <v>03</v>
          </cell>
          <cell r="J306">
            <v>2203</v>
          </cell>
          <cell r="K306" t="str">
            <v>일반직</v>
          </cell>
          <cell r="L306" t="str">
            <v>G2</v>
          </cell>
          <cell r="M306" t="str">
            <v>A</v>
          </cell>
          <cell r="N306">
            <v>39213000</v>
          </cell>
          <cell r="O306">
            <v>1200000</v>
          </cell>
          <cell r="P306">
            <v>8934300</v>
          </cell>
          <cell r="Q306">
            <v>1.5</v>
          </cell>
          <cell r="R306">
            <v>39213000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1200000</v>
          </cell>
          <cell r="X306">
            <v>13401450</v>
          </cell>
          <cell r="Y306">
            <v>0</v>
          </cell>
          <cell r="Z306">
            <v>440490</v>
          </cell>
          <cell r="AA306">
            <v>0</v>
          </cell>
          <cell r="AB306">
            <v>54254940</v>
          </cell>
          <cell r="AC306">
            <v>39213000</v>
          </cell>
          <cell r="AD306">
            <v>13841940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K306">
            <v>1200000</v>
          </cell>
          <cell r="AL306">
            <v>54254940</v>
          </cell>
          <cell r="AM306">
            <v>306</v>
          </cell>
        </row>
        <row r="307">
          <cell r="A307" t="str">
            <v>이기현</v>
          </cell>
          <cell r="B307">
            <v>9132748</v>
          </cell>
          <cell r="C307" t="str">
            <v>1033332</v>
          </cell>
          <cell r="D307" t="str">
            <v>동부사업단</v>
          </cell>
          <cell r="E307" t="str">
            <v>새부산지점</v>
          </cell>
          <cell r="F307" t="str">
            <v>부지점장</v>
          </cell>
          <cell r="G307" t="str">
            <v>과장</v>
          </cell>
          <cell r="H307" t="str">
            <v>21</v>
          </cell>
          <cell r="I307" t="str">
            <v>01</v>
          </cell>
          <cell r="J307">
            <v>2101</v>
          </cell>
          <cell r="K307" t="str">
            <v>일반직</v>
          </cell>
          <cell r="L307" t="str">
            <v>G1</v>
          </cell>
          <cell r="M307" t="str">
            <v>B</v>
          </cell>
          <cell r="N307">
            <v>45810000</v>
          </cell>
          <cell r="O307">
            <v>1200000</v>
          </cell>
          <cell r="P307">
            <v>11591330</v>
          </cell>
          <cell r="Q307">
            <v>1</v>
          </cell>
          <cell r="R307">
            <v>45810000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1200000</v>
          </cell>
          <cell r="X307">
            <v>11591330</v>
          </cell>
          <cell r="Y307">
            <v>-586200</v>
          </cell>
          <cell r="Z307">
            <v>0</v>
          </cell>
          <cell r="AA307">
            <v>0</v>
          </cell>
          <cell r="AB307">
            <v>58015130</v>
          </cell>
          <cell r="AC307">
            <v>45810000</v>
          </cell>
          <cell r="AD307">
            <v>11005130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K307">
            <v>1200000</v>
          </cell>
          <cell r="AL307">
            <v>58015130</v>
          </cell>
          <cell r="AM307">
            <v>307</v>
          </cell>
        </row>
        <row r="308">
          <cell r="A308" t="str">
            <v>김상태</v>
          </cell>
          <cell r="B308">
            <v>9132403</v>
          </cell>
          <cell r="C308" t="str">
            <v>1033362</v>
          </cell>
          <cell r="D308" t="str">
            <v>동부사업단</v>
          </cell>
          <cell r="E308" t="str">
            <v>태광지점</v>
          </cell>
          <cell r="F308" t="str">
            <v>부지점장</v>
          </cell>
          <cell r="G308" t="str">
            <v>차장</v>
          </cell>
          <cell r="H308" t="str">
            <v>21</v>
          </cell>
          <cell r="I308" t="str">
            <v>01</v>
          </cell>
          <cell r="J308">
            <v>2101</v>
          </cell>
          <cell r="K308" t="str">
            <v>일반직</v>
          </cell>
          <cell r="L308" t="str">
            <v>G1</v>
          </cell>
          <cell r="M308" t="str">
            <v>B</v>
          </cell>
          <cell r="N308">
            <v>45810000</v>
          </cell>
          <cell r="O308">
            <v>1200000</v>
          </cell>
          <cell r="P308">
            <v>11733620</v>
          </cell>
          <cell r="Q308">
            <v>1</v>
          </cell>
          <cell r="R308">
            <v>45810000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1200000</v>
          </cell>
          <cell r="X308">
            <v>11733620</v>
          </cell>
          <cell r="Y308">
            <v>-586200</v>
          </cell>
          <cell r="Z308">
            <v>0</v>
          </cell>
          <cell r="AA308">
            <v>0</v>
          </cell>
          <cell r="AB308">
            <v>58157420</v>
          </cell>
          <cell r="AC308">
            <v>45810000</v>
          </cell>
          <cell r="AD308">
            <v>11147420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K308">
            <v>1200000</v>
          </cell>
          <cell r="AL308">
            <v>58157420</v>
          </cell>
          <cell r="AM308">
            <v>308</v>
          </cell>
        </row>
        <row r="309">
          <cell r="A309" t="str">
            <v>이재익</v>
          </cell>
          <cell r="B309">
            <v>9133671</v>
          </cell>
          <cell r="C309" t="str">
            <v>1033380</v>
          </cell>
          <cell r="D309" t="str">
            <v>동부사업단</v>
          </cell>
          <cell r="E309" t="str">
            <v>동성지점</v>
          </cell>
          <cell r="F309" t="str">
            <v>지점선임</v>
          </cell>
          <cell r="G309" t="str">
            <v>과장</v>
          </cell>
          <cell r="H309" t="str">
            <v>22</v>
          </cell>
          <cell r="I309" t="str">
            <v>04</v>
          </cell>
          <cell r="J309">
            <v>2204</v>
          </cell>
          <cell r="K309" t="str">
            <v>일반직</v>
          </cell>
          <cell r="L309" t="str">
            <v>G2</v>
          </cell>
          <cell r="M309" t="str">
            <v>B</v>
          </cell>
          <cell r="N309">
            <v>39606000</v>
          </cell>
          <cell r="O309">
            <v>1200000</v>
          </cell>
          <cell r="P309">
            <v>9122760</v>
          </cell>
          <cell r="Q309">
            <v>1</v>
          </cell>
          <cell r="R309">
            <v>39606000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1200000</v>
          </cell>
          <cell r="X309">
            <v>9122760</v>
          </cell>
          <cell r="Y309">
            <v>0</v>
          </cell>
          <cell r="Z309">
            <v>0</v>
          </cell>
          <cell r="AA309">
            <v>0</v>
          </cell>
          <cell r="AB309">
            <v>49928760</v>
          </cell>
          <cell r="AC309">
            <v>39606000</v>
          </cell>
          <cell r="AD309">
            <v>9122760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K309">
            <v>1200000</v>
          </cell>
          <cell r="AL309">
            <v>49928760</v>
          </cell>
          <cell r="AM309">
            <v>309</v>
          </cell>
        </row>
        <row r="310">
          <cell r="A310" t="str">
            <v>이종일</v>
          </cell>
          <cell r="B310">
            <v>9133965</v>
          </cell>
          <cell r="C310" t="str">
            <v>1033398</v>
          </cell>
          <cell r="D310" t="str">
            <v>동부사업단</v>
          </cell>
          <cell r="E310" t="str">
            <v>마산지점</v>
          </cell>
          <cell r="F310" t="str">
            <v>지점선임</v>
          </cell>
          <cell r="G310" t="str">
            <v>과장</v>
          </cell>
          <cell r="H310" t="str">
            <v>22</v>
          </cell>
          <cell r="I310" t="str">
            <v>05</v>
          </cell>
          <cell r="J310">
            <v>2205</v>
          </cell>
          <cell r="K310" t="str">
            <v>일반직</v>
          </cell>
          <cell r="L310" t="str">
            <v>G2</v>
          </cell>
          <cell r="M310" t="str">
            <v>A</v>
          </cell>
          <cell r="N310">
            <v>39795000</v>
          </cell>
          <cell r="O310">
            <v>1200000</v>
          </cell>
          <cell r="P310">
            <v>9043940</v>
          </cell>
          <cell r="Q310">
            <v>1.5</v>
          </cell>
          <cell r="R310">
            <v>39795000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1200000</v>
          </cell>
          <cell r="X310">
            <v>13565910</v>
          </cell>
          <cell r="Y310">
            <v>0</v>
          </cell>
          <cell r="Z310">
            <v>440490</v>
          </cell>
          <cell r="AA310">
            <v>0</v>
          </cell>
          <cell r="AB310">
            <v>55001400</v>
          </cell>
          <cell r="AC310">
            <v>39795000</v>
          </cell>
          <cell r="AD310">
            <v>14006400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K310">
            <v>1200000</v>
          </cell>
          <cell r="AL310">
            <v>55001400</v>
          </cell>
          <cell r="AM310">
            <v>310</v>
          </cell>
        </row>
        <row r="311">
          <cell r="A311" t="str">
            <v>이미옥</v>
          </cell>
          <cell r="B311">
            <v>9132314</v>
          </cell>
          <cell r="C311" t="str">
            <v>1033404</v>
          </cell>
          <cell r="D311" t="str">
            <v>동부사업단</v>
          </cell>
          <cell r="E311" t="str">
            <v>서진주지점</v>
          </cell>
          <cell r="F311" t="str">
            <v>지점선임</v>
          </cell>
          <cell r="G311" t="str">
            <v>과장</v>
          </cell>
          <cell r="H311" t="str">
            <v>22</v>
          </cell>
          <cell r="I311" t="str">
            <v>06</v>
          </cell>
          <cell r="J311">
            <v>2206</v>
          </cell>
          <cell r="K311" t="str">
            <v>일반직</v>
          </cell>
          <cell r="L311" t="str">
            <v>G2</v>
          </cell>
          <cell r="M311" t="str">
            <v>B</v>
          </cell>
          <cell r="N311">
            <v>39984000</v>
          </cell>
          <cell r="O311">
            <v>1200000</v>
          </cell>
          <cell r="P311">
            <v>10711870</v>
          </cell>
          <cell r="Q311">
            <v>1</v>
          </cell>
          <cell r="R311">
            <v>39984000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1200000</v>
          </cell>
          <cell r="X311">
            <v>10711870</v>
          </cell>
          <cell r="Y311">
            <v>0</v>
          </cell>
          <cell r="Z311">
            <v>0</v>
          </cell>
          <cell r="AA311">
            <v>0</v>
          </cell>
          <cell r="AB311">
            <v>51895870</v>
          </cell>
          <cell r="AC311">
            <v>39984000</v>
          </cell>
          <cell r="AD311">
            <v>10711870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K311">
            <v>1200000</v>
          </cell>
          <cell r="AL311">
            <v>51895870</v>
          </cell>
          <cell r="AM311">
            <v>311</v>
          </cell>
        </row>
        <row r="312">
          <cell r="A312" t="str">
            <v>박원복</v>
          </cell>
          <cell r="B312">
            <v>9121894</v>
          </cell>
          <cell r="C312" t="str">
            <v>1033408</v>
          </cell>
          <cell r="D312" t="str">
            <v>동부사업단</v>
          </cell>
          <cell r="E312" t="str">
            <v>무거지점</v>
          </cell>
          <cell r="F312" t="str">
            <v>지점선임</v>
          </cell>
          <cell r="G312" t="str">
            <v>대리</v>
          </cell>
          <cell r="H312" t="str">
            <v>22</v>
          </cell>
          <cell r="I312" t="str">
            <v>02</v>
          </cell>
          <cell r="J312">
            <v>2202</v>
          </cell>
          <cell r="K312" t="str">
            <v>일반직</v>
          </cell>
          <cell r="L312" t="str">
            <v>G2</v>
          </cell>
          <cell r="M312" t="str">
            <v>B</v>
          </cell>
          <cell r="N312">
            <v>38940000</v>
          </cell>
          <cell r="O312">
            <v>1200000</v>
          </cell>
          <cell r="P312">
            <v>8747550</v>
          </cell>
          <cell r="Q312">
            <v>1</v>
          </cell>
          <cell r="R312">
            <v>38940000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1200000</v>
          </cell>
          <cell r="X312">
            <v>8747550</v>
          </cell>
          <cell r="Y312">
            <v>0</v>
          </cell>
          <cell r="Z312">
            <v>0</v>
          </cell>
          <cell r="AA312">
            <v>0</v>
          </cell>
          <cell r="AB312">
            <v>48887550</v>
          </cell>
          <cell r="AC312">
            <v>38940000</v>
          </cell>
          <cell r="AD312">
            <v>8747550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K312">
            <v>1200000</v>
          </cell>
          <cell r="AL312">
            <v>48887550</v>
          </cell>
          <cell r="AM312">
            <v>312</v>
          </cell>
        </row>
        <row r="313">
          <cell r="A313" t="str">
            <v>라현미</v>
          </cell>
          <cell r="B313">
            <v>9133876</v>
          </cell>
          <cell r="C313" t="str">
            <v>1033414</v>
          </cell>
          <cell r="D313" t="str">
            <v>동부사업단</v>
          </cell>
          <cell r="E313" t="str">
            <v>산격지점</v>
          </cell>
          <cell r="F313" t="str">
            <v>지점선임</v>
          </cell>
          <cell r="G313" t="str">
            <v>주임</v>
          </cell>
          <cell r="H313" t="str">
            <v>41</v>
          </cell>
          <cell r="I313" t="str">
            <v>10</v>
          </cell>
          <cell r="J313">
            <v>4110</v>
          </cell>
          <cell r="K313" t="str">
            <v>사무직</v>
          </cell>
          <cell r="L313" t="str">
            <v>G3</v>
          </cell>
          <cell r="M313" t="str">
            <v>B</v>
          </cell>
          <cell r="N313">
            <v>31139940</v>
          </cell>
          <cell r="O313">
            <v>1200000</v>
          </cell>
          <cell r="P313">
            <v>5086000</v>
          </cell>
          <cell r="Q313">
            <v>1</v>
          </cell>
          <cell r="R313">
            <v>31139940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1200000</v>
          </cell>
          <cell r="X313">
            <v>5086000</v>
          </cell>
          <cell r="Y313">
            <v>0</v>
          </cell>
          <cell r="Z313">
            <v>0</v>
          </cell>
          <cell r="AA313">
            <v>0</v>
          </cell>
          <cell r="AB313">
            <v>37425940</v>
          </cell>
          <cell r="AC313">
            <v>31139940</v>
          </cell>
          <cell r="AD313">
            <v>5086000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K313">
            <v>1200000</v>
          </cell>
          <cell r="AL313">
            <v>37425940</v>
          </cell>
          <cell r="AM313">
            <v>313</v>
          </cell>
        </row>
        <row r="314">
          <cell r="A314" t="str">
            <v>정동영</v>
          </cell>
          <cell r="B314">
            <v>9132500</v>
          </cell>
          <cell r="C314" t="str">
            <v>1033492</v>
          </cell>
          <cell r="D314" t="str">
            <v>동부사업단</v>
          </cell>
          <cell r="E314" t="str">
            <v>서면지점</v>
          </cell>
          <cell r="F314" t="str">
            <v>부지점장</v>
          </cell>
          <cell r="G314" t="str">
            <v>과장</v>
          </cell>
          <cell r="H314" t="str">
            <v>21</v>
          </cell>
          <cell r="I314" t="str">
            <v>01</v>
          </cell>
          <cell r="J314">
            <v>2101</v>
          </cell>
          <cell r="K314" t="str">
            <v>일반직</v>
          </cell>
          <cell r="L314" t="str">
            <v>G1</v>
          </cell>
          <cell r="M314" t="str">
            <v>B</v>
          </cell>
          <cell r="N314">
            <v>45810000</v>
          </cell>
          <cell r="O314">
            <v>1200000</v>
          </cell>
          <cell r="P314">
            <v>11733620</v>
          </cell>
          <cell r="Q314">
            <v>1</v>
          </cell>
          <cell r="R314">
            <v>45810000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1200000</v>
          </cell>
          <cell r="X314">
            <v>11733620</v>
          </cell>
          <cell r="Y314">
            <v>-586200</v>
          </cell>
          <cell r="Z314">
            <v>0</v>
          </cell>
          <cell r="AA314">
            <v>0</v>
          </cell>
          <cell r="AB314">
            <v>58157420</v>
          </cell>
          <cell r="AC314">
            <v>45810000</v>
          </cell>
          <cell r="AD314">
            <v>11147420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K314">
            <v>1200000</v>
          </cell>
          <cell r="AL314">
            <v>58157420</v>
          </cell>
          <cell r="AM314">
            <v>314</v>
          </cell>
        </row>
        <row r="315">
          <cell r="A315" t="str">
            <v>김은경</v>
          </cell>
          <cell r="B315">
            <v>9132543</v>
          </cell>
          <cell r="C315" t="str">
            <v>1033500</v>
          </cell>
          <cell r="D315" t="str">
            <v>동부사업단</v>
          </cell>
          <cell r="E315" t="str">
            <v>칠성지점</v>
          </cell>
          <cell r="F315" t="str">
            <v>지점선임</v>
          </cell>
          <cell r="G315" t="str">
            <v>대리</v>
          </cell>
          <cell r="H315" t="str">
            <v>31</v>
          </cell>
          <cell r="I315" t="str">
            <v>02</v>
          </cell>
          <cell r="J315">
            <v>3102</v>
          </cell>
          <cell r="K315" t="str">
            <v>사무직</v>
          </cell>
          <cell r="L315" t="str">
            <v>G3</v>
          </cell>
          <cell r="M315" t="str">
            <v>C</v>
          </cell>
          <cell r="N315">
            <v>37015610</v>
          </cell>
          <cell r="O315">
            <v>1200000</v>
          </cell>
          <cell r="P315">
            <v>6134000</v>
          </cell>
          <cell r="Q315">
            <v>0.5</v>
          </cell>
          <cell r="R315">
            <v>37015610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1200000</v>
          </cell>
          <cell r="X315">
            <v>3067000</v>
          </cell>
          <cell r="Y315">
            <v>0</v>
          </cell>
          <cell r="Z315">
            <v>0</v>
          </cell>
          <cell r="AA315">
            <v>0</v>
          </cell>
          <cell r="AB315">
            <v>41282610</v>
          </cell>
          <cell r="AC315">
            <v>37015610</v>
          </cell>
          <cell r="AD315">
            <v>3067000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K315">
            <v>1200000</v>
          </cell>
          <cell r="AL315">
            <v>41282610</v>
          </cell>
          <cell r="AM315">
            <v>315</v>
          </cell>
        </row>
        <row r="316">
          <cell r="A316" t="str">
            <v>송현철</v>
          </cell>
          <cell r="B316">
            <v>9132101</v>
          </cell>
          <cell r="C316" t="str">
            <v>1033544</v>
          </cell>
          <cell r="D316" t="str">
            <v>동부사업단</v>
          </cell>
          <cell r="E316" t="str">
            <v>통영지점</v>
          </cell>
          <cell r="F316" t="str">
            <v>부지점장</v>
          </cell>
          <cell r="G316" t="str">
            <v>차장</v>
          </cell>
          <cell r="H316" t="str">
            <v>21</v>
          </cell>
          <cell r="I316" t="str">
            <v>01</v>
          </cell>
          <cell r="J316">
            <v>2101</v>
          </cell>
          <cell r="K316" t="str">
            <v>일반직</v>
          </cell>
          <cell r="L316" t="str">
            <v>G1</v>
          </cell>
          <cell r="M316" t="str">
            <v>B</v>
          </cell>
          <cell r="N316">
            <v>45930000</v>
          </cell>
          <cell r="O316">
            <v>1200000</v>
          </cell>
          <cell r="P316">
            <v>11875920</v>
          </cell>
          <cell r="Q316">
            <v>1</v>
          </cell>
          <cell r="R316">
            <v>45930000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1200000</v>
          </cell>
          <cell r="X316">
            <v>11875920</v>
          </cell>
          <cell r="Y316">
            <v>-586200</v>
          </cell>
          <cell r="Z316">
            <v>0</v>
          </cell>
          <cell r="AA316">
            <v>0</v>
          </cell>
          <cell r="AB316">
            <v>58419720</v>
          </cell>
          <cell r="AC316">
            <v>45930000</v>
          </cell>
          <cell r="AD316">
            <v>11289720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K316">
            <v>1200000</v>
          </cell>
          <cell r="AL316">
            <v>58419720</v>
          </cell>
          <cell r="AM316">
            <v>316</v>
          </cell>
        </row>
        <row r="317">
          <cell r="A317" t="str">
            <v>남극순</v>
          </cell>
          <cell r="B317">
            <v>9131865</v>
          </cell>
          <cell r="C317" t="str">
            <v>1033547</v>
          </cell>
          <cell r="D317" t="str">
            <v>동부사업단</v>
          </cell>
          <cell r="E317" t="str">
            <v>창원지점</v>
          </cell>
          <cell r="F317" t="str">
            <v>지점선임</v>
          </cell>
          <cell r="G317" t="str">
            <v>대리</v>
          </cell>
          <cell r="H317" t="str">
            <v>31</v>
          </cell>
          <cell r="I317" t="str">
            <v>04</v>
          </cell>
          <cell r="J317">
            <v>3104</v>
          </cell>
          <cell r="K317" t="str">
            <v>사무직</v>
          </cell>
          <cell r="L317" t="str">
            <v>G3</v>
          </cell>
          <cell r="M317" t="str">
            <v>B</v>
          </cell>
          <cell r="N317">
            <v>37807870</v>
          </cell>
          <cell r="O317">
            <v>1200000</v>
          </cell>
          <cell r="P317">
            <v>6214000</v>
          </cell>
          <cell r="Q317">
            <v>1</v>
          </cell>
          <cell r="R317">
            <v>37807870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1200000</v>
          </cell>
          <cell r="X317">
            <v>6214000</v>
          </cell>
          <cell r="Y317">
            <v>0</v>
          </cell>
          <cell r="Z317">
            <v>0</v>
          </cell>
          <cell r="AA317">
            <v>0</v>
          </cell>
          <cell r="AB317">
            <v>45221870</v>
          </cell>
          <cell r="AC317">
            <v>37807870</v>
          </cell>
          <cell r="AD317">
            <v>6214000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K317">
            <v>1200000</v>
          </cell>
          <cell r="AL317">
            <v>45221870</v>
          </cell>
          <cell r="AM317">
            <v>317</v>
          </cell>
        </row>
        <row r="318">
          <cell r="A318" t="str">
            <v>손정화</v>
          </cell>
          <cell r="B318">
            <v>9134074</v>
          </cell>
          <cell r="C318" t="str">
            <v>1033580</v>
          </cell>
          <cell r="D318" t="str">
            <v>동부사업단</v>
          </cell>
          <cell r="E318" t="str">
            <v>남해지점</v>
          </cell>
          <cell r="F318" t="str">
            <v>지점선임</v>
          </cell>
          <cell r="G318" t="str">
            <v>대리</v>
          </cell>
          <cell r="H318" t="str">
            <v>22</v>
          </cell>
          <cell r="I318" t="str">
            <v>03</v>
          </cell>
          <cell r="J318">
            <v>2203</v>
          </cell>
          <cell r="K318" t="str">
            <v>일반직</v>
          </cell>
          <cell r="L318" t="str">
            <v>G2</v>
          </cell>
          <cell r="M318" t="str">
            <v>B</v>
          </cell>
          <cell r="N318">
            <v>39333000</v>
          </cell>
          <cell r="O318">
            <v>1200000</v>
          </cell>
          <cell r="P318">
            <v>8934300</v>
          </cell>
          <cell r="Q318">
            <v>1</v>
          </cell>
          <cell r="R318">
            <v>39333000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1200000</v>
          </cell>
          <cell r="X318">
            <v>8934300</v>
          </cell>
          <cell r="Y318">
            <v>0</v>
          </cell>
          <cell r="Z318">
            <v>0</v>
          </cell>
          <cell r="AA318">
            <v>0</v>
          </cell>
          <cell r="AB318">
            <v>49467300</v>
          </cell>
          <cell r="AC318">
            <v>39333000</v>
          </cell>
          <cell r="AD318">
            <v>8934300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K318">
            <v>1200000</v>
          </cell>
          <cell r="AL318">
            <v>49467300</v>
          </cell>
          <cell r="AM318">
            <v>318</v>
          </cell>
        </row>
        <row r="319">
          <cell r="A319" t="str">
            <v>오호훈</v>
          </cell>
          <cell r="B319">
            <v>9119865</v>
          </cell>
          <cell r="C319" t="str">
            <v>1033621</v>
          </cell>
          <cell r="D319" t="str">
            <v>동부사업단</v>
          </cell>
          <cell r="E319" t="str">
            <v>수영지점</v>
          </cell>
          <cell r="F319" t="str">
            <v>지점선임</v>
          </cell>
          <cell r="G319" t="str">
            <v>과장</v>
          </cell>
          <cell r="H319" t="str">
            <v>22</v>
          </cell>
          <cell r="I319" t="str">
            <v>04</v>
          </cell>
          <cell r="J319">
            <v>2204</v>
          </cell>
          <cell r="K319" t="str">
            <v>일반직</v>
          </cell>
          <cell r="L319" t="str">
            <v>G2</v>
          </cell>
          <cell r="M319" t="str">
            <v>B</v>
          </cell>
          <cell r="N319">
            <v>39486000</v>
          </cell>
          <cell r="O319">
            <v>1200000</v>
          </cell>
          <cell r="P319">
            <v>8999090</v>
          </cell>
          <cell r="Q319">
            <v>1</v>
          </cell>
          <cell r="R319">
            <v>39486000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1200000</v>
          </cell>
          <cell r="X319">
            <v>8999090</v>
          </cell>
          <cell r="Y319">
            <v>0</v>
          </cell>
          <cell r="Z319">
            <v>0</v>
          </cell>
          <cell r="AA319">
            <v>0</v>
          </cell>
          <cell r="AB319">
            <v>49685090</v>
          </cell>
          <cell r="AC319">
            <v>39486000</v>
          </cell>
          <cell r="AD319">
            <v>8999090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K319">
            <v>1200000</v>
          </cell>
          <cell r="AL319">
            <v>49685090</v>
          </cell>
          <cell r="AM319">
            <v>319</v>
          </cell>
        </row>
        <row r="320">
          <cell r="A320" t="str">
            <v>이정미</v>
          </cell>
          <cell r="B320">
            <v>9132764</v>
          </cell>
          <cell r="C320" t="str">
            <v>1033628</v>
          </cell>
          <cell r="D320" t="str">
            <v>동부사업단</v>
          </cell>
          <cell r="E320" t="str">
            <v>김해지점</v>
          </cell>
          <cell r="F320" t="str">
            <v>지점선임</v>
          </cell>
          <cell r="G320" t="str">
            <v>대리</v>
          </cell>
          <cell r="H320" t="str">
            <v>31</v>
          </cell>
          <cell r="I320" t="str">
            <v>03</v>
          </cell>
          <cell r="J320">
            <v>3103</v>
          </cell>
          <cell r="K320" t="str">
            <v>사무직</v>
          </cell>
          <cell r="L320" t="str">
            <v>G3</v>
          </cell>
          <cell r="M320" t="str">
            <v>C</v>
          </cell>
          <cell r="N320">
            <v>37180950</v>
          </cell>
          <cell r="O320">
            <v>1200000</v>
          </cell>
          <cell r="P320">
            <v>6182000</v>
          </cell>
          <cell r="Q320">
            <v>0.5</v>
          </cell>
          <cell r="R320">
            <v>37180950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1200000</v>
          </cell>
          <cell r="X320">
            <v>3091000</v>
          </cell>
          <cell r="Y320">
            <v>0</v>
          </cell>
          <cell r="Z320">
            <v>0</v>
          </cell>
          <cell r="AA320">
            <v>0</v>
          </cell>
          <cell r="AB320">
            <v>41471950</v>
          </cell>
          <cell r="AC320">
            <v>37180950</v>
          </cell>
          <cell r="AD320">
            <v>3091000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K320">
            <v>1200000</v>
          </cell>
          <cell r="AL320">
            <v>41471950</v>
          </cell>
          <cell r="AM320">
            <v>320</v>
          </cell>
        </row>
        <row r="321">
          <cell r="A321" t="str">
            <v>김진명</v>
          </cell>
          <cell r="B321">
            <v>9132659</v>
          </cell>
          <cell r="C321" t="str">
            <v>1033681</v>
          </cell>
          <cell r="D321" t="str">
            <v>동부사업단</v>
          </cell>
          <cell r="E321" t="str">
            <v>구미지점</v>
          </cell>
          <cell r="F321" t="str">
            <v>지점선임</v>
          </cell>
          <cell r="G321" t="str">
            <v>대리</v>
          </cell>
          <cell r="H321" t="str">
            <v>31</v>
          </cell>
          <cell r="I321" t="str">
            <v>03</v>
          </cell>
          <cell r="J321">
            <v>3103</v>
          </cell>
          <cell r="K321" t="str">
            <v>사무직</v>
          </cell>
          <cell r="L321" t="str">
            <v>G3</v>
          </cell>
          <cell r="M321" t="str">
            <v>B</v>
          </cell>
          <cell r="N321">
            <v>37288860</v>
          </cell>
          <cell r="O321">
            <v>1200000</v>
          </cell>
          <cell r="P321">
            <v>6182000</v>
          </cell>
          <cell r="Q321">
            <v>1</v>
          </cell>
          <cell r="R321">
            <v>37288860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1200000</v>
          </cell>
          <cell r="X321">
            <v>6182000</v>
          </cell>
          <cell r="Y321">
            <v>0</v>
          </cell>
          <cell r="Z321">
            <v>0</v>
          </cell>
          <cell r="AA321">
            <v>0</v>
          </cell>
          <cell r="AB321">
            <v>44670860</v>
          </cell>
          <cell r="AC321">
            <v>37288860</v>
          </cell>
          <cell r="AD321">
            <v>6182000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K321">
            <v>1200000</v>
          </cell>
          <cell r="AL321">
            <v>44670860</v>
          </cell>
          <cell r="AM321">
            <v>321</v>
          </cell>
        </row>
        <row r="322">
          <cell r="A322" t="str">
            <v>신향란</v>
          </cell>
          <cell r="B322">
            <v>9132551</v>
          </cell>
          <cell r="C322" t="str">
            <v>1033713</v>
          </cell>
          <cell r="D322" t="str">
            <v>동부사업단</v>
          </cell>
          <cell r="E322" t="str">
            <v>동래지점</v>
          </cell>
          <cell r="F322" t="str">
            <v>지점선임</v>
          </cell>
          <cell r="G322" t="str">
            <v>대리</v>
          </cell>
          <cell r="H322" t="str">
            <v>31</v>
          </cell>
          <cell r="I322" t="str">
            <v>03</v>
          </cell>
          <cell r="J322">
            <v>3103</v>
          </cell>
          <cell r="K322" t="str">
            <v>사무직</v>
          </cell>
          <cell r="L322" t="str">
            <v>G3</v>
          </cell>
          <cell r="M322" t="str">
            <v>B</v>
          </cell>
          <cell r="N322">
            <v>37288860</v>
          </cell>
          <cell r="O322">
            <v>1200000</v>
          </cell>
          <cell r="P322">
            <v>6182000</v>
          </cell>
          <cell r="Q322">
            <v>1</v>
          </cell>
          <cell r="R322">
            <v>37288860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1200000</v>
          </cell>
          <cell r="X322">
            <v>6182000</v>
          </cell>
          <cell r="Y322">
            <v>0</v>
          </cell>
          <cell r="Z322">
            <v>0</v>
          </cell>
          <cell r="AA322">
            <v>0</v>
          </cell>
          <cell r="AB322">
            <v>44670860</v>
          </cell>
          <cell r="AC322">
            <v>37288860</v>
          </cell>
          <cell r="AD322">
            <v>6182000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K322">
            <v>1200000</v>
          </cell>
          <cell r="AL322">
            <v>44670860</v>
          </cell>
          <cell r="AM322">
            <v>322</v>
          </cell>
        </row>
        <row r="323">
          <cell r="A323" t="str">
            <v>방정희</v>
          </cell>
          <cell r="B323">
            <v>9132853</v>
          </cell>
          <cell r="C323" t="str">
            <v>1033715</v>
          </cell>
          <cell r="D323" t="str">
            <v>동부사업단</v>
          </cell>
          <cell r="E323" t="str">
            <v>가락지점</v>
          </cell>
          <cell r="F323" t="str">
            <v>지점선임</v>
          </cell>
          <cell r="G323" t="str">
            <v>주임</v>
          </cell>
          <cell r="H323" t="str">
            <v>31</v>
          </cell>
          <cell r="I323" t="str">
            <v>02</v>
          </cell>
          <cell r="J323">
            <v>3102</v>
          </cell>
          <cell r="K323" t="str">
            <v>사무직</v>
          </cell>
          <cell r="L323" t="str">
            <v>G3</v>
          </cell>
          <cell r="M323" t="str">
            <v>B</v>
          </cell>
          <cell r="N323">
            <v>36908490</v>
          </cell>
          <cell r="O323">
            <v>1200000</v>
          </cell>
          <cell r="P323">
            <v>6134000</v>
          </cell>
          <cell r="Q323">
            <v>1</v>
          </cell>
          <cell r="R323">
            <v>36908490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1200000</v>
          </cell>
          <cell r="X323">
            <v>6134000</v>
          </cell>
          <cell r="Y323">
            <v>0</v>
          </cell>
          <cell r="Z323">
            <v>0</v>
          </cell>
          <cell r="AA323">
            <v>0</v>
          </cell>
          <cell r="AB323">
            <v>44242490</v>
          </cell>
          <cell r="AC323">
            <v>36908490</v>
          </cell>
          <cell r="AD323">
            <v>6134000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K323">
            <v>1200000</v>
          </cell>
          <cell r="AL323">
            <v>44242490</v>
          </cell>
          <cell r="AM323">
            <v>323</v>
          </cell>
        </row>
        <row r="324">
          <cell r="A324" t="str">
            <v>박종해</v>
          </cell>
          <cell r="B324">
            <v>9133736</v>
          </cell>
          <cell r="C324" t="str">
            <v>1033780</v>
          </cell>
          <cell r="D324" t="str">
            <v>동부사업단</v>
          </cell>
          <cell r="E324" t="str">
            <v>대구지점</v>
          </cell>
          <cell r="F324" t="str">
            <v>지점선임</v>
          </cell>
          <cell r="G324" t="str">
            <v>대리</v>
          </cell>
          <cell r="H324" t="str">
            <v>22</v>
          </cell>
          <cell r="I324" t="str">
            <v>02</v>
          </cell>
          <cell r="J324">
            <v>2202</v>
          </cell>
          <cell r="K324" t="str">
            <v>일반직</v>
          </cell>
          <cell r="L324" t="str">
            <v>G2</v>
          </cell>
          <cell r="M324" t="str">
            <v>B</v>
          </cell>
          <cell r="N324">
            <v>39060000</v>
          </cell>
          <cell r="O324">
            <v>1200000</v>
          </cell>
          <cell r="P324">
            <v>8991480</v>
          </cell>
          <cell r="Q324">
            <v>1</v>
          </cell>
          <cell r="R324">
            <v>39060000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1200000</v>
          </cell>
          <cell r="X324">
            <v>8991480</v>
          </cell>
          <cell r="Y324">
            <v>0</v>
          </cell>
          <cell r="Z324">
            <v>0</v>
          </cell>
          <cell r="AA324">
            <v>0</v>
          </cell>
          <cell r="AB324">
            <v>49251480</v>
          </cell>
          <cell r="AC324">
            <v>39060000</v>
          </cell>
          <cell r="AD324">
            <v>8991480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K324">
            <v>1200000</v>
          </cell>
          <cell r="AL324">
            <v>49251480</v>
          </cell>
          <cell r="AM324">
            <v>324</v>
          </cell>
        </row>
        <row r="325">
          <cell r="A325" t="str">
            <v>황재흠</v>
          </cell>
          <cell r="B325">
            <v>9132438</v>
          </cell>
          <cell r="C325" t="str">
            <v>1033850</v>
          </cell>
          <cell r="D325" t="str">
            <v>동부사업단</v>
          </cell>
          <cell r="E325" t="str">
            <v>안동지점</v>
          </cell>
          <cell r="F325" t="str">
            <v>부지점장</v>
          </cell>
          <cell r="G325" t="str">
            <v>과장</v>
          </cell>
          <cell r="H325" t="str">
            <v>21</v>
          </cell>
          <cell r="I325" t="str">
            <v>01</v>
          </cell>
          <cell r="J325">
            <v>2101</v>
          </cell>
          <cell r="K325" t="str">
            <v>일반직</v>
          </cell>
          <cell r="L325" t="str">
            <v>G1</v>
          </cell>
          <cell r="M325" t="str">
            <v>A</v>
          </cell>
          <cell r="N325">
            <v>45810000</v>
          </cell>
          <cell r="O325">
            <v>1200000</v>
          </cell>
          <cell r="P325">
            <v>11733620</v>
          </cell>
          <cell r="Q325">
            <v>1.5</v>
          </cell>
          <cell r="R325">
            <v>45810000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1200000</v>
          </cell>
          <cell r="X325">
            <v>17600430</v>
          </cell>
          <cell r="Y325">
            <v>-586200</v>
          </cell>
          <cell r="Z325">
            <v>444520</v>
          </cell>
          <cell r="AA325">
            <v>0</v>
          </cell>
          <cell r="AB325">
            <v>64468750</v>
          </cell>
          <cell r="AC325">
            <v>45810000</v>
          </cell>
          <cell r="AD325">
            <v>17458750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K325">
            <v>1200000</v>
          </cell>
          <cell r="AL325">
            <v>64468750</v>
          </cell>
          <cell r="AM325">
            <v>325</v>
          </cell>
        </row>
        <row r="326">
          <cell r="A326" t="str">
            <v>송근정</v>
          </cell>
          <cell r="B326">
            <v>9133264</v>
          </cell>
          <cell r="C326" t="str">
            <v>1034247</v>
          </cell>
          <cell r="D326" t="str">
            <v>동부사업단</v>
          </cell>
          <cell r="E326" t="str">
            <v>구포지점</v>
          </cell>
          <cell r="F326" t="str">
            <v>지점선임</v>
          </cell>
          <cell r="G326" t="str">
            <v>대리</v>
          </cell>
          <cell r="H326" t="str">
            <v>22</v>
          </cell>
          <cell r="I326" t="str">
            <v>03</v>
          </cell>
          <cell r="J326">
            <v>2203</v>
          </cell>
          <cell r="K326" t="str">
            <v>일반직</v>
          </cell>
          <cell r="L326" t="str">
            <v>G2</v>
          </cell>
          <cell r="M326" t="str">
            <v>B</v>
          </cell>
          <cell r="N326">
            <v>39333000</v>
          </cell>
          <cell r="O326">
            <v>1200000</v>
          </cell>
          <cell r="P326">
            <v>9179940</v>
          </cell>
          <cell r="Q326">
            <v>1</v>
          </cell>
          <cell r="R326">
            <v>39333000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1200000</v>
          </cell>
          <cell r="X326">
            <v>9179940</v>
          </cell>
          <cell r="Y326">
            <v>0</v>
          </cell>
          <cell r="Z326">
            <v>0</v>
          </cell>
          <cell r="AA326">
            <v>0</v>
          </cell>
          <cell r="AB326">
            <v>49712940</v>
          </cell>
          <cell r="AC326">
            <v>39333000</v>
          </cell>
          <cell r="AD326">
            <v>9179940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K326">
            <v>1200000</v>
          </cell>
          <cell r="AL326">
            <v>49712940</v>
          </cell>
          <cell r="AM326">
            <v>326</v>
          </cell>
        </row>
        <row r="327">
          <cell r="A327" t="str">
            <v>신현철</v>
          </cell>
          <cell r="B327">
            <v>9134864</v>
          </cell>
          <cell r="C327" t="str">
            <v>1034280</v>
          </cell>
          <cell r="D327" t="str">
            <v>동부사업단</v>
          </cell>
          <cell r="E327" t="str">
            <v>굿모닝지점</v>
          </cell>
          <cell r="F327" t="str">
            <v>지점선임</v>
          </cell>
          <cell r="G327" t="str">
            <v>과장</v>
          </cell>
          <cell r="H327" t="str">
            <v>22</v>
          </cell>
          <cell r="I327" t="str">
            <v>04</v>
          </cell>
          <cell r="J327">
            <v>2204</v>
          </cell>
          <cell r="K327" t="str">
            <v>일반직</v>
          </cell>
          <cell r="L327" t="str">
            <v>G2</v>
          </cell>
          <cell r="M327" t="str">
            <v>B</v>
          </cell>
          <cell r="N327">
            <v>39486000</v>
          </cell>
          <cell r="O327">
            <v>1200000</v>
          </cell>
          <cell r="P327">
            <v>8751750</v>
          </cell>
          <cell r="Q327">
            <v>1</v>
          </cell>
          <cell r="R327">
            <v>39486000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1200000</v>
          </cell>
          <cell r="X327">
            <v>8751750</v>
          </cell>
          <cell r="Y327">
            <v>0</v>
          </cell>
          <cell r="Z327">
            <v>0</v>
          </cell>
          <cell r="AA327">
            <v>0</v>
          </cell>
          <cell r="AB327">
            <v>49437750</v>
          </cell>
          <cell r="AC327">
            <v>39486000</v>
          </cell>
          <cell r="AD327">
            <v>8751750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K327">
            <v>1200000</v>
          </cell>
          <cell r="AL327">
            <v>49437750</v>
          </cell>
          <cell r="AM327">
            <v>327</v>
          </cell>
        </row>
        <row r="328">
          <cell r="A328" t="str">
            <v>서무성</v>
          </cell>
          <cell r="B328">
            <v>9132110</v>
          </cell>
          <cell r="C328" t="str">
            <v>1034291</v>
          </cell>
          <cell r="D328" t="str">
            <v>동부사업단</v>
          </cell>
          <cell r="E328" t="str">
            <v>액티언지점</v>
          </cell>
          <cell r="F328" t="str">
            <v>부지점장</v>
          </cell>
          <cell r="G328" t="str">
            <v>차장</v>
          </cell>
          <cell r="H328" t="str">
            <v>21</v>
          </cell>
          <cell r="I328" t="str">
            <v>01</v>
          </cell>
          <cell r="J328">
            <v>2101</v>
          </cell>
          <cell r="K328" t="str">
            <v>일반직</v>
          </cell>
          <cell r="L328" t="str">
            <v>G1</v>
          </cell>
          <cell r="M328" t="str">
            <v>B</v>
          </cell>
          <cell r="N328">
            <v>45930000</v>
          </cell>
          <cell r="O328">
            <v>1200000</v>
          </cell>
          <cell r="P328">
            <v>11875920</v>
          </cell>
          <cell r="Q328">
            <v>1</v>
          </cell>
          <cell r="R328">
            <v>45930000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1200000</v>
          </cell>
          <cell r="X328">
            <v>11875920</v>
          </cell>
          <cell r="Y328">
            <v>-586200</v>
          </cell>
          <cell r="Z328">
            <v>0</v>
          </cell>
          <cell r="AA328">
            <v>0</v>
          </cell>
          <cell r="AB328">
            <v>58419720</v>
          </cell>
          <cell r="AC328">
            <v>45930000</v>
          </cell>
          <cell r="AD328">
            <v>11289720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K328">
            <v>1200000</v>
          </cell>
          <cell r="AL328">
            <v>58419720</v>
          </cell>
          <cell r="AM328">
            <v>328</v>
          </cell>
        </row>
        <row r="329">
          <cell r="A329" t="str">
            <v>김기영</v>
          </cell>
          <cell r="B329">
            <v>9131598</v>
          </cell>
          <cell r="C329" t="str">
            <v>1034293</v>
          </cell>
          <cell r="D329" t="str">
            <v>동부사업단</v>
          </cell>
          <cell r="E329" t="str">
            <v>에이스지점</v>
          </cell>
          <cell r="F329" t="str">
            <v>지점선임</v>
          </cell>
          <cell r="G329" t="str">
            <v>대리</v>
          </cell>
          <cell r="H329" t="str">
            <v>31</v>
          </cell>
          <cell r="I329" t="str">
            <v>03</v>
          </cell>
          <cell r="J329">
            <v>3103</v>
          </cell>
          <cell r="K329" t="str">
            <v>사무직</v>
          </cell>
          <cell r="L329" t="str">
            <v>G3</v>
          </cell>
          <cell r="M329" t="str">
            <v>B</v>
          </cell>
          <cell r="N329">
            <v>37732560</v>
          </cell>
          <cell r="O329">
            <v>1200000</v>
          </cell>
          <cell r="P329">
            <v>6182000</v>
          </cell>
          <cell r="Q329">
            <v>1</v>
          </cell>
          <cell r="R329">
            <v>37732560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1200000</v>
          </cell>
          <cell r="X329">
            <v>6182000</v>
          </cell>
          <cell r="Y329">
            <v>0</v>
          </cell>
          <cell r="Z329">
            <v>0</v>
          </cell>
          <cell r="AA329">
            <v>0</v>
          </cell>
          <cell r="AB329">
            <v>45114560</v>
          </cell>
          <cell r="AC329">
            <v>37732560</v>
          </cell>
          <cell r="AD329">
            <v>6182000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K329">
            <v>1200000</v>
          </cell>
          <cell r="AL329">
            <v>45114560</v>
          </cell>
          <cell r="AM329">
            <v>329</v>
          </cell>
        </row>
        <row r="330">
          <cell r="A330" t="str">
            <v>이성문</v>
          </cell>
          <cell r="B330">
            <v>9133027</v>
          </cell>
          <cell r="C330" t="str">
            <v>1034294</v>
          </cell>
          <cell r="D330" t="str">
            <v>동부사업단</v>
          </cell>
          <cell r="E330" t="str">
            <v>드림지점</v>
          </cell>
          <cell r="F330" t="str">
            <v>지점선임</v>
          </cell>
          <cell r="G330" t="str">
            <v>과장</v>
          </cell>
          <cell r="H330" t="str">
            <v>22</v>
          </cell>
          <cell r="I330" t="str">
            <v>04</v>
          </cell>
          <cell r="J330">
            <v>2204</v>
          </cell>
          <cell r="K330" t="str">
            <v>일반직</v>
          </cell>
          <cell r="L330" t="str">
            <v>G2</v>
          </cell>
          <cell r="M330" t="str">
            <v>B</v>
          </cell>
          <cell r="N330">
            <v>39606000</v>
          </cell>
          <cell r="O330">
            <v>1200000</v>
          </cell>
          <cell r="P330">
            <v>9370110</v>
          </cell>
          <cell r="Q330">
            <v>1</v>
          </cell>
          <cell r="R330">
            <v>39606000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1200000</v>
          </cell>
          <cell r="X330">
            <v>9370110</v>
          </cell>
          <cell r="Y330">
            <v>0</v>
          </cell>
          <cell r="Z330">
            <v>0</v>
          </cell>
          <cell r="AA330">
            <v>0</v>
          </cell>
          <cell r="AB330">
            <v>50176110</v>
          </cell>
          <cell r="AC330">
            <v>39606000</v>
          </cell>
          <cell r="AD330">
            <v>9370110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K330">
            <v>1200000</v>
          </cell>
          <cell r="AL330">
            <v>50176110</v>
          </cell>
          <cell r="AM330">
            <v>330</v>
          </cell>
        </row>
        <row r="331">
          <cell r="A331" t="str">
            <v>오현범</v>
          </cell>
          <cell r="B331">
            <v>9132071</v>
          </cell>
          <cell r="C331" t="str">
            <v>1034402</v>
          </cell>
          <cell r="D331" t="str">
            <v>동부사업단</v>
          </cell>
          <cell r="E331" t="str">
            <v>의성지사</v>
          </cell>
          <cell r="F331" t="str">
            <v>매니저</v>
          </cell>
          <cell r="G331" t="str">
            <v>차장</v>
          </cell>
          <cell r="H331" t="str">
            <v>21</v>
          </cell>
          <cell r="I331" t="str">
            <v>01</v>
          </cell>
          <cell r="J331">
            <v>2101</v>
          </cell>
          <cell r="K331" t="str">
            <v>일반직</v>
          </cell>
          <cell r="L331" t="str">
            <v>G1</v>
          </cell>
          <cell r="M331" t="str">
            <v>B</v>
          </cell>
          <cell r="N331">
            <v>45930000</v>
          </cell>
          <cell r="O331">
            <v>1200000</v>
          </cell>
          <cell r="P331">
            <v>11875920</v>
          </cell>
          <cell r="Q331">
            <v>1</v>
          </cell>
          <cell r="R331">
            <v>45930000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1200000</v>
          </cell>
          <cell r="X331">
            <v>11875920</v>
          </cell>
          <cell r="Y331">
            <v>-586200</v>
          </cell>
          <cell r="Z331">
            <v>0</v>
          </cell>
          <cell r="AA331">
            <v>0</v>
          </cell>
          <cell r="AB331">
            <v>58419720</v>
          </cell>
          <cell r="AC331">
            <v>45930000</v>
          </cell>
          <cell r="AD331">
            <v>11289720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K331">
            <v>1200000</v>
          </cell>
          <cell r="AL331">
            <v>58419720</v>
          </cell>
          <cell r="AM331">
            <v>331</v>
          </cell>
        </row>
        <row r="332">
          <cell r="A332" t="str">
            <v>안종달</v>
          </cell>
          <cell r="B332">
            <v>9132535</v>
          </cell>
          <cell r="C332" t="str">
            <v>1034403</v>
          </cell>
          <cell r="D332" t="str">
            <v>동부사업단</v>
          </cell>
          <cell r="E332" t="str">
            <v>김천지사</v>
          </cell>
          <cell r="F332" t="str">
            <v>매니저</v>
          </cell>
          <cell r="G332" t="str">
            <v>과장</v>
          </cell>
          <cell r="H332" t="str">
            <v>22</v>
          </cell>
          <cell r="I332" t="str">
            <v>04</v>
          </cell>
          <cell r="J332">
            <v>2204</v>
          </cell>
          <cell r="K332" t="str">
            <v>일반직</v>
          </cell>
          <cell r="L332" t="str">
            <v>G2</v>
          </cell>
          <cell r="M332" t="str">
            <v>B</v>
          </cell>
          <cell r="N332">
            <v>39606000</v>
          </cell>
          <cell r="O332">
            <v>1200000</v>
          </cell>
          <cell r="P332">
            <v>9493780</v>
          </cell>
          <cell r="Q332">
            <v>1</v>
          </cell>
          <cell r="R332">
            <v>39606000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1200000</v>
          </cell>
          <cell r="X332">
            <v>9493780</v>
          </cell>
          <cell r="Y332">
            <v>0</v>
          </cell>
          <cell r="Z332">
            <v>0</v>
          </cell>
          <cell r="AA332">
            <v>0</v>
          </cell>
          <cell r="AB332">
            <v>50299780</v>
          </cell>
          <cell r="AC332">
            <v>39606000</v>
          </cell>
          <cell r="AD332">
            <v>9493780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K332">
            <v>1200000</v>
          </cell>
          <cell r="AL332">
            <v>50299780</v>
          </cell>
          <cell r="AM332">
            <v>332</v>
          </cell>
        </row>
        <row r="333">
          <cell r="A333" t="str">
            <v>김영준</v>
          </cell>
          <cell r="B333">
            <v>9134767</v>
          </cell>
          <cell r="C333" t="str">
            <v>1034409</v>
          </cell>
          <cell r="D333" t="str">
            <v>동부사업단</v>
          </cell>
          <cell r="E333" t="str">
            <v>청송지사</v>
          </cell>
          <cell r="F333" t="str">
            <v>매니저</v>
          </cell>
          <cell r="G333" t="str">
            <v>대리</v>
          </cell>
          <cell r="H333" t="str">
            <v>22</v>
          </cell>
          <cell r="I333" t="str">
            <v>03</v>
          </cell>
          <cell r="J333">
            <v>2203</v>
          </cell>
          <cell r="K333" t="str">
            <v>일반직</v>
          </cell>
          <cell r="L333" t="str">
            <v>G2</v>
          </cell>
          <cell r="M333" t="str">
            <v>B</v>
          </cell>
          <cell r="N333">
            <v>39213000</v>
          </cell>
          <cell r="O333">
            <v>1200000</v>
          </cell>
          <cell r="P333">
            <v>8688660</v>
          </cell>
          <cell r="Q333">
            <v>1</v>
          </cell>
          <cell r="R333">
            <v>39213000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1200000</v>
          </cell>
          <cell r="X333">
            <v>8688660</v>
          </cell>
          <cell r="Y333">
            <v>0</v>
          </cell>
          <cell r="Z333">
            <v>0</v>
          </cell>
          <cell r="AA333">
            <v>0</v>
          </cell>
          <cell r="AB333">
            <v>49101660</v>
          </cell>
          <cell r="AC333">
            <v>39213000</v>
          </cell>
          <cell r="AD333">
            <v>8688660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K333">
            <v>1200000</v>
          </cell>
          <cell r="AL333">
            <v>49101660</v>
          </cell>
          <cell r="AM333">
            <v>333</v>
          </cell>
        </row>
        <row r="334">
          <cell r="A334" t="str">
            <v>노환수</v>
          </cell>
          <cell r="B334">
            <v>9134171</v>
          </cell>
          <cell r="C334" t="str">
            <v>1034410</v>
          </cell>
          <cell r="D334" t="str">
            <v>동부사업단</v>
          </cell>
          <cell r="E334" t="str">
            <v>거창지사</v>
          </cell>
          <cell r="F334" t="str">
            <v>매니저</v>
          </cell>
          <cell r="G334" t="str">
            <v>대리</v>
          </cell>
          <cell r="H334" t="str">
            <v>22</v>
          </cell>
          <cell r="I334" t="str">
            <v>03</v>
          </cell>
          <cell r="J334">
            <v>2203</v>
          </cell>
          <cell r="K334" t="str">
            <v>일반직</v>
          </cell>
          <cell r="L334" t="str">
            <v>G2</v>
          </cell>
          <cell r="M334" t="str">
            <v>B</v>
          </cell>
          <cell r="N334">
            <v>39333000</v>
          </cell>
          <cell r="O334">
            <v>1200000</v>
          </cell>
          <cell r="P334">
            <v>8934300</v>
          </cell>
          <cell r="Q334">
            <v>1</v>
          </cell>
          <cell r="R334">
            <v>39333000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1200000</v>
          </cell>
          <cell r="X334">
            <v>8934300</v>
          </cell>
          <cell r="Y334">
            <v>0</v>
          </cell>
          <cell r="Z334">
            <v>0</v>
          </cell>
          <cell r="AA334">
            <v>0</v>
          </cell>
          <cell r="AB334">
            <v>49467300</v>
          </cell>
          <cell r="AC334">
            <v>39333000</v>
          </cell>
          <cell r="AD334">
            <v>8934300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K334">
            <v>1200000</v>
          </cell>
          <cell r="AL334">
            <v>49467300</v>
          </cell>
          <cell r="AM334">
            <v>334</v>
          </cell>
        </row>
        <row r="335">
          <cell r="A335" t="str">
            <v>윤현주</v>
          </cell>
          <cell r="B335">
            <v>9134341</v>
          </cell>
          <cell r="C335" t="str">
            <v>1050105</v>
          </cell>
          <cell r="D335" t="str">
            <v>서부사업단</v>
          </cell>
          <cell r="E335" t="str">
            <v>서부사업단</v>
          </cell>
          <cell r="F335" t="str">
            <v>지급지원</v>
          </cell>
          <cell r="G335" t="str">
            <v>사원</v>
          </cell>
          <cell r="H335" t="str">
            <v>42</v>
          </cell>
          <cell r="I335" t="str">
            <v>13</v>
          </cell>
          <cell r="J335">
            <v>4213</v>
          </cell>
          <cell r="K335" t="str">
            <v>사무직</v>
          </cell>
          <cell r="L335" t="str">
            <v>G3</v>
          </cell>
          <cell r="M335" t="str">
            <v>A</v>
          </cell>
          <cell r="N335">
            <v>24924120</v>
          </cell>
          <cell r="O335">
            <v>1440000</v>
          </cell>
          <cell r="P335">
            <v>4040000</v>
          </cell>
          <cell r="Q335">
            <v>1.5</v>
          </cell>
          <cell r="R335">
            <v>24924120</v>
          </cell>
          <cell r="S335">
            <v>5000000</v>
          </cell>
          <cell r="T335">
            <v>0</v>
          </cell>
          <cell r="U335">
            <v>0</v>
          </cell>
          <cell r="V335">
            <v>0</v>
          </cell>
          <cell r="W335">
            <v>1440000</v>
          </cell>
          <cell r="X335">
            <v>6060000</v>
          </cell>
          <cell r="Y335">
            <v>0</v>
          </cell>
          <cell r="Z335">
            <v>0</v>
          </cell>
          <cell r="AA335">
            <v>0</v>
          </cell>
          <cell r="AB335">
            <v>37424120</v>
          </cell>
          <cell r="AC335">
            <v>24924120</v>
          </cell>
          <cell r="AD335">
            <v>6060000</v>
          </cell>
          <cell r="AE335">
            <v>5000000</v>
          </cell>
          <cell r="AF335">
            <v>240000</v>
          </cell>
          <cell r="AG335">
            <v>0</v>
          </cell>
          <cell r="AH335">
            <v>0</v>
          </cell>
          <cell r="AI335">
            <v>240000</v>
          </cell>
          <cell r="AJ335">
            <v>0</v>
          </cell>
          <cell r="AK335">
            <v>1200000</v>
          </cell>
          <cell r="AL335">
            <v>37424120</v>
          </cell>
          <cell r="AM335">
            <v>335</v>
          </cell>
        </row>
        <row r="336">
          <cell r="A336" t="str">
            <v>이현아</v>
          </cell>
          <cell r="B336">
            <v>9132241</v>
          </cell>
          <cell r="C336" t="str">
            <v>1050105</v>
          </cell>
          <cell r="D336" t="str">
            <v>서부사업단</v>
          </cell>
          <cell r="E336" t="str">
            <v>서부사업단</v>
          </cell>
          <cell r="F336" t="str">
            <v>업무지원</v>
          </cell>
          <cell r="G336" t="str">
            <v>주임</v>
          </cell>
          <cell r="H336" t="str">
            <v>41</v>
          </cell>
          <cell r="I336" t="str">
            <v>14</v>
          </cell>
          <cell r="J336">
            <v>4114</v>
          </cell>
          <cell r="K336" t="str">
            <v>사무직</v>
          </cell>
          <cell r="L336" t="str">
            <v>G3</v>
          </cell>
          <cell r="M336" t="str">
            <v>B</v>
          </cell>
          <cell r="N336">
            <v>32070590</v>
          </cell>
          <cell r="O336">
            <v>1200000</v>
          </cell>
          <cell r="P336">
            <v>5186000</v>
          </cell>
          <cell r="Q336">
            <v>1</v>
          </cell>
          <cell r="R336">
            <v>32070590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1200000</v>
          </cell>
          <cell r="X336">
            <v>5186000</v>
          </cell>
          <cell r="Y336">
            <v>0</v>
          </cell>
          <cell r="Z336">
            <v>0</v>
          </cell>
          <cell r="AA336">
            <v>0</v>
          </cell>
          <cell r="AB336">
            <v>38456590</v>
          </cell>
          <cell r="AC336">
            <v>32070590</v>
          </cell>
          <cell r="AD336">
            <v>5186000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K336">
            <v>1200000</v>
          </cell>
          <cell r="AL336">
            <v>38456590</v>
          </cell>
          <cell r="AM336">
            <v>336</v>
          </cell>
        </row>
        <row r="337">
          <cell r="A337" t="str">
            <v>이순영</v>
          </cell>
          <cell r="B337">
            <v>9133477</v>
          </cell>
          <cell r="C337" t="str">
            <v>1050105</v>
          </cell>
          <cell r="D337" t="str">
            <v>서부사업단</v>
          </cell>
          <cell r="E337" t="str">
            <v>서부사업단</v>
          </cell>
          <cell r="F337" t="str">
            <v>마케팅지원</v>
          </cell>
          <cell r="G337" t="str">
            <v>주임</v>
          </cell>
          <cell r="H337" t="str">
            <v>41</v>
          </cell>
          <cell r="I337" t="str">
            <v>11</v>
          </cell>
          <cell r="J337">
            <v>4111</v>
          </cell>
          <cell r="K337" t="str">
            <v>사무직</v>
          </cell>
          <cell r="L337" t="str">
            <v>G3</v>
          </cell>
          <cell r="M337" t="str">
            <v>S</v>
          </cell>
          <cell r="N337">
            <v>31456280</v>
          </cell>
          <cell r="O337">
            <v>1200000</v>
          </cell>
          <cell r="P337">
            <v>5126000</v>
          </cell>
          <cell r="Q337">
            <v>2</v>
          </cell>
          <cell r="R337">
            <v>31456280</v>
          </cell>
          <cell r="S337">
            <v>5000000</v>
          </cell>
          <cell r="T337">
            <v>0</v>
          </cell>
          <cell r="U337">
            <v>0</v>
          </cell>
          <cell r="V337">
            <v>0</v>
          </cell>
          <cell r="W337">
            <v>1200000</v>
          </cell>
          <cell r="X337">
            <v>10252000</v>
          </cell>
          <cell r="Y337">
            <v>0</v>
          </cell>
          <cell r="Z337">
            <v>0</v>
          </cell>
          <cell r="AA337">
            <v>-1000000</v>
          </cell>
          <cell r="AB337">
            <v>46908280</v>
          </cell>
          <cell r="AC337">
            <v>31456280</v>
          </cell>
          <cell r="AD337">
            <v>9252000</v>
          </cell>
          <cell r="AE337">
            <v>5000000</v>
          </cell>
          <cell r="AF337">
            <v>0</v>
          </cell>
          <cell r="AG337">
            <v>0</v>
          </cell>
          <cell r="AH337">
            <v>0</v>
          </cell>
          <cell r="AK337">
            <v>1200000</v>
          </cell>
          <cell r="AL337">
            <v>46908280</v>
          </cell>
          <cell r="AM337">
            <v>337</v>
          </cell>
        </row>
        <row r="338">
          <cell r="A338" t="str">
            <v>윤석자</v>
          </cell>
          <cell r="B338">
            <v>9133353</v>
          </cell>
          <cell r="C338" t="str">
            <v>1050105</v>
          </cell>
          <cell r="D338" t="str">
            <v>서부사업단</v>
          </cell>
          <cell r="E338" t="str">
            <v>서부사업단</v>
          </cell>
          <cell r="F338" t="str">
            <v>업무지원</v>
          </cell>
          <cell r="G338" t="str">
            <v>주임</v>
          </cell>
          <cell r="H338" t="str">
            <v>41</v>
          </cell>
          <cell r="I338" t="str">
            <v>11</v>
          </cell>
          <cell r="J338">
            <v>4111</v>
          </cell>
          <cell r="K338" t="str">
            <v>사무직</v>
          </cell>
          <cell r="L338" t="str">
            <v>G3</v>
          </cell>
          <cell r="M338" t="str">
            <v>B</v>
          </cell>
          <cell r="N338">
            <v>31456280</v>
          </cell>
          <cell r="O338">
            <v>1200000</v>
          </cell>
          <cell r="P338">
            <v>5126000</v>
          </cell>
          <cell r="Q338">
            <v>1</v>
          </cell>
          <cell r="R338">
            <v>31456280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1200000</v>
          </cell>
          <cell r="X338">
            <v>5126000</v>
          </cell>
          <cell r="Y338">
            <v>0</v>
          </cell>
          <cell r="Z338">
            <v>0</v>
          </cell>
          <cell r="AA338">
            <v>0</v>
          </cell>
          <cell r="AB338">
            <v>37782280</v>
          </cell>
          <cell r="AC338">
            <v>31456280</v>
          </cell>
          <cell r="AD338">
            <v>5126000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K338">
            <v>1200000</v>
          </cell>
          <cell r="AL338">
            <v>37782280</v>
          </cell>
          <cell r="AM338">
            <v>338</v>
          </cell>
        </row>
        <row r="339">
          <cell r="A339" t="str">
            <v>조진희</v>
          </cell>
          <cell r="B339">
            <v>9133396</v>
          </cell>
          <cell r="C339" t="str">
            <v>1050105</v>
          </cell>
          <cell r="D339" t="str">
            <v>서부사업단</v>
          </cell>
          <cell r="E339" t="str">
            <v>서부사업단</v>
          </cell>
          <cell r="F339" t="str">
            <v>업무지원</v>
          </cell>
          <cell r="G339" t="str">
            <v>주임</v>
          </cell>
          <cell r="H339" t="str">
            <v>41</v>
          </cell>
          <cell r="I339" t="str">
            <v>10</v>
          </cell>
          <cell r="J339">
            <v>4110</v>
          </cell>
          <cell r="K339" t="str">
            <v>사무직</v>
          </cell>
          <cell r="L339" t="str">
            <v>G3</v>
          </cell>
          <cell r="M339" t="str">
            <v>S</v>
          </cell>
          <cell r="N339">
            <v>31139940</v>
          </cell>
          <cell r="O339">
            <v>1440000</v>
          </cell>
          <cell r="P339">
            <v>5086000</v>
          </cell>
          <cell r="Q339">
            <v>2</v>
          </cell>
          <cell r="R339">
            <v>31139940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1440000</v>
          </cell>
          <cell r="X339">
            <v>10172000</v>
          </cell>
          <cell r="Y339">
            <v>0</v>
          </cell>
          <cell r="Z339">
            <v>0</v>
          </cell>
          <cell r="AA339">
            <v>-1000000</v>
          </cell>
          <cell r="AB339">
            <v>41751940</v>
          </cell>
          <cell r="AC339">
            <v>31139940</v>
          </cell>
          <cell r="AD339">
            <v>9172000</v>
          </cell>
          <cell r="AE339">
            <v>0</v>
          </cell>
          <cell r="AF339">
            <v>240000</v>
          </cell>
          <cell r="AG339">
            <v>0</v>
          </cell>
          <cell r="AH339">
            <v>0</v>
          </cell>
          <cell r="AI339">
            <v>240000</v>
          </cell>
          <cell r="AJ339">
            <v>0</v>
          </cell>
          <cell r="AK339">
            <v>1200000</v>
          </cell>
          <cell r="AL339">
            <v>41751940</v>
          </cell>
          <cell r="AM339">
            <v>339</v>
          </cell>
        </row>
        <row r="340">
          <cell r="A340" t="str">
            <v>김정훈</v>
          </cell>
          <cell r="B340">
            <v>9134325</v>
          </cell>
          <cell r="C340" t="str">
            <v>1050105</v>
          </cell>
          <cell r="D340" t="str">
            <v>서부사업단</v>
          </cell>
          <cell r="E340" t="str">
            <v>서부사업단</v>
          </cell>
          <cell r="F340" t="str">
            <v>지급지원</v>
          </cell>
          <cell r="G340" t="str">
            <v>사원</v>
          </cell>
          <cell r="H340" t="str">
            <v>41</v>
          </cell>
          <cell r="I340" t="str">
            <v>09</v>
          </cell>
          <cell r="J340">
            <v>4109</v>
          </cell>
          <cell r="K340" t="str">
            <v>사무직</v>
          </cell>
          <cell r="L340" t="str">
            <v>G3</v>
          </cell>
          <cell r="M340" t="str">
            <v>B</v>
          </cell>
          <cell r="N340">
            <v>30479840</v>
          </cell>
          <cell r="O340">
            <v>1200000</v>
          </cell>
          <cell r="P340">
            <v>5006000</v>
          </cell>
          <cell r="Q340">
            <v>1</v>
          </cell>
          <cell r="R340">
            <v>30479840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1200000</v>
          </cell>
          <cell r="X340">
            <v>5006000</v>
          </cell>
          <cell r="Y340">
            <v>0</v>
          </cell>
          <cell r="Z340">
            <v>0</v>
          </cell>
          <cell r="AA340">
            <v>0</v>
          </cell>
          <cell r="AB340">
            <v>36685840</v>
          </cell>
          <cell r="AC340">
            <v>30479840</v>
          </cell>
          <cell r="AD340">
            <v>5006000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K340">
            <v>1200000</v>
          </cell>
          <cell r="AL340">
            <v>36685840</v>
          </cell>
          <cell r="AM340">
            <v>340</v>
          </cell>
        </row>
        <row r="341">
          <cell r="A341" t="str">
            <v>배민정</v>
          </cell>
          <cell r="B341">
            <v>9134295</v>
          </cell>
          <cell r="C341" t="str">
            <v>1050105</v>
          </cell>
          <cell r="D341" t="str">
            <v>서부사업단</v>
          </cell>
          <cell r="E341" t="str">
            <v>서부사업단</v>
          </cell>
          <cell r="F341" t="str">
            <v>업무지원</v>
          </cell>
          <cell r="G341" t="str">
            <v>사원</v>
          </cell>
          <cell r="H341" t="str">
            <v>41</v>
          </cell>
          <cell r="I341" t="str">
            <v>09</v>
          </cell>
          <cell r="J341">
            <v>4109</v>
          </cell>
          <cell r="K341" t="str">
            <v>사무직</v>
          </cell>
          <cell r="L341" t="str">
            <v>G3</v>
          </cell>
          <cell r="M341" t="str">
            <v>C</v>
          </cell>
          <cell r="N341">
            <v>30599840</v>
          </cell>
          <cell r="O341">
            <v>1200000</v>
          </cell>
          <cell r="P341">
            <v>5006000</v>
          </cell>
          <cell r="Q341">
            <v>0.5</v>
          </cell>
          <cell r="R341">
            <v>30599840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1200000</v>
          </cell>
          <cell r="X341">
            <v>2503000</v>
          </cell>
          <cell r="Y341">
            <v>0</v>
          </cell>
          <cell r="Z341">
            <v>0</v>
          </cell>
          <cell r="AA341">
            <v>0</v>
          </cell>
          <cell r="AB341">
            <v>34302840</v>
          </cell>
          <cell r="AC341">
            <v>30599840</v>
          </cell>
          <cell r="AD341">
            <v>2503000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K341">
            <v>1200000</v>
          </cell>
          <cell r="AL341">
            <v>34302840</v>
          </cell>
          <cell r="AM341">
            <v>341</v>
          </cell>
        </row>
        <row r="342">
          <cell r="A342" t="str">
            <v>김현숙</v>
          </cell>
          <cell r="B342">
            <v>9134546</v>
          </cell>
          <cell r="C342" t="str">
            <v>1050105</v>
          </cell>
          <cell r="D342" t="str">
            <v>서부사업단</v>
          </cell>
          <cell r="E342" t="str">
            <v>서부사업단</v>
          </cell>
          <cell r="F342" t="str">
            <v>업무지원</v>
          </cell>
          <cell r="G342" t="str">
            <v>사원</v>
          </cell>
          <cell r="H342" t="str">
            <v>41</v>
          </cell>
          <cell r="I342" t="str">
            <v>08</v>
          </cell>
          <cell r="J342">
            <v>4108</v>
          </cell>
          <cell r="K342" t="str">
            <v>사무직</v>
          </cell>
          <cell r="L342" t="str">
            <v>G3</v>
          </cell>
          <cell r="M342" t="str">
            <v>D</v>
          </cell>
          <cell r="N342">
            <v>29942370</v>
          </cell>
          <cell r="O342">
            <v>1200000</v>
          </cell>
          <cell r="P342">
            <v>4926000</v>
          </cell>
          <cell r="Q342">
            <v>0</v>
          </cell>
          <cell r="R342">
            <v>29942370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1200000</v>
          </cell>
          <cell r="X342">
            <v>0</v>
          </cell>
          <cell r="Y342">
            <v>0</v>
          </cell>
          <cell r="Z342">
            <v>0</v>
          </cell>
          <cell r="AA342">
            <v>1000000</v>
          </cell>
          <cell r="AB342">
            <v>32142370</v>
          </cell>
          <cell r="AC342">
            <v>29942370</v>
          </cell>
          <cell r="AD342">
            <v>1000000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K342">
            <v>1200000</v>
          </cell>
          <cell r="AL342">
            <v>32142370</v>
          </cell>
          <cell r="AM342">
            <v>342</v>
          </cell>
        </row>
        <row r="343">
          <cell r="A343" t="str">
            <v>이경미</v>
          </cell>
          <cell r="B343">
            <v>9132233</v>
          </cell>
          <cell r="C343" t="str">
            <v>1050105</v>
          </cell>
          <cell r="D343" t="str">
            <v>서부사업단</v>
          </cell>
          <cell r="E343" t="str">
            <v>서부사업단</v>
          </cell>
          <cell r="F343" t="str">
            <v>업무지원</v>
          </cell>
          <cell r="G343" t="str">
            <v>대리</v>
          </cell>
          <cell r="H343" t="str">
            <v>31</v>
          </cell>
          <cell r="I343" t="str">
            <v>03</v>
          </cell>
          <cell r="J343">
            <v>3103</v>
          </cell>
          <cell r="K343" t="str">
            <v>사무직</v>
          </cell>
          <cell r="L343" t="str">
            <v>G3</v>
          </cell>
          <cell r="M343" t="str">
            <v>A</v>
          </cell>
          <cell r="N343">
            <v>37396760</v>
          </cell>
          <cell r="O343">
            <v>1200000</v>
          </cell>
          <cell r="P343">
            <v>6182000</v>
          </cell>
          <cell r="Q343">
            <v>1.5</v>
          </cell>
          <cell r="R343">
            <v>37396760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1200000</v>
          </cell>
          <cell r="X343">
            <v>9273000</v>
          </cell>
          <cell r="Y343">
            <v>0</v>
          </cell>
          <cell r="Z343">
            <v>0</v>
          </cell>
          <cell r="AA343">
            <v>0</v>
          </cell>
          <cell r="AB343">
            <v>47869760</v>
          </cell>
          <cell r="AC343">
            <v>37396760</v>
          </cell>
          <cell r="AD343">
            <v>9273000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K343">
            <v>1200000</v>
          </cell>
          <cell r="AL343">
            <v>47869760</v>
          </cell>
          <cell r="AM343">
            <v>343</v>
          </cell>
        </row>
        <row r="344">
          <cell r="A344" t="str">
            <v>유미영</v>
          </cell>
          <cell r="B344">
            <v>9131601</v>
          </cell>
          <cell r="C344" t="str">
            <v>1050105</v>
          </cell>
          <cell r="D344" t="str">
            <v>서부사업단</v>
          </cell>
          <cell r="E344" t="str">
            <v>서부사업단</v>
          </cell>
          <cell r="F344" t="str">
            <v>교육지원</v>
          </cell>
          <cell r="G344" t="str">
            <v>대리</v>
          </cell>
          <cell r="H344" t="str">
            <v>31</v>
          </cell>
          <cell r="I344" t="str">
            <v>02</v>
          </cell>
          <cell r="J344">
            <v>3102</v>
          </cell>
          <cell r="K344" t="str">
            <v>사무직</v>
          </cell>
          <cell r="L344" t="str">
            <v>G3</v>
          </cell>
          <cell r="M344" t="str">
            <v>B</v>
          </cell>
          <cell r="N344">
            <v>37456950</v>
          </cell>
          <cell r="O344">
            <v>1200000</v>
          </cell>
          <cell r="P344">
            <v>6134000</v>
          </cell>
          <cell r="Q344">
            <v>1</v>
          </cell>
          <cell r="R344">
            <v>37456950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1200000</v>
          </cell>
          <cell r="X344">
            <v>6134000</v>
          </cell>
          <cell r="Y344">
            <v>0</v>
          </cell>
          <cell r="Z344">
            <v>0</v>
          </cell>
          <cell r="AA344">
            <v>0</v>
          </cell>
          <cell r="AB344">
            <v>44790950</v>
          </cell>
          <cell r="AC344">
            <v>37456950</v>
          </cell>
          <cell r="AD344">
            <v>6134000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K344">
            <v>1200000</v>
          </cell>
          <cell r="AL344">
            <v>44790950</v>
          </cell>
          <cell r="AM344">
            <v>344</v>
          </cell>
        </row>
        <row r="345">
          <cell r="A345" t="str">
            <v>양미옥</v>
          </cell>
          <cell r="B345">
            <v>9131881</v>
          </cell>
          <cell r="C345" t="str">
            <v>1050105</v>
          </cell>
          <cell r="D345" t="str">
            <v>서부사업단</v>
          </cell>
          <cell r="E345" t="str">
            <v>서부사업단</v>
          </cell>
          <cell r="F345" t="str">
            <v>업무지원</v>
          </cell>
          <cell r="G345" t="str">
            <v>대리</v>
          </cell>
          <cell r="H345" t="str">
            <v>31</v>
          </cell>
          <cell r="I345" t="str">
            <v>02</v>
          </cell>
          <cell r="J345">
            <v>3102</v>
          </cell>
          <cell r="K345" t="str">
            <v>사무직</v>
          </cell>
          <cell r="L345" t="str">
            <v>G3</v>
          </cell>
          <cell r="M345" t="str">
            <v>B</v>
          </cell>
          <cell r="N345">
            <v>37349840</v>
          </cell>
          <cell r="O345">
            <v>1200000</v>
          </cell>
          <cell r="P345">
            <v>6134000</v>
          </cell>
          <cell r="Q345">
            <v>1</v>
          </cell>
          <cell r="R345">
            <v>37349840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1200000</v>
          </cell>
          <cell r="X345">
            <v>6134000</v>
          </cell>
          <cell r="Y345">
            <v>0</v>
          </cell>
          <cell r="Z345">
            <v>0</v>
          </cell>
          <cell r="AA345">
            <v>0</v>
          </cell>
          <cell r="AB345">
            <v>44683840</v>
          </cell>
          <cell r="AC345">
            <v>37349840</v>
          </cell>
          <cell r="AD345">
            <v>6134000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K345">
            <v>1200000</v>
          </cell>
          <cell r="AL345">
            <v>44683840</v>
          </cell>
          <cell r="AM345">
            <v>345</v>
          </cell>
        </row>
        <row r="346">
          <cell r="A346" t="str">
            <v>이선희</v>
          </cell>
          <cell r="B346">
            <v>9133051</v>
          </cell>
          <cell r="C346" t="str">
            <v>1050105</v>
          </cell>
          <cell r="D346" t="str">
            <v>서부사업단</v>
          </cell>
          <cell r="E346" t="str">
            <v>서부사업단</v>
          </cell>
          <cell r="F346" t="str">
            <v>업무지원</v>
          </cell>
          <cell r="G346" t="str">
            <v>주임</v>
          </cell>
          <cell r="H346" t="str">
            <v>31</v>
          </cell>
          <cell r="I346" t="str">
            <v>01</v>
          </cell>
          <cell r="J346">
            <v>3101</v>
          </cell>
          <cell r="K346" t="str">
            <v>사무직</v>
          </cell>
          <cell r="L346" t="str">
            <v>G3</v>
          </cell>
          <cell r="M346" t="str">
            <v>B</v>
          </cell>
          <cell r="N346">
            <v>36636040</v>
          </cell>
          <cell r="O346">
            <v>1200000</v>
          </cell>
          <cell r="P346">
            <v>6086000</v>
          </cell>
          <cell r="Q346">
            <v>1</v>
          </cell>
          <cell r="R346">
            <v>36636040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1200000</v>
          </cell>
          <cell r="X346">
            <v>6086000</v>
          </cell>
          <cell r="Y346">
            <v>0</v>
          </cell>
          <cell r="Z346">
            <v>0</v>
          </cell>
          <cell r="AA346">
            <v>0</v>
          </cell>
          <cell r="AB346">
            <v>43922040</v>
          </cell>
          <cell r="AC346">
            <v>36636040</v>
          </cell>
          <cell r="AD346">
            <v>6086000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K346">
            <v>1200000</v>
          </cell>
          <cell r="AL346">
            <v>43922040</v>
          </cell>
          <cell r="AM346">
            <v>346</v>
          </cell>
        </row>
        <row r="347">
          <cell r="A347" t="str">
            <v>김진희</v>
          </cell>
          <cell r="B347">
            <v>9133345</v>
          </cell>
          <cell r="C347" t="str">
            <v>1050105</v>
          </cell>
          <cell r="D347" t="str">
            <v>서부사업단</v>
          </cell>
          <cell r="E347" t="str">
            <v>서부사업단</v>
          </cell>
          <cell r="F347" t="str">
            <v>업무지원</v>
          </cell>
          <cell r="G347" t="str">
            <v>주임</v>
          </cell>
          <cell r="H347" t="str">
            <v>31</v>
          </cell>
          <cell r="I347" t="str">
            <v>01</v>
          </cell>
          <cell r="J347">
            <v>3101</v>
          </cell>
          <cell r="K347" t="str">
            <v>사무직</v>
          </cell>
          <cell r="L347" t="str">
            <v>G3</v>
          </cell>
          <cell r="M347" t="str">
            <v>B</v>
          </cell>
          <cell r="N347">
            <v>36529710</v>
          </cell>
          <cell r="O347">
            <v>1200000</v>
          </cell>
          <cell r="P347">
            <v>6086000</v>
          </cell>
          <cell r="Q347">
            <v>1</v>
          </cell>
          <cell r="R347">
            <v>36529710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1200000</v>
          </cell>
          <cell r="X347">
            <v>6086000</v>
          </cell>
          <cell r="Y347">
            <v>0</v>
          </cell>
          <cell r="Z347">
            <v>0</v>
          </cell>
          <cell r="AA347">
            <v>0</v>
          </cell>
          <cell r="AB347">
            <v>43815710</v>
          </cell>
          <cell r="AC347">
            <v>36529710</v>
          </cell>
          <cell r="AD347">
            <v>6086000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K347">
            <v>1200000</v>
          </cell>
          <cell r="AL347">
            <v>43815710</v>
          </cell>
          <cell r="AM347">
            <v>347</v>
          </cell>
        </row>
        <row r="348">
          <cell r="A348" t="str">
            <v>오태호</v>
          </cell>
          <cell r="B348">
            <v>9133744</v>
          </cell>
          <cell r="C348" t="str">
            <v>1050105</v>
          </cell>
          <cell r="D348" t="str">
            <v>서부사업단</v>
          </cell>
          <cell r="E348" t="str">
            <v>서부사업단</v>
          </cell>
          <cell r="F348" t="str">
            <v>마케팅지원</v>
          </cell>
          <cell r="G348" t="str">
            <v>대리</v>
          </cell>
          <cell r="H348" t="str">
            <v>22</v>
          </cell>
          <cell r="I348" t="str">
            <v>01</v>
          </cell>
          <cell r="J348">
            <v>2201</v>
          </cell>
          <cell r="K348" t="str">
            <v>일반직</v>
          </cell>
          <cell r="L348" t="str">
            <v>G2</v>
          </cell>
          <cell r="M348" t="str">
            <v>B</v>
          </cell>
          <cell r="N348">
            <v>38787000</v>
          </cell>
          <cell r="O348">
            <v>1200000</v>
          </cell>
          <cell r="P348">
            <v>8925840</v>
          </cell>
          <cell r="Q348">
            <v>1</v>
          </cell>
          <cell r="R348">
            <v>38787000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1200000</v>
          </cell>
          <cell r="X348">
            <v>8925840</v>
          </cell>
          <cell r="Y348">
            <v>0</v>
          </cell>
          <cell r="Z348">
            <v>0</v>
          </cell>
          <cell r="AA348">
            <v>0</v>
          </cell>
          <cell r="AB348">
            <v>48912840</v>
          </cell>
          <cell r="AC348">
            <v>38787000</v>
          </cell>
          <cell r="AD348">
            <v>8925840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K348">
            <v>1200000</v>
          </cell>
          <cell r="AL348">
            <v>48912840</v>
          </cell>
          <cell r="AM348">
            <v>348</v>
          </cell>
        </row>
        <row r="349">
          <cell r="A349" t="str">
            <v>김태준</v>
          </cell>
          <cell r="B349">
            <v>9134430</v>
          </cell>
          <cell r="C349" t="str">
            <v>1050105</v>
          </cell>
          <cell r="D349" t="str">
            <v>서부사업단</v>
          </cell>
          <cell r="E349" t="str">
            <v>서부사업단</v>
          </cell>
          <cell r="F349" t="str">
            <v>융자지원</v>
          </cell>
          <cell r="G349" t="str">
            <v>대리</v>
          </cell>
          <cell r="H349" t="str">
            <v>22</v>
          </cell>
          <cell r="I349" t="str">
            <v>01</v>
          </cell>
          <cell r="J349">
            <v>2201</v>
          </cell>
          <cell r="K349" t="str">
            <v>일반직</v>
          </cell>
          <cell r="L349" t="str">
            <v>G2</v>
          </cell>
          <cell r="M349" t="str">
            <v>C</v>
          </cell>
          <cell r="N349">
            <v>38667000</v>
          </cell>
          <cell r="O349">
            <v>1200000</v>
          </cell>
          <cell r="P349">
            <v>8804730</v>
          </cell>
          <cell r="Q349">
            <v>0.5</v>
          </cell>
          <cell r="R349">
            <v>38667000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1200000</v>
          </cell>
          <cell r="X349">
            <v>4402370</v>
          </cell>
          <cell r="Y349">
            <v>0</v>
          </cell>
          <cell r="Z349">
            <v>0</v>
          </cell>
          <cell r="AA349">
            <v>0</v>
          </cell>
          <cell r="AB349">
            <v>44269370</v>
          </cell>
          <cell r="AC349">
            <v>38667000</v>
          </cell>
          <cell r="AD349">
            <v>4402370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K349">
            <v>1200000</v>
          </cell>
          <cell r="AL349">
            <v>44269370</v>
          </cell>
          <cell r="AM349">
            <v>349</v>
          </cell>
        </row>
        <row r="350">
          <cell r="A350" t="str">
            <v>정종영</v>
          </cell>
          <cell r="B350">
            <v>9131253</v>
          </cell>
          <cell r="C350" t="str">
            <v>1050105</v>
          </cell>
          <cell r="D350" t="str">
            <v>서부사업단</v>
          </cell>
          <cell r="E350" t="str">
            <v>서부사업단</v>
          </cell>
          <cell r="F350" t="str">
            <v>마케팅팀장</v>
          </cell>
          <cell r="G350" t="str">
            <v>팀장</v>
          </cell>
          <cell r="H350" t="str">
            <v>21</v>
          </cell>
          <cell r="I350" t="str">
            <v>03</v>
          </cell>
          <cell r="J350">
            <v>2103</v>
          </cell>
          <cell r="K350" t="str">
            <v>일반직</v>
          </cell>
          <cell r="L350" t="str">
            <v>G1</v>
          </cell>
          <cell r="M350" t="str">
            <v>B</v>
          </cell>
          <cell r="N350">
            <v>46680000</v>
          </cell>
          <cell r="O350">
            <v>1200000</v>
          </cell>
          <cell r="P350">
            <v>12756560</v>
          </cell>
          <cell r="Q350">
            <v>1</v>
          </cell>
          <cell r="R350">
            <v>46680000</v>
          </cell>
          <cell r="S350">
            <v>5000000</v>
          </cell>
          <cell r="T350">
            <v>5000000</v>
          </cell>
          <cell r="U350">
            <v>0</v>
          </cell>
          <cell r="V350">
            <v>0</v>
          </cell>
          <cell r="W350">
            <v>1200000</v>
          </cell>
          <cell r="X350">
            <v>12756560</v>
          </cell>
          <cell r="Y350">
            <v>0</v>
          </cell>
          <cell r="Z350">
            <v>0</v>
          </cell>
          <cell r="AA350">
            <v>0</v>
          </cell>
          <cell r="AB350">
            <v>70636560</v>
          </cell>
          <cell r="AC350">
            <v>46680000</v>
          </cell>
          <cell r="AD350">
            <v>12756560</v>
          </cell>
          <cell r="AE350">
            <v>5000000</v>
          </cell>
          <cell r="AF350">
            <v>5000000</v>
          </cell>
          <cell r="AG350">
            <v>5000000</v>
          </cell>
          <cell r="AH350">
            <v>0</v>
          </cell>
          <cell r="AK350">
            <v>1200000</v>
          </cell>
          <cell r="AL350">
            <v>70636560</v>
          </cell>
          <cell r="AM350">
            <v>350</v>
          </cell>
        </row>
        <row r="351">
          <cell r="A351" t="str">
            <v>조충현</v>
          </cell>
          <cell r="B351">
            <v>9132179</v>
          </cell>
          <cell r="C351" t="str">
            <v>1050105</v>
          </cell>
          <cell r="D351" t="str">
            <v>서부사업단</v>
          </cell>
          <cell r="E351" t="str">
            <v>서부사업단</v>
          </cell>
          <cell r="F351" t="str">
            <v>보험금심사지원</v>
          </cell>
          <cell r="G351" t="str">
            <v>과장</v>
          </cell>
          <cell r="H351" t="str">
            <v>21</v>
          </cell>
          <cell r="I351" t="str">
            <v>01</v>
          </cell>
          <cell r="J351">
            <v>2101</v>
          </cell>
          <cell r="K351" t="str">
            <v>일반직</v>
          </cell>
          <cell r="L351" t="str">
            <v>G1</v>
          </cell>
          <cell r="M351" t="str">
            <v>B</v>
          </cell>
          <cell r="N351">
            <v>45930000</v>
          </cell>
          <cell r="O351">
            <v>1200000</v>
          </cell>
          <cell r="P351">
            <v>11875920</v>
          </cell>
          <cell r="Q351">
            <v>1</v>
          </cell>
          <cell r="R351">
            <v>45930000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1200000</v>
          </cell>
          <cell r="X351">
            <v>11875920</v>
          </cell>
          <cell r="Y351">
            <v>-586200</v>
          </cell>
          <cell r="Z351">
            <v>0</v>
          </cell>
          <cell r="AA351">
            <v>0</v>
          </cell>
          <cell r="AB351">
            <v>58419720</v>
          </cell>
          <cell r="AC351">
            <v>45930000</v>
          </cell>
          <cell r="AD351">
            <v>11289720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K351">
            <v>1200000</v>
          </cell>
          <cell r="AL351">
            <v>58419720</v>
          </cell>
          <cell r="AM351">
            <v>351</v>
          </cell>
        </row>
        <row r="352">
          <cell r="A352" t="str">
            <v>김현중</v>
          </cell>
          <cell r="B352">
            <v>9131229</v>
          </cell>
          <cell r="C352" t="str">
            <v>1050105</v>
          </cell>
          <cell r="D352" t="str">
            <v>서부사업단</v>
          </cell>
          <cell r="E352" t="str">
            <v>서부사업단</v>
          </cell>
          <cell r="F352" t="str">
            <v>업무지원팀장</v>
          </cell>
          <cell r="G352" t="str">
            <v>팀장</v>
          </cell>
          <cell r="H352" t="str">
            <v>12</v>
          </cell>
          <cell r="I352" t="str">
            <v>01</v>
          </cell>
          <cell r="J352">
            <v>1201</v>
          </cell>
          <cell r="K352" t="str">
            <v>일반직</v>
          </cell>
          <cell r="L352" t="str">
            <v>G1</v>
          </cell>
          <cell r="M352" t="str">
            <v>B</v>
          </cell>
          <cell r="N352">
            <v>52177500</v>
          </cell>
          <cell r="O352">
            <v>1200000</v>
          </cell>
          <cell r="P352">
            <v>14152310</v>
          </cell>
          <cell r="Q352">
            <v>1</v>
          </cell>
          <cell r="R352">
            <v>52177500</v>
          </cell>
          <cell r="S352">
            <v>0</v>
          </cell>
          <cell r="T352">
            <v>5000000</v>
          </cell>
          <cell r="U352">
            <v>0</v>
          </cell>
          <cell r="V352">
            <v>0</v>
          </cell>
          <cell r="W352">
            <v>1200000</v>
          </cell>
          <cell r="X352">
            <v>14152310</v>
          </cell>
          <cell r="Y352">
            <v>0</v>
          </cell>
          <cell r="Z352">
            <v>0</v>
          </cell>
          <cell r="AA352">
            <v>0</v>
          </cell>
          <cell r="AB352">
            <v>72529810</v>
          </cell>
          <cell r="AC352">
            <v>52177500</v>
          </cell>
          <cell r="AD352">
            <v>14152310</v>
          </cell>
          <cell r="AE352">
            <v>0</v>
          </cell>
          <cell r="AF352">
            <v>5000000</v>
          </cell>
          <cell r="AG352">
            <v>5000000</v>
          </cell>
          <cell r="AH352">
            <v>0</v>
          </cell>
          <cell r="AK352">
            <v>1200000</v>
          </cell>
          <cell r="AL352">
            <v>72529810</v>
          </cell>
          <cell r="AM352">
            <v>352</v>
          </cell>
        </row>
        <row r="353">
          <cell r="A353" t="str">
            <v>장윤종</v>
          </cell>
          <cell r="B353">
            <v>9131091</v>
          </cell>
          <cell r="C353" t="str">
            <v>1050105</v>
          </cell>
          <cell r="D353" t="str">
            <v>서부사업단</v>
          </cell>
          <cell r="E353" t="str">
            <v>서부사업단</v>
          </cell>
          <cell r="F353" t="str">
            <v>고객지원</v>
          </cell>
          <cell r="G353" t="str">
            <v>부장</v>
          </cell>
          <cell r="H353" t="str">
            <v>12</v>
          </cell>
          <cell r="I353" t="str">
            <v>01</v>
          </cell>
          <cell r="J353">
            <v>1201</v>
          </cell>
          <cell r="K353" t="str">
            <v>일반직</v>
          </cell>
          <cell r="L353" t="str">
            <v>G1</v>
          </cell>
          <cell r="M353" t="str">
            <v>B</v>
          </cell>
          <cell r="N353">
            <v>52177500</v>
          </cell>
          <cell r="O353">
            <v>1200000</v>
          </cell>
          <cell r="P353">
            <v>15115260</v>
          </cell>
          <cell r="Q353">
            <v>1</v>
          </cell>
          <cell r="R353">
            <v>52177500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1200000</v>
          </cell>
          <cell r="X353">
            <v>15115260</v>
          </cell>
          <cell r="Y353">
            <v>-586200</v>
          </cell>
          <cell r="Z353">
            <v>0</v>
          </cell>
          <cell r="AA353">
            <v>0</v>
          </cell>
          <cell r="AB353">
            <v>67906560</v>
          </cell>
          <cell r="AC353">
            <v>52177500</v>
          </cell>
          <cell r="AD353">
            <v>14529060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K353">
            <v>1200000</v>
          </cell>
          <cell r="AL353">
            <v>67906560</v>
          </cell>
          <cell r="AM353">
            <v>353</v>
          </cell>
        </row>
        <row r="354">
          <cell r="A354" t="str">
            <v>박찬성</v>
          </cell>
          <cell r="B354">
            <v>9131539</v>
          </cell>
          <cell r="C354" t="str">
            <v>1050105</v>
          </cell>
          <cell r="D354" t="str">
            <v>서부사업단</v>
          </cell>
          <cell r="E354" t="str">
            <v>서부사업단</v>
          </cell>
          <cell r="F354" t="str">
            <v>융자지원</v>
          </cell>
          <cell r="G354" t="str">
            <v>차장</v>
          </cell>
          <cell r="H354" t="str">
            <v>12</v>
          </cell>
          <cell r="I354" t="str">
            <v>01</v>
          </cell>
          <cell r="J354">
            <v>1201</v>
          </cell>
          <cell r="K354" t="str">
            <v>일반직</v>
          </cell>
          <cell r="L354" t="str">
            <v>G1</v>
          </cell>
          <cell r="M354" t="str">
            <v>C</v>
          </cell>
          <cell r="N354">
            <v>52057500</v>
          </cell>
          <cell r="O354">
            <v>1200000</v>
          </cell>
          <cell r="P354">
            <v>13670830</v>
          </cell>
          <cell r="Q354">
            <v>0.5</v>
          </cell>
          <cell r="R354">
            <v>52057500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1200000</v>
          </cell>
          <cell r="X354">
            <v>6835420</v>
          </cell>
          <cell r="Y354">
            <v>-586200</v>
          </cell>
          <cell r="Z354">
            <v>0</v>
          </cell>
          <cell r="AA354">
            <v>1000000</v>
          </cell>
          <cell r="AB354">
            <v>60506720</v>
          </cell>
          <cell r="AC354">
            <v>52057500</v>
          </cell>
          <cell r="AD354">
            <v>7249220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K354">
            <v>1200000</v>
          </cell>
          <cell r="AL354">
            <v>60506720</v>
          </cell>
          <cell r="AM354">
            <v>354</v>
          </cell>
        </row>
        <row r="355">
          <cell r="A355" t="str">
            <v>김지연</v>
          </cell>
          <cell r="B355">
            <v>9132373</v>
          </cell>
          <cell r="C355" t="str">
            <v>1052143</v>
          </cell>
          <cell r="D355" t="str">
            <v>서부사업단</v>
          </cell>
          <cell r="E355" t="str">
            <v>보령지점</v>
          </cell>
          <cell r="F355" t="str">
            <v>지점선임</v>
          </cell>
          <cell r="G355" t="str">
            <v>대리</v>
          </cell>
          <cell r="H355" t="str">
            <v>31</v>
          </cell>
          <cell r="I355" t="str">
            <v>02</v>
          </cell>
          <cell r="J355">
            <v>3102</v>
          </cell>
          <cell r="K355" t="str">
            <v>사무직</v>
          </cell>
          <cell r="L355" t="str">
            <v>G3</v>
          </cell>
          <cell r="M355" t="str">
            <v>B</v>
          </cell>
          <cell r="N355">
            <v>37122720</v>
          </cell>
          <cell r="O355">
            <v>1200000</v>
          </cell>
          <cell r="P355">
            <v>6134000</v>
          </cell>
          <cell r="Q355">
            <v>1</v>
          </cell>
          <cell r="R355">
            <v>37122720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1200000</v>
          </cell>
          <cell r="X355">
            <v>6134000</v>
          </cell>
          <cell r="Y355">
            <v>0</v>
          </cell>
          <cell r="Z355">
            <v>0</v>
          </cell>
          <cell r="AA355">
            <v>0</v>
          </cell>
          <cell r="AB355">
            <v>44456720</v>
          </cell>
          <cell r="AC355">
            <v>37122720</v>
          </cell>
          <cell r="AD355">
            <v>6134000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K355">
            <v>1200000</v>
          </cell>
          <cell r="AL355">
            <v>44456720</v>
          </cell>
          <cell r="AM355">
            <v>355</v>
          </cell>
        </row>
        <row r="356">
          <cell r="A356" t="str">
            <v>이혜용</v>
          </cell>
          <cell r="B356">
            <v>9131849</v>
          </cell>
          <cell r="C356" t="str">
            <v>1053222</v>
          </cell>
          <cell r="D356" t="str">
            <v>서부사업단</v>
          </cell>
          <cell r="E356" t="str">
            <v>쌍용지점</v>
          </cell>
          <cell r="F356" t="str">
            <v>지점선임</v>
          </cell>
          <cell r="G356" t="str">
            <v>대리</v>
          </cell>
          <cell r="H356" t="str">
            <v>31</v>
          </cell>
          <cell r="I356" t="str">
            <v>04</v>
          </cell>
          <cell r="J356">
            <v>3104</v>
          </cell>
          <cell r="K356" t="str">
            <v>사무직</v>
          </cell>
          <cell r="L356" t="str">
            <v>G3</v>
          </cell>
          <cell r="M356" t="str">
            <v>A</v>
          </cell>
          <cell r="N356">
            <v>37807870</v>
          </cell>
          <cell r="O356">
            <v>1200000</v>
          </cell>
          <cell r="P356">
            <v>6214000</v>
          </cell>
          <cell r="Q356">
            <v>1.5</v>
          </cell>
          <cell r="R356">
            <v>37807870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1200000</v>
          </cell>
          <cell r="X356">
            <v>9321000</v>
          </cell>
          <cell r="Y356">
            <v>0</v>
          </cell>
          <cell r="Z356">
            <v>0</v>
          </cell>
          <cell r="AA356">
            <v>0</v>
          </cell>
          <cell r="AB356">
            <v>48328870</v>
          </cell>
          <cell r="AC356">
            <v>37807870</v>
          </cell>
          <cell r="AD356">
            <v>9321000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K356">
            <v>1200000</v>
          </cell>
          <cell r="AL356">
            <v>48328870</v>
          </cell>
          <cell r="AM356">
            <v>356</v>
          </cell>
        </row>
        <row r="357">
          <cell r="A357" t="str">
            <v>이병택</v>
          </cell>
          <cell r="B357">
            <v>9133604</v>
          </cell>
          <cell r="C357" t="str">
            <v>1053223</v>
          </cell>
          <cell r="D357" t="str">
            <v>서부사업단</v>
          </cell>
          <cell r="E357" t="str">
            <v>아산지점</v>
          </cell>
          <cell r="F357" t="str">
            <v>지점선임</v>
          </cell>
          <cell r="G357" t="str">
            <v>과장</v>
          </cell>
          <cell r="H357" t="str">
            <v>22</v>
          </cell>
          <cell r="I357" t="str">
            <v>05</v>
          </cell>
          <cell r="J357">
            <v>2205</v>
          </cell>
          <cell r="K357" t="str">
            <v>일반직</v>
          </cell>
          <cell r="L357" t="str">
            <v>G2</v>
          </cell>
          <cell r="M357" t="str">
            <v>A</v>
          </cell>
          <cell r="N357">
            <v>39795000</v>
          </cell>
          <cell r="O357">
            <v>1200000</v>
          </cell>
          <cell r="P357">
            <v>9168200</v>
          </cell>
          <cell r="Q357">
            <v>1.5</v>
          </cell>
          <cell r="R357">
            <v>39795000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1200000</v>
          </cell>
          <cell r="X357">
            <v>13752300</v>
          </cell>
          <cell r="Y357">
            <v>0</v>
          </cell>
          <cell r="Z357">
            <v>440490</v>
          </cell>
          <cell r="AA357">
            <v>0</v>
          </cell>
          <cell r="AB357">
            <v>55187790</v>
          </cell>
          <cell r="AC357">
            <v>39795000</v>
          </cell>
          <cell r="AD357">
            <v>14192790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K357">
            <v>1200000</v>
          </cell>
          <cell r="AL357">
            <v>55187790</v>
          </cell>
          <cell r="AM357">
            <v>357</v>
          </cell>
        </row>
        <row r="358">
          <cell r="A358" t="str">
            <v>소상영</v>
          </cell>
          <cell r="B358">
            <v>9134198</v>
          </cell>
          <cell r="C358" t="str">
            <v>1053228</v>
          </cell>
          <cell r="D358" t="str">
            <v>서부사업단</v>
          </cell>
          <cell r="E358" t="str">
            <v>전주지점</v>
          </cell>
          <cell r="F358" t="str">
            <v>지점선임</v>
          </cell>
          <cell r="G358" t="str">
            <v>대리</v>
          </cell>
          <cell r="H358" t="str">
            <v>22</v>
          </cell>
          <cell r="I358" t="str">
            <v>02</v>
          </cell>
          <cell r="J358">
            <v>2202</v>
          </cell>
          <cell r="K358" t="str">
            <v>일반직</v>
          </cell>
          <cell r="L358" t="str">
            <v>G2</v>
          </cell>
          <cell r="M358" t="str">
            <v>A</v>
          </cell>
          <cell r="N358">
            <v>39060000</v>
          </cell>
          <cell r="O358">
            <v>1200000</v>
          </cell>
          <cell r="P358">
            <v>8869520</v>
          </cell>
          <cell r="Q358">
            <v>1.5</v>
          </cell>
          <cell r="R358">
            <v>39060000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1200000</v>
          </cell>
          <cell r="X358">
            <v>13304280</v>
          </cell>
          <cell r="Y358">
            <v>0</v>
          </cell>
          <cell r="Z358">
            <v>440490</v>
          </cell>
          <cell r="AA358">
            <v>0</v>
          </cell>
          <cell r="AB358">
            <v>54004770</v>
          </cell>
          <cell r="AC358">
            <v>39060000</v>
          </cell>
          <cell r="AD358">
            <v>13744770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K358">
            <v>1200000</v>
          </cell>
          <cell r="AL358">
            <v>54004770</v>
          </cell>
          <cell r="AM358">
            <v>358</v>
          </cell>
        </row>
        <row r="359">
          <cell r="A359" t="str">
            <v>고애숙</v>
          </cell>
          <cell r="B359">
            <v>9131610</v>
          </cell>
          <cell r="C359" t="str">
            <v>1053231</v>
          </cell>
          <cell r="D359" t="str">
            <v>서부사업단</v>
          </cell>
          <cell r="E359" t="str">
            <v>군산지점</v>
          </cell>
          <cell r="F359" t="str">
            <v>지점선임</v>
          </cell>
          <cell r="G359" t="str">
            <v>과장</v>
          </cell>
          <cell r="H359" t="str">
            <v>22</v>
          </cell>
          <cell r="I359" t="str">
            <v>12</v>
          </cell>
          <cell r="J359">
            <v>2212</v>
          </cell>
          <cell r="K359" t="str">
            <v>일반직</v>
          </cell>
          <cell r="L359" t="str">
            <v>G2</v>
          </cell>
          <cell r="M359" t="str">
            <v>D</v>
          </cell>
          <cell r="N359">
            <v>41028000</v>
          </cell>
          <cell r="O359">
            <v>1200000</v>
          </cell>
          <cell r="P359">
            <v>11224150</v>
          </cell>
          <cell r="Q359">
            <v>0</v>
          </cell>
          <cell r="R359">
            <v>41028000</v>
          </cell>
          <cell r="S359">
            <v>0</v>
          </cell>
          <cell r="T359">
            <v>0</v>
          </cell>
          <cell r="U359">
            <v>0</v>
          </cell>
          <cell r="V359">
            <v>-4102800</v>
          </cell>
          <cell r="W359">
            <v>1200000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38125200</v>
          </cell>
          <cell r="AC359">
            <v>36925200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K359">
            <v>1200000</v>
          </cell>
          <cell r="AL359">
            <v>38125200</v>
          </cell>
          <cell r="AM359">
            <v>359</v>
          </cell>
        </row>
        <row r="360">
          <cell r="A360" t="str">
            <v>윤미향</v>
          </cell>
          <cell r="B360">
            <v>9132845</v>
          </cell>
          <cell r="C360" t="str">
            <v>1053234</v>
          </cell>
          <cell r="D360" t="str">
            <v>서부사업단</v>
          </cell>
          <cell r="E360" t="str">
            <v>익산지점</v>
          </cell>
          <cell r="F360" t="str">
            <v>지점선임</v>
          </cell>
          <cell r="G360" t="str">
            <v>주임</v>
          </cell>
          <cell r="H360" t="str">
            <v>31</v>
          </cell>
          <cell r="I360" t="str">
            <v>02</v>
          </cell>
          <cell r="J360">
            <v>3102</v>
          </cell>
          <cell r="K360" t="str">
            <v>사무직</v>
          </cell>
          <cell r="L360" t="str">
            <v>G3</v>
          </cell>
          <cell r="M360" t="str">
            <v>B</v>
          </cell>
          <cell r="N360">
            <v>36908490</v>
          </cell>
          <cell r="O360">
            <v>1200000</v>
          </cell>
          <cell r="P360">
            <v>6134000</v>
          </cell>
          <cell r="Q360">
            <v>1</v>
          </cell>
          <cell r="R360">
            <v>36908490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1200000</v>
          </cell>
          <cell r="X360">
            <v>6134000</v>
          </cell>
          <cell r="Y360">
            <v>0</v>
          </cell>
          <cell r="Z360">
            <v>0</v>
          </cell>
          <cell r="AA360">
            <v>0</v>
          </cell>
          <cell r="AB360">
            <v>44242490</v>
          </cell>
          <cell r="AC360">
            <v>36908490</v>
          </cell>
          <cell r="AD360">
            <v>6134000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K360">
            <v>1200000</v>
          </cell>
          <cell r="AL360">
            <v>44242490</v>
          </cell>
          <cell r="AM360">
            <v>360</v>
          </cell>
        </row>
        <row r="361">
          <cell r="A361" t="str">
            <v>정희수</v>
          </cell>
          <cell r="B361">
            <v>9134481</v>
          </cell>
          <cell r="C361" t="str">
            <v>1053240</v>
          </cell>
          <cell r="D361" t="str">
            <v>서부사업단</v>
          </cell>
          <cell r="E361" t="str">
            <v>서광주지점</v>
          </cell>
          <cell r="F361" t="str">
            <v>지점선임</v>
          </cell>
          <cell r="G361" t="str">
            <v>과장</v>
          </cell>
          <cell r="H361" t="str">
            <v>22</v>
          </cell>
          <cell r="I361" t="str">
            <v>04</v>
          </cell>
          <cell r="J361">
            <v>2204</v>
          </cell>
          <cell r="K361" t="str">
            <v>일반직</v>
          </cell>
          <cell r="L361" t="str">
            <v>G2</v>
          </cell>
          <cell r="M361" t="str">
            <v>B</v>
          </cell>
          <cell r="N361">
            <v>39486000</v>
          </cell>
          <cell r="O361">
            <v>1200000</v>
          </cell>
          <cell r="P361">
            <v>8875420</v>
          </cell>
          <cell r="Q361">
            <v>1</v>
          </cell>
          <cell r="R361">
            <v>39486000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1200000</v>
          </cell>
          <cell r="X361">
            <v>8875420</v>
          </cell>
          <cell r="Y361">
            <v>0</v>
          </cell>
          <cell r="Z361">
            <v>0</v>
          </cell>
          <cell r="AA361">
            <v>0</v>
          </cell>
          <cell r="AB361">
            <v>49561420</v>
          </cell>
          <cell r="AC361">
            <v>39486000</v>
          </cell>
          <cell r="AD361">
            <v>8875420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K361">
            <v>1200000</v>
          </cell>
          <cell r="AL361">
            <v>49561420</v>
          </cell>
          <cell r="AM361">
            <v>361</v>
          </cell>
        </row>
        <row r="362">
          <cell r="A362" t="str">
            <v>김춘미</v>
          </cell>
          <cell r="B362">
            <v>9131490</v>
          </cell>
          <cell r="C362" t="str">
            <v>1053245</v>
          </cell>
          <cell r="D362" t="str">
            <v>서부사업단</v>
          </cell>
          <cell r="E362" t="str">
            <v>광주지점</v>
          </cell>
          <cell r="F362" t="str">
            <v>지점선임</v>
          </cell>
          <cell r="G362" t="str">
            <v>대리</v>
          </cell>
          <cell r="H362" t="str">
            <v>31</v>
          </cell>
          <cell r="I362" t="str">
            <v>05</v>
          </cell>
          <cell r="J362">
            <v>3105</v>
          </cell>
          <cell r="K362" t="str">
            <v>사무직</v>
          </cell>
          <cell r="L362" t="str">
            <v>G3</v>
          </cell>
          <cell r="M362" t="str">
            <v>C</v>
          </cell>
          <cell r="N362">
            <v>38100030</v>
          </cell>
          <cell r="O362">
            <v>1200000</v>
          </cell>
          <cell r="P362">
            <v>6246000</v>
          </cell>
          <cell r="Q362">
            <v>0.5</v>
          </cell>
          <cell r="R362">
            <v>38100030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1200000</v>
          </cell>
          <cell r="X362">
            <v>3123000</v>
          </cell>
          <cell r="Y362">
            <v>0</v>
          </cell>
          <cell r="Z362">
            <v>0</v>
          </cell>
          <cell r="AA362">
            <v>0</v>
          </cell>
          <cell r="AB362">
            <v>42423030</v>
          </cell>
          <cell r="AC362">
            <v>38100030</v>
          </cell>
          <cell r="AD362">
            <v>3123000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K362">
            <v>1200000</v>
          </cell>
          <cell r="AL362">
            <v>42423030</v>
          </cell>
          <cell r="AM362">
            <v>362</v>
          </cell>
        </row>
        <row r="363">
          <cell r="A363" t="str">
            <v>고현숙</v>
          </cell>
          <cell r="B363">
            <v>9132055</v>
          </cell>
          <cell r="C363" t="str">
            <v>1053247</v>
          </cell>
          <cell r="D363" t="str">
            <v>서부사업단</v>
          </cell>
          <cell r="E363" t="str">
            <v>목포지점</v>
          </cell>
          <cell r="F363" t="str">
            <v>부지점장</v>
          </cell>
          <cell r="G363" t="str">
            <v>차장</v>
          </cell>
          <cell r="H363" t="str">
            <v>21</v>
          </cell>
          <cell r="I363" t="str">
            <v>01</v>
          </cell>
          <cell r="J363">
            <v>2101</v>
          </cell>
          <cell r="K363" t="str">
            <v>일반직</v>
          </cell>
          <cell r="L363" t="str">
            <v>G1</v>
          </cell>
          <cell r="M363" t="str">
            <v>D</v>
          </cell>
          <cell r="N363">
            <v>45930000</v>
          </cell>
          <cell r="O363">
            <v>1200000</v>
          </cell>
          <cell r="P363">
            <v>13156580</v>
          </cell>
          <cell r="Q363">
            <v>0</v>
          </cell>
          <cell r="R363">
            <v>45930000</v>
          </cell>
          <cell r="S363">
            <v>0</v>
          </cell>
          <cell r="T363">
            <v>0</v>
          </cell>
          <cell r="U363">
            <v>0</v>
          </cell>
          <cell r="V363">
            <v>-4593000</v>
          </cell>
          <cell r="W363">
            <v>1200000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42537000</v>
          </cell>
          <cell r="AC363">
            <v>41337000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K363">
            <v>1200000</v>
          </cell>
          <cell r="AL363">
            <v>42537000</v>
          </cell>
          <cell r="AM363">
            <v>363</v>
          </cell>
        </row>
        <row r="364">
          <cell r="A364" t="str">
            <v>임택경</v>
          </cell>
          <cell r="B364">
            <v>9131326</v>
          </cell>
          <cell r="C364" t="str">
            <v>1053248</v>
          </cell>
          <cell r="D364" t="str">
            <v>서부사업단</v>
          </cell>
          <cell r="E364" t="str">
            <v>여수지점</v>
          </cell>
          <cell r="F364" t="str">
            <v>지점선임</v>
          </cell>
          <cell r="G364" t="str">
            <v>과장</v>
          </cell>
          <cell r="H364" t="str">
            <v>22</v>
          </cell>
          <cell r="I364" t="str">
            <v>12</v>
          </cell>
          <cell r="J364">
            <v>2212</v>
          </cell>
          <cell r="K364" t="str">
            <v>일반직</v>
          </cell>
          <cell r="L364" t="str">
            <v>G2</v>
          </cell>
          <cell r="M364" t="str">
            <v>B</v>
          </cell>
          <cell r="N364">
            <v>41322000</v>
          </cell>
          <cell r="O364">
            <v>1200000</v>
          </cell>
          <cell r="P364">
            <v>10535740</v>
          </cell>
          <cell r="Q364">
            <v>1</v>
          </cell>
          <cell r="R364">
            <v>41322000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1200000</v>
          </cell>
          <cell r="X364">
            <v>10535740</v>
          </cell>
          <cell r="Y364">
            <v>0</v>
          </cell>
          <cell r="Z364">
            <v>0</v>
          </cell>
          <cell r="AA364">
            <v>0</v>
          </cell>
          <cell r="AB364">
            <v>53057740</v>
          </cell>
          <cell r="AC364">
            <v>41322000</v>
          </cell>
          <cell r="AD364">
            <v>10535740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K364">
            <v>1200000</v>
          </cell>
          <cell r="AL364">
            <v>53057740</v>
          </cell>
          <cell r="AM364">
            <v>364</v>
          </cell>
        </row>
        <row r="365">
          <cell r="A365" t="str">
            <v>현순재</v>
          </cell>
          <cell r="B365">
            <v>9132357</v>
          </cell>
          <cell r="C365" t="str">
            <v>1053300</v>
          </cell>
          <cell r="D365" t="str">
            <v>서부사업단</v>
          </cell>
          <cell r="E365" t="str">
            <v>동광지점</v>
          </cell>
          <cell r="F365" t="str">
            <v>지점선임</v>
          </cell>
          <cell r="G365" t="str">
            <v>대리</v>
          </cell>
          <cell r="H365" t="str">
            <v>31</v>
          </cell>
          <cell r="I365" t="str">
            <v>04</v>
          </cell>
          <cell r="J365">
            <v>3104</v>
          </cell>
          <cell r="K365" t="str">
            <v>사무직</v>
          </cell>
          <cell r="L365" t="str">
            <v>G3</v>
          </cell>
          <cell r="M365" t="str">
            <v>B</v>
          </cell>
          <cell r="N365">
            <v>37579440</v>
          </cell>
          <cell r="O365">
            <v>1200000</v>
          </cell>
          <cell r="P365">
            <v>6214000</v>
          </cell>
          <cell r="Q365">
            <v>1</v>
          </cell>
          <cell r="R365">
            <v>37579440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1200000</v>
          </cell>
          <cell r="X365">
            <v>6214000</v>
          </cell>
          <cell r="Y365">
            <v>0</v>
          </cell>
          <cell r="Z365">
            <v>0</v>
          </cell>
          <cell r="AA365">
            <v>0</v>
          </cell>
          <cell r="AB365">
            <v>44993440</v>
          </cell>
          <cell r="AC365">
            <v>37579440</v>
          </cell>
          <cell r="AD365">
            <v>6214000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K365">
            <v>1200000</v>
          </cell>
          <cell r="AL365">
            <v>44993440</v>
          </cell>
          <cell r="AM365">
            <v>365</v>
          </cell>
        </row>
        <row r="366">
          <cell r="A366" t="str">
            <v>이승호</v>
          </cell>
          <cell r="B366">
            <v>9132713</v>
          </cell>
          <cell r="C366" t="str">
            <v>1053308</v>
          </cell>
          <cell r="D366" t="str">
            <v>서부사업단</v>
          </cell>
          <cell r="E366" t="str">
            <v>부여지점</v>
          </cell>
          <cell r="F366" t="str">
            <v>부지점장</v>
          </cell>
          <cell r="G366" t="str">
            <v>과장</v>
          </cell>
          <cell r="H366" t="str">
            <v>21</v>
          </cell>
          <cell r="I366" t="str">
            <v>01</v>
          </cell>
          <cell r="J366">
            <v>2101</v>
          </cell>
          <cell r="K366" t="str">
            <v>일반직</v>
          </cell>
          <cell r="L366" t="str">
            <v>G1</v>
          </cell>
          <cell r="M366" t="str">
            <v>B</v>
          </cell>
          <cell r="N366">
            <v>45810000</v>
          </cell>
          <cell r="O366">
            <v>1200000</v>
          </cell>
          <cell r="P366">
            <v>11591330</v>
          </cell>
          <cell r="Q366">
            <v>1</v>
          </cell>
          <cell r="R366">
            <v>45810000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1200000</v>
          </cell>
          <cell r="X366">
            <v>11591330</v>
          </cell>
          <cell r="Y366">
            <v>-586200</v>
          </cell>
          <cell r="Z366">
            <v>0</v>
          </cell>
          <cell r="AA366">
            <v>0</v>
          </cell>
          <cell r="AB366">
            <v>58015130</v>
          </cell>
          <cell r="AC366">
            <v>45810000</v>
          </cell>
          <cell r="AD366">
            <v>11005130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K366">
            <v>1200000</v>
          </cell>
          <cell r="AL366">
            <v>58015130</v>
          </cell>
          <cell r="AM366">
            <v>366</v>
          </cell>
        </row>
        <row r="367">
          <cell r="A367" t="str">
            <v>김왕수</v>
          </cell>
          <cell r="B367">
            <v>9134210</v>
          </cell>
          <cell r="C367" t="str">
            <v>1053457</v>
          </cell>
          <cell r="D367" t="str">
            <v>서부사업단</v>
          </cell>
          <cell r="E367" t="str">
            <v>순천지점</v>
          </cell>
          <cell r="F367" t="str">
            <v>지점선임</v>
          </cell>
          <cell r="G367" t="str">
            <v>대리</v>
          </cell>
          <cell r="H367" t="str">
            <v>22</v>
          </cell>
          <cell r="I367" t="str">
            <v>02</v>
          </cell>
          <cell r="J367">
            <v>2202</v>
          </cell>
          <cell r="K367" t="str">
            <v>일반직</v>
          </cell>
          <cell r="L367" t="str">
            <v>G2</v>
          </cell>
          <cell r="M367" t="str">
            <v>B</v>
          </cell>
          <cell r="N367">
            <v>39060000</v>
          </cell>
          <cell r="O367">
            <v>1200000</v>
          </cell>
          <cell r="P367">
            <v>8869520</v>
          </cell>
          <cell r="Q367">
            <v>1</v>
          </cell>
          <cell r="R367">
            <v>39060000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1200000</v>
          </cell>
          <cell r="X367">
            <v>8869520</v>
          </cell>
          <cell r="Y367">
            <v>0</v>
          </cell>
          <cell r="Z367">
            <v>0</v>
          </cell>
          <cell r="AA367">
            <v>0</v>
          </cell>
          <cell r="AB367">
            <v>49129520</v>
          </cell>
          <cell r="AC367">
            <v>39060000</v>
          </cell>
          <cell r="AD367">
            <v>8869520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K367">
            <v>1200000</v>
          </cell>
          <cell r="AL367">
            <v>49129520</v>
          </cell>
          <cell r="AM367">
            <v>367</v>
          </cell>
        </row>
        <row r="368">
          <cell r="A368" t="str">
            <v>이숙희</v>
          </cell>
          <cell r="B368">
            <v>9132675</v>
          </cell>
          <cell r="C368" t="str">
            <v>1053522</v>
          </cell>
          <cell r="D368" t="str">
            <v>서부사업단</v>
          </cell>
          <cell r="E368" t="str">
            <v>천안지점</v>
          </cell>
          <cell r="F368" t="str">
            <v>지점선임</v>
          </cell>
          <cell r="G368" t="str">
            <v>주임</v>
          </cell>
          <cell r="H368" t="str">
            <v>31</v>
          </cell>
          <cell r="I368" t="str">
            <v>02</v>
          </cell>
          <cell r="J368">
            <v>3102</v>
          </cell>
          <cell r="K368" t="str">
            <v>사무직</v>
          </cell>
          <cell r="L368" t="str">
            <v>G3</v>
          </cell>
          <cell r="M368" t="str">
            <v>B</v>
          </cell>
          <cell r="N368">
            <v>37015610</v>
          </cell>
          <cell r="O368">
            <v>1200000</v>
          </cell>
          <cell r="P368">
            <v>6134000</v>
          </cell>
          <cell r="Q368">
            <v>1</v>
          </cell>
          <cell r="R368">
            <v>37015610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1200000</v>
          </cell>
          <cell r="X368">
            <v>6134000</v>
          </cell>
          <cell r="Y368">
            <v>0</v>
          </cell>
          <cell r="Z368">
            <v>0</v>
          </cell>
          <cell r="AA368">
            <v>0</v>
          </cell>
          <cell r="AB368">
            <v>44349610</v>
          </cell>
          <cell r="AC368">
            <v>37015610</v>
          </cell>
          <cell r="AD368">
            <v>6134000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K368">
            <v>1200000</v>
          </cell>
          <cell r="AL368">
            <v>44349610</v>
          </cell>
          <cell r="AM368">
            <v>368</v>
          </cell>
        </row>
        <row r="369">
          <cell r="A369" t="str">
            <v>주광민</v>
          </cell>
          <cell r="B369">
            <v>9134201</v>
          </cell>
          <cell r="C369" t="str">
            <v>1053561</v>
          </cell>
          <cell r="D369" t="str">
            <v>서부사업단</v>
          </cell>
          <cell r="E369" t="str">
            <v>충북지점</v>
          </cell>
          <cell r="F369" t="str">
            <v>지점선임</v>
          </cell>
          <cell r="G369" t="str">
            <v>대리</v>
          </cell>
          <cell r="H369" t="str">
            <v>22</v>
          </cell>
          <cell r="I369" t="str">
            <v>02</v>
          </cell>
          <cell r="J369">
            <v>2202</v>
          </cell>
          <cell r="K369" t="str">
            <v>일반직</v>
          </cell>
          <cell r="L369" t="str">
            <v>G2</v>
          </cell>
          <cell r="M369" t="str">
            <v>A</v>
          </cell>
          <cell r="N369">
            <v>39060000</v>
          </cell>
          <cell r="O369">
            <v>1200000</v>
          </cell>
          <cell r="P369">
            <v>8869520</v>
          </cell>
          <cell r="Q369">
            <v>1.5</v>
          </cell>
          <cell r="R369">
            <v>39060000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1200000</v>
          </cell>
          <cell r="X369">
            <v>13304280</v>
          </cell>
          <cell r="Y369">
            <v>0</v>
          </cell>
          <cell r="Z369">
            <v>440490</v>
          </cell>
          <cell r="AA369">
            <v>0</v>
          </cell>
          <cell r="AB369">
            <v>54004770</v>
          </cell>
          <cell r="AC369">
            <v>39060000</v>
          </cell>
          <cell r="AD369">
            <v>13744770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K369">
            <v>1200000</v>
          </cell>
          <cell r="AL369">
            <v>54004770</v>
          </cell>
          <cell r="AM369">
            <v>369</v>
          </cell>
        </row>
        <row r="370">
          <cell r="A370" t="str">
            <v>홍경희</v>
          </cell>
          <cell r="B370">
            <v>9131873</v>
          </cell>
          <cell r="C370" t="str">
            <v>1053619</v>
          </cell>
          <cell r="D370" t="str">
            <v>서부사업단</v>
          </cell>
          <cell r="E370" t="str">
            <v>서귀포지점</v>
          </cell>
          <cell r="F370" t="str">
            <v>지점선임</v>
          </cell>
          <cell r="G370" t="str">
            <v>대리</v>
          </cell>
          <cell r="H370" t="str">
            <v>31</v>
          </cell>
          <cell r="I370" t="str">
            <v>03</v>
          </cell>
          <cell r="J370">
            <v>3103</v>
          </cell>
          <cell r="K370" t="str">
            <v>사무직</v>
          </cell>
          <cell r="L370" t="str">
            <v>G3</v>
          </cell>
          <cell r="M370" t="str">
            <v>B</v>
          </cell>
          <cell r="N370">
            <v>37624660</v>
          </cell>
          <cell r="O370">
            <v>1200000</v>
          </cell>
          <cell r="P370">
            <v>6182000</v>
          </cell>
          <cell r="Q370">
            <v>1</v>
          </cell>
          <cell r="R370">
            <v>37624660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1200000</v>
          </cell>
          <cell r="X370">
            <v>6182000</v>
          </cell>
          <cell r="Y370">
            <v>0</v>
          </cell>
          <cell r="Z370">
            <v>0</v>
          </cell>
          <cell r="AA370">
            <v>0</v>
          </cell>
          <cell r="AB370">
            <v>45006660</v>
          </cell>
          <cell r="AC370">
            <v>37624660</v>
          </cell>
          <cell r="AD370">
            <v>6182000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K370">
            <v>1200000</v>
          </cell>
          <cell r="AL370">
            <v>45006660</v>
          </cell>
          <cell r="AM370">
            <v>370</v>
          </cell>
        </row>
        <row r="371">
          <cell r="A371" t="str">
            <v>이재원</v>
          </cell>
          <cell r="B371">
            <v>9134082</v>
          </cell>
          <cell r="C371" t="str">
            <v>1053645</v>
          </cell>
          <cell r="D371" t="str">
            <v>서부사업단</v>
          </cell>
          <cell r="E371" t="str">
            <v>대전지점</v>
          </cell>
          <cell r="F371" t="str">
            <v>지점선임</v>
          </cell>
          <cell r="G371" t="str">
            <v>대리</v>
          </cell>
          <cell r="H371" t="str">
            <v>22</v>
          </cell>
          <cell r="I371" t="str">
            <v>03</v>
          </cell>
          <cell r="J371">
            <v>2203</v>
          </cell>
          <cell r="K371" t="str">
            <v>일반직</v>
          </cell>
          <cell r="L371" t="str">
            <v>G2</v>
          </cell>
          <cell r="M371" t="str">
            <v>B</v>
          </cell>
          <cell r="N371">
            <v>39333000</v>
          </cell>
          <cell r="O371">
            <v>1200000</v>
          </cell>
          <cell r="P371">
            <v>8934300</v>
          </cell>
          <cell r="Q371">
            <v>1</v>
          </cell>
          <cell r="R371">
            <v>39333000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1200000</v>
          </cell>
          <cell r="X371">
            <v>8934300</v>
          </cell>
          <cell r="Y371">
            <v>0</v>
          </cell>
          <cell r="Z371">
            <v>0</v>
          </cell>
          <cell r="AA371">
            <v>0</v>
          </cell>
          <cell r="AB371">
            <v>49467300</v>
          </cell>
          <cell r="AC371">
            <v>39333000</v>
          </cell>
          <cell r="AD371">
            <v>8934300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K371">
            <v>1200000</v>
          </cell>
          <cell r="AL371">
            <v>49467300</v>
          </cell>
          <cell r="AM371">
            <v>371</v>
          </cell>
        </row>
        <row r="372">
          <cell r="A372" t="str">
            <v>고미선</v>
          </cell>
          <cell r="B372">
            <v>9131571</v>
          </cell>
          <cell r="C372" t="str">
            <v>1053664</v>
          </cell>
          <cell r="D372" t="str">
            <v>서부사업단</v>
          </cell>
          <cell r="E372" t="str">
            <v>한라지점</v>
          </cell>
          <cell r="F372" t="str">
            <v>지점선임</v>
          </cell>
          <cell r="G372" t="str">
            <v>대리</v>
          </cell>
          <cell r="H372" t="str">
            <v>22</v>
          </cell>
          <cell r="I372" t="str">
            <v>01</v>
          </cell>
          <cell r="J372">
            <v>2201</v>
          </cell>
          <cell r="K372" t="str">
            <v>일반직</v>
          </cell>
          <cell r="L372" t="str">
            <v>G2</v>
          </cell>
          <cell r="M372" t="str">
            <v>B</v>
          </cell>
          <cell r="N372">
            <v>38907000</v>
          </cell>
          <cell r="O372">
            <v>1200000</v>
          </cell>
          <cell r="P372">
            <v>10621450</v>
          </cell>
          <cell r="Q372">
            <v>1</v>
          </cell>
          <cell r="R372">
            <v>38907000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1200000</v>
          </cell>
          <cell r="X372">
            <v>10621450</v>
          </cell>
          <cell r="Y372">
            <v>0</v>
          </cell>
          <cell r="Z372">
            <v>0</v>
          </cell>
          <cell r="AA372">
            <v>0</v>
          </cell>
          <cell r="AB372">
            <v>50728450</v>
          </cell>
          <cell r="AC372">
            <v>38907000</v>
          </cell>
          <cell r="AD372">
            <v>10621450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K372">
            <v>1200000</v>
          </cell>
          <cell r="AL372">
            <v>50728450</v>
          </cell>
          <cell r="AM372">
            <v>372</v>
          </cell>
        </row>
        <row r="373">
          <cell r="A373" t="str">
            <v>홍종식</v>
          </cell>
          <cell r="B373">
            <v>9133558</v>
          </cell>
          <cell r="C373" t="str">
            <v>1054295</v>
          </cell>
          <cell r="D373" t="str">
            <v>서부사업단</v>
          </cell>
          <cell r="E373" t="str">
            <v>상무지점</v>
          </cell>
          <cell r="F373" t="str">
            <v>부지점장</v>
          </cell>
          <cell r="G373" t="str">
            <v>과장</v>
          </cell>
          <cell r="H373" t="str">
            <v>21</v>
          </cell>
          <cell r="I373" t="str">
            <v>01</v>
          </cell>
          <cell r="J373">
            <v>2101</v>
          </cell>
          <cell r="K373" t="str">
            <v>일반직</v>
          </cell>
          <cell r="L373" t="str">
            <v>G1</v>
          </cell>
          <cell r="M373" t="str">
            <v>B</v>
          </cell>
          <cell r="N373">
            <v>45810000</v>
          </cell>
          <cell r="O373">
            <v>1200000</v>
          </cell>
          <cell r="P373">
            <v>11306740</v>
          </cell>
          <cell r="Q373">
            <v>1</v>
          </cell>
          <cell r="R373">
            <v>45810000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1200000</v>
          </cell>
          <cell r="X373">
            <v>11306740</v>
          </cell>
          <cell r="Y373">
            <v>-586200</v>
          </cell>
          <cell r="Z373">
            <v>0</v>
          </cell>
          <cell r="AA373">
            <v>0</v>
          </cell>
          <cell r="AB373">
            <v>57730540</v>
          </cell>
          <cell r="AC373">
            <v>45810000</v>
          </cell>
          <cell r="AD373">
            <v>10720540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K373">
            <v>1200000</v>
          </cell>
          <cell r="AL373">
            <v>57730540</v>
          </cell>
          <cell r="AM373">
            <v>373</v>
          </cell>
        </row>
        <row r="374">
          <cell r="A374" t="str">
            <v>안병덕</v>
          </cell>
          <cell r="B374">
            <v>9133299</v>
          </cell>
          <cell r="C374" t="str">
            <v>1054404</v>
          </cell>
          <cell r="D374" t="str">
            <v>서부사업단</v>
          </cell>
          <cell r="E374" t="str">
            <v>충주지사</v>
          </cell>
          <cell r="F374" t="str">
            <v>매니저</v>
          </cell>
          <cell r="G374" t="str">
            <v>과장</v>
          </cell>
          <cell r="H374" t="str">
            <v>22</v>
          </cell>
          <cell r="I374" t="str">
            <v>10</v>
          </cell>
          <cell r="J374">
            <v>2210</v>
          </cell>
          <cell r="K374" t="str">
            <v>일반직</v>
          </cell>
          <cell r="L374" t="str">
            <v>G2</v>
          </cell>
          <cell r="M374" t="str">
            <v>D</v>
          </cell>
          <cell r="N374">
            <v>40614000</v>
          </cell>
          <cell r="O374">
            <v>1200000</v>
          </cell>
          <cell r="P374">
            <v>9491940</v>
          </cell>
          <cell r="Q374">
            <v>0</v>
          </cell>
          <cell r="R374">
            <v>40614000</v>
          </cell>
          <cell r="S374">
            <v>0</v>
          </cell>
          <cell r="T374">
            <v>0</v>
          </cell>
          <cell r="U374">
            <v>0</v>
          </cell>
          <cell r="V374">
            <v>-4061400</v>
          </cell>
          <cell r="W374">
            <v>1200000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37752600</v>
          </cell>
          <cell r="AC374">
            <v>36552600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K374">
            <v>1200000</v>
          </cell>
          <cell r="AL374">
            <v>37752600</v>
          </cell>
          <cell r="AM374">
            <v>374</v>
          </cell>
        </row>
        <row r="375">
          <cell r="A375" t="str">
            <v>이기현</v>
          </cell>
          <cell r="B375">
            <v>9131938</v>
          </cell>
          <cell r="C375" t="str">
            <v>1054413</v>
          </cell>
          <cell r="D375" t="str">
            <v>서부사업단</v>
          </cell>
          <cell r="E375" t="str">
            <v>대산지사</v>
          </cell>
          <cell r="F375" t="str">
            <v>매니저</v>
          </cell>
          <cell r="G375" t="str">
            <v>차장</v>
          </cell>
          <cell r="H375" t="str">
            <v>21</v>
          </cell>
          <cell r="I375" t="str">
            <v>01</v>
          </cell>
          <cell r="J375">
            <v>2101</v>
          </cell>
          <cell r="K375" t="str">
            <v>일반직</v>
          </cell>
          <cell r="L375" t="str">
            <v>G1</v>
          </cell>
          <cell r="M375" t="str">
            <v>B</v>
          </cell>
          <cell r="N375">
            <v>45930000</v>
          </cell>
          <cell r="O375">
            <v>1200000</v>
          </cell>
          <cell r="P375">
            <v>12018210</v>
          </cell>
          <cell r="Q375">
            <v>1</v>
          </cell>
          <cell r="R375">
            <v>45930000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1200000</v>
          </cell>
          <cell r="X375">
            <v>12018210</v>
          </cell>
          <cell r="Y375">
            <v>-586200</v>
          </cell>
          <cell r="Z375">
            <v>0</v>
          </cell>
          <cell r="AA375">
            <v>0</v>
          </cell>
          <cell r="AB375">
            <v>58562010</v>
          </cell>
          <cell r="AC375">
            <v>45930000</v>
          </cell>
          <cell r="AD375">
            <v>11432010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K375">
            <v>1200000</v>
          </cell>
          <cell r="AL375">
            <v>58562010</v>
          </cell>
          <cell r="AM375">
            <v>375</v>
          </cell>
        </row>
        <row r="376">
          <cell r="A376" t="str">
            <v>오병태</v>
          </cell>
          <cell r="B376">
            <v>9131946</v>
          </cell>
          <cell r="C376" t="str">
            <v>1054414</v>
          </cell>
          <cell r="D376" t="str">
            <v>서부사업단</v>
          </cell>
          <cell r="E376" t="str">
            <v>괴산지사</v>
          </cell>
          <cell r="F376" t="str">
            <v>매니저</v>
          </cell>
          <cell r="G376" t="str">
            <v>과장</v>
          </cell>
          <cell r="H376" t="str">
            <v>22</v>
          </cell>
          <cell r="I376" t="str">
            <v>10</v>
          </cell>
          <cell r="J376">
            <v>2210</v>
          </cell>
          <cell r="K376" t="str">
            <v>일반직</v>
          </cell>
          <cell r="L376" t="str">
            <v>G2</v>
          </cell>
          <cell r="M376" t="str">
            <v>C</v>
          </cell>
          <cell r="N376">
            <v>40734000</v>
          </cell>
          <cell r="O376">
            <v>1200000</v>
          </cell>
          <cell r="P376">
            <v>9999220</v>
          </cell>
          <cell r="Q376">
            <v>0.5</v>
          </cell>
          <cell r="R376">
            <v>40734000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1200000</v>
          </cell>
          <cell r="X376">
            <v>4999610</v>
          </cell>
          <cell r="Y376">
            <v>0</v>
          </cell>
          <cell r="Z376">
            <v>0</v>
          </cell>
          <cell r="AA376">
            <v>0</v>
          </cell>
          <cell r="AB376">
            <v>46933610</v>
          </cell>
          <cell r="AC376">
            <v>40734000</v>
          </cell>
          <cell r="AD376">
            <v>4999610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K376">
            <v>1200000</v>
          </cell>
          <cell r="AL376">
            <v>46933610</v>
          </cell>
          <cell r="AM376">
            <v>376</v>
          </cell>
        </row>
        <row r="377">
          <cell r="A377" t="str">
            <v>박정희</v>
          </cell>
          <cell r="B377">
            <v>9133124</v>
          </cell>
          <cell r="C377" t="str">
            <v>1054415</v>
          </cell>
          <cell r="D377" t="str">
            <v>서부사업단</v>
          </cell>
          <cell r="E377" t="str">
            <v>옥천지사</v>
          </cell>
          <cell r="F377" t="str">
            <v>매니저</v>
          </cell>
          <cell r="G377" t="str">
            <v>과장</v>
          </cell>
          <cell r="H377" t="str">
            <v>21</v>
          </cell>
          <cell r="I377" t="str">
            <v>01</v>
          </cell>
          <cell r="J377">
            <v>2101</v>
          </cell>
          <cell r="K377" t="str">
            <v>일반직</v>
          </cell>
          <cell r="L377" t="str">
            <v>G1</v>
          </cell>
          <cell r="M377" t="str">
            <v>B</v>
          </cell>
          <cell r="N377">
            <v>45810000</v>
          </cell>
          <cell r="O377">
            <v>1200000</v>
          </cell>
          <cell r="P377">
            <v>12587400</v>
          </cell>
          <cell r="Q377">
            <v>1</v>
          </cell>
          <cell r="R377">
            <v>45810000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1200000</v>
          </cell>
          <cell r="X377">
            <v>12587400</v>
          </cell>
          <cell r="Y377">
            <v>-586200</v>
          </cell>
          <cell r="Z377">
            <v>0</v>
          </cell>
          <cell r="AA377">
            <v>0</v>
          </cell>
          <cell r="AB377">
            <v>59011200</v>
          </cell>
          <cell r="AC377">
            <v>45810000</v>
          </cell>
          <cell r="AD377">
            <v>12001200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K377">
            <v>1200000</v>
          </cell>
          <cell r="AL377">
            <v>59011200</v>
          </cell>
          <cell r="AM377">
            <v>377</v>
          </cell>
        </row>
        <row r="378">
          <cell r="A378" t="str">
            <v>김남열</v>
          </cell>
          <cell r="B378">
            <v>9134694</v>
          </cell>
          <cell r="C378" t="str">
            <v>1054417</v>
          </cell>
          <cell r="D378" t="str">
            <v>서부사업단</v>
          </cell>
          <cell r="E378" t="str">
            <v>해남지사</v>
          </cell>
          <cell r="F378" t="str">
            <v>매니저</v>
          </cell>
          <cell r="G378" t="str">
            <v>대리</v>
          </cell>
          <cell r="H378" t="str">
            <v>22</v>
          </cell>
          <cell r="I378" t="str">
            <v>03</v>
          </cell>
          <cell r="J378">
            <v>2203</v>
          </cell>
          <cell r="K378" t="str">
            <v>일반직</v>
          </cell>
          <cell r="L378" t="str">
            <v>G1</v>
          </cell>
          <cell r="M378" t="str">
            <v>A</v>
          </cell>
          <cell r="N378">
            <v>39213000</v>
          </cell>
          <cell r="O378">
            <v>1200000</v>
          </cell>
          <cell r="P378">
            <v>8811480</v>
          </cell>
          <cell r="Q378">
            <v>1.5</v>
          </cell>
          <cell r="R378">
            <v>39213000</v>
          </cell>
          <cell r="S378">
            <v>5000000</v>
          </cell>
          <cell r="T378">
            <v>0</v>
          </cell>
          <cell r="U378">
            <v>0</v>
          </cell>
          <cell r="V378">
            <v>0</v>
          </cell>
          <cell r="W378">
            <v>1200000</v>
          </cell>
          <cell r="X378">
            <v>13217220</v>
          </cell>
          <cell r="Y378">
            <v>-586200</v>
          </cell>
          <cell r="Z378">
            <v>440490</v>
          </cell>
          <cell r="AA378">
            <v>0</v>
          </cell>
          <cell r="AB378">
            <v>58484510</v>
          </cell>
          <cell r="AC378">
            <v>39213000</v>
          </cell>
          <cell r="AD378">
            <v>13071510</v>
          </cell>
          <cell r="AE378">
            <v>5000000</v>
          </cell>
          <cell r="AF378">
            <v>0</v>
          </cell>
          <cell r="AG378">
            <v>0</v>
          </cell>
          <cell r="AH378">
            <v>0</v>
          </cell>
          <cell r="AK378">
            <v>1200000</v>
          </cell>
          <cell r="AL378">
            <v>58484510</v>
          </cell>
          <cell r="AM378">
            <v>378</v>
          </cell>
        </row>
        <row r="379">
          <cell r="A379" t="str">
            <v>고영호</v>
          </cell>
          <cell r="B379">
            <v>9134953</v>
          </cell>
          <cell r="C379" t="str">
            <v>1054419</v>
          </cell>
          <cell r="D379" t="str">
            <v>서부사업단</v>
          </cell>
          <cell r="E379" t="str">
            <v>당진지사</v>
          </cell>
          <cell r="F379" t="str">
            <v>매니저</v>
          </cell>
          <cell r="G379" t="str">
            <v>대리</v>
          </cell>
          <cell r="H379" t="str">
            <v>22</v>
          </cell>
          <cell r="I379" t="str">
            <v>02</v>
          </cell>
          <cell r="J379">
            <v>2202</v>
          </cell>
          <cell r="K379" t="str">
            <v>일반직</v>
          </cell>
          <cell r="L379" t="str">
            <v>G2</v>
          </cell>
          <cell r="M379" t="str">
            <v>B</v>
          </cell>
          <cell r="N379">
            <v>38820000</v>
          </cell>
          <cell r="O379">
            <v>1200000</v>
          </cell>
          <cell r="P379">
            <v>8503610</v>
          </cell>
          <cell r="Q379">
            <v>1</v>
          </cell>
          <cell r="R379">
            <v>38820000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1200000</v>
          </cell>
          <cell r="X379">
            <v>8503610</v>
          </cell>
          <cell r="Y379">
            <v>0</v>
          </cell>
          <cell r="Z379">
            <v>0</v>
          </cell>
          <cell r="AA379">
            <v>0</v>
          </cell>
          <cell r="AB379">
            <v>48523610</v>
          </cell>
          <cell r="AC379">
            <v>38820000</v>
          </cell>
          <cell r="AD379">
            <v>8503610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K379">
            <v>1200000</v>
          </cell>
          <cell r="AL379">
            <v>48523610</v>
          </cell>
          <cell r="AM379">
            <v>379</v>
          </cell>
        </row>
        <row r="380">
          <cell r="A380" t="str">
            <v>문선경</v>
          </cell>
          <cell r="B380">
            <v>9132462</v>
          </cell>
          <cell r="C380" t="str">
            <v>3302187</v>
          </cell>
          <cell r="D380" t="str">
            <v>FP</v>
          </cell>
          <cell r="E380" t="str">
            <v>IWILL지점</v>
          </cell>
          <cell r="F380" t="str">
            <v>영업지원</v>
          </cell>
          <cell r="G380" t="str">
            <v>대리</v>
          </cell>
          <cell r="H380" t="str">
            <v>31</v>
          </cell>
          <cell r="I380" t="str">
            <v>04</v>
          </cell>
          <cell r="J380">
            <v>3104</v>
          </cell>
          <cell r="K380" t="str">
            <v>사무직</v>
          </cell>
          <cell r="L380" t="str">
            <v>G3</v>
          </cell>
          <cell r="M380" t="str">
            <v>B</v>
          </cell>
          <cell r="N380">
            <v>37471020</v>
          </cell>
          <cell r="O380">
            <v>1200000</v>
          </cell>
          <cell r="P380">
            <v>6214000</v>
          </cell>
          <cell r="Q380">
            <v>1</v>
          </cell>
          <cell r="R380">
            <v>37471020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1200000</v>
          </cell>
          <cell r="X380">
            <v>6214000</v>
          </cell>
          <cell r="Y380">
            <v>0</v>
          </cell>
          <cell r="Z380">
            <v>0</v>
          </cell>
          <cell r="AA380">
            <v>0</v>
          </cell>
          <cell r="AB380">
            <v>44885020</v>
          </cell>
          <cell r="AC380">
            <v>37471020</v>
          </cell>
          <cell r="AD380">
            <v>6214000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K380">
            <v>1200000</v>
          </cell>
          <cell r="AL380">
            <v>44885020</v>
          </cell>
          <cell r="AM380">
            <v>380</v>
          </cell>
        </row>
        <row r="381">
          <cell r="A381" t="str">
            <v>김기현</v>
          </cell>
          <cell r="B381">
            <v>9132608</v>
          </cell>
          <cell r="C381" t="str">
            <v>3302189</v>
          </cell>
          <cell r="D381" t="str">
            <v>FP</v>
          </cell>
          <cell r="E381" t="str">
            <v>NC직할5</v>
          </cell>
          <cell r="F381" t="str">
            <v>영업지원</v>
          </cell>
          <cell r="G381" t="str">
            <v>주임</v>
          </cell>
          <cell r="H381" t="str">
            <v>41</v>
          </cell>
          <cell r="I381" t="str">
            <v>11</v>
          </cell>
          <cell r="J381">
            <v>4111</v>
          </cell>
          <cell r="K381" t="str">
            <v>사무직</v>
          </cell>
          <cell r="L381" t="str">
            <v>G3</v>
          </cell>
          <cell r="M381" t="str">
            <v>B</v>
          </cell>
          <cell r="N381">
            <v>31637460</v>
          </cell>
          <cell r="O381">
            <v>1200000</v>
          </cell>
          <cell r="P381">
            <v>5126000</v>
          </cell>
          <cell r="Q381">
            <v>1</v>
          </cell>
          <cell r="R381">
            <v>31637460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1200000</v>
          </cell>
          <cell r="X381">
            <v>5126000</v>
          </cell>
          <cell r="Y381">
            <v>0</v>
          </cell>
          <cell r="Z381">
            <v>0</v>
          </cell>
          <cell r="AA381">
            <v>0</v>
          </cell>
          <cell r="AB381">
            <v>37963460</v>
          </cell>
          <cell r="AC381">
            <v>31637460</v>
          </cell>
          <cell r="AD381">
            <v>5126000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K381">
            <v>1200000</v>
          </cell>
          <cell r="AL381">
            <v>37963460</v>
          </cell>
          <cell r="AM381">
            <v>381</v>
          </cell>
        </row>
        <row r="382">
          <cell r="A382" t="str">
            <v>정재훈</v>
          </cell>
          <cell r="B382">
            <v>9134465</v>
          </cell>
          <cell r="C382" t="str">
            <v>4110411</v>
          </cell>
          <cell r="D382" t="str">
            <v>TM</v>
          </cell>
          <cell r="E382" t="str">
            <v>영등포센타</v>
          </cell>
          <cell r="F382" t="str">
            <v>영업매니저</v>
          </cell>
          <cell r="G382" t="str">
            <v>대리</v>
          </cell>
          <cell r="H382" t="str">
            <v>22</v>
          </cell>
          <cell r="I382" t="str">
            <v>03</v>
          </cell>
          <cell r="J382">
            <v>2203</v>
          </cell>
          <cell r="K382" t="str">
            <v>일반직</v>
          </cell>
          <cell r="L382" t="str">
            <v>G2</v>
          </cell>
          <cell r="M382" t="str">
            <v>B</v>
          </cell>
          <cell r="N382">
            <v>39213000</v>
          </cell>
          <cell r="O382">
            <v>1200000</v>
          </cell>
          <cell r="P382">
            <v>8934300</v>
          </cell>
          <cell r="Q382">
            <v>1</v>
          </cell>
          <cell r="R382">
            <v>39213000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1200000</v>
          </cell>
          <cell r="X382">
            <v>8934300</v>
          </cell>
          <cell r="Y382">
            <v>0</v>
          </cell>
          <cell r="Z382">
            <v>0</v>
          </cell>
          <cell r="AA382">
            <v>0</v>
          </cell>
          <cell r="AB382">
            <v>49347300</v>
          </cell>
          <cell r="AC382">
            <v>39213000</v>
          </cell>
          <cell r="AD382">
            <v>8934300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K382">
            <v>1200000</v>
          </cell>
          <cell r="AL382">
            <v>49347300</v>
          </cell>
          <cell r="AM382">
            <v>382</v>
          </cell>
        </row>
        <row r="383">
          <cell r="A383" t="str">
            <v>정승모</v>
          </cell>
          <cell r="B383">
            <v>9132934</v>
          </cell>
          <cell r="C383" t="str">
            <v>4112253</v>
          </cell>
          <cell r="D383" t="str">
            <v>TM</v>
          </cell>
          <cell r="E383" t="str">
            <v>현대홈인바운드</v>
          </cell>
          <cell r="F383" t="str">
            <v>영업매니저</v>
          </cell>
          <cell r="G383" t="str">
            <v>과장</v>
          </cell>
          <cell r="H383" t="str">
            <v>21</v>
          </cell>
          <cell r="I383" t="str">
            <v>01</v>
          </cell>
          <cell r="J383">
            <v>2101</v>
          </cell>
          <cell r="K383" t="str">
            <v>일반직</v>
          </cell>
          <cell r="L383" t="str">
            <v>G1</v>
          </cell>
          <cell r="M383" t="str">
            <v>B</v>
          </cell>
          <cell r="N383">
            <v>45810000</v>
          </cell>
          <cell r="O383">
            <v>1200000</v>
          </cell>
          <cell r="P383">
            <v>11591330</v>
          </cell>
          <cell r="Q383">
            <v>1</v>
          </cell>
          <cell r="R383">
            <v>45810000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1200000</v>
          </cell>
          <cell r="X383">
            <v>11591330</v>
          </cell>
          <cell r="Y383">
            <v>-586200</v>
          </cell>
          <cell r="Z383">
            <v>0</v>
          </cell>
          <cell r="AA383">
            <v>0</v>
          </cell>
          <cell r="AB383">
            <v>58015130</v>
          </cell>
          <cell r="AC383">
            <v>45810000</v>
          </cell>
          <cell r="AD383">
            <v>11005130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K383">
            <v>1200000</v>
          </cell>
          <cell r="AL383">
            <v>58015130</v>
          </cell>
          <cell r="AM383">
            <v>383</v>
          </cell>
        </row>
        <row r="384">
          <cell r="A384" t="str">
            <v>이희진</v>
          </cell>
          <cell r="B384">
            <v>9132489</v>
          </cell>
          <cell r="C384" t="str">
            <v>4130413</v>
          </cell>
          <cell r="D384" t="str">
            <v>TM</v>
          </cell>
          <cell r="E384" t="str">
            <v>강남센타</v>
          </cell>
          <cell r="F384" t="str">
            <v>영업매니저</v>
          </cell>
          <cell r="G384" t="str">
            <v>과장</v>
          </cell>
          <cell r="H384" t="str">
            <v>21</v>
          </cell>
          <cell r="I384" t="str">
            <v>01</v>
          </cell>
          <cell r="J384">
            <v>2101</v>
          </cell>
          <cell r="K384" t="str">
            <v>일반직</v>
          </cell>
          <cell r="L384" t="str">
            <v>G1</v>
          </cell>
          <cell r="M384" t="str">
            <v>B</v>
          </cell>
          <cell r="N384">
            <v>45810000</v>
          </cell>
          <cell r="O384">
            <v>1200000</v>
          </cell>
          <cell r="P384">
            <v>11733620</v>
          </cell>
          <cell r="Q384">
            <v>1</v>
          </cell>
          <cell r="R384">
            <v>45810000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1200000</v>
          </cell>
          <cell r="X384">
            <v>11733620</v>
          </cell>
          <cell r="Y384">
            <v>-586200</v>
          </cell>
          <cell r="Z384">
            <v>0</v>
          </cell>
          <cell r="AA384">
            <v>0</v>
          </cell>
          <cell r="AB384">
            <v>58157420</v>
          </cell>
          <cell r="AC384">
            <v>45810000</v>
          </cell>
          <cell r="AD384">
            <v>11147420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K384">
            <v>1200000</v>
          </cell>
          <cell r="AL384">
            <v>58157420</v>
          </cell>
          <cell r="AM384">
            <v>384</v>
          </cell>
        </row>
        <row r="385">
          <cell r="A385" t="str">
            <v>김성수</v>
          </cell>
          <cell r="B385">
            <v>9134554</v>
          </cell>
          <cell r="C385" t="str">
            <v>4142300</v>
          </cell>
          <cell r="D385" t="str">
            <v>TM</v>
          </cell>
          <cell r="E385" t="str">
            <v>아테나1복합TM</v>
          </cell>
          <cell r="F385" t="str">
            <v>영업매니저</v>
          </cell>
          <cell r="G385" t="str">
            <v>과장</v>
          </cell>
          <cell r="H385" t="str">
            <v>21</v>
          </cell>
          <cell r="I385" t="str">
            <v>01</v>
          </cell>
          <cell r="J385">
            <v>2101</v>
          </cell>
          <cell r="K385" t="str">
            <v>일반직</v>
          </cell>
          <cell r="L385" t="str">
            <v>G1</v>
          </cell>
          <cell r="M385" t="str">
            <v>S</v>
          </cell>
          <cell r="N385">
            <v>45690000</v>
          </cell>
          <cell r="O385">
            <v>1200000</v>
          </cell>
          <cell r="P385">
            <v>11022150</v>
          </cell>
          <cell r="Q385">
            <v>2</v>
          </cell>
          <cell r="R385">
            <v>45690000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1200000</v>
          </cell>
          <cell r="X385">
            <v>22044300</v>
          </cell>
          <cell r="Y385">
            <v>-586200</v>
          </cell>
          <cell r="Z385">
            <v>592700</v>
          </cell>
          <cell r="AA385">
            <v>0</v>
          </cell>
          <cell r="AB385">
            <v>68940800</v>
          </cell>
          <cell r="AC385">
            <v>45690000</v>
          </cell>
          <cell r="AD385">
            <v>22050800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K385">
            <v>1200000</v>
          </cell>
          <cell r="AL385">
            <v>68940800</v>
          </cell>
          <cell r="AM385">
            <v>385</v>
          </cell>
        </row>
        <row r="386">
          <cell r="A386" t="str">
            <v>고형규</v>
          </cell>
          <cell r="B386">
            <v>9134368</v>
          </cell>
          <cell r="C386" t="str">
            <v>4142303</v>
          </cell>
          <cell r="D386" t="str">
            <v>TM</v>
          </cell>
          <cell r="E386" t="str">
            <v>동대문복합TM</v>
          </cell>
          <cell r="F386" t="str">
            <v>영업매니저</v>
          </cell>
          <cell r="G386" t="str">
            <v>과장</v>
          </cell>
          <cell r="H386" t="str">
            <v>21</v>
          </cell>
          <cell r="I386" t="str">
            <v>01</v>
          </cell>
          <cell r="J386">
            <v>2101</v>
          </cell>
          <cell r="K386" t="str">
            <v>일반직</v>
          </cell>
          <cell r="L386" t="str">
            <v>G1</v>
          </cell>
          <cell r="M386" t="str">
            <v>B</v>
          </cell>
          <cell r="N386">
            <v>45690000</v>
          </cell>
          <cell r="O386">
            <v>1200000</v>
          </cell>
          <cell r="P386">
            <v>11164440</v>
          </cell>
          <cell r="Q386">
            <v>1</v>
          </cell>
          <cell r="R386">
            <v>45690000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1200000</v>
          </cell>
          <cell r="X386">
            <v>11164440</v>
          </cell>
          <cell r="Y386">
            <v>-586200</v>
          </cell>
          <cell r="Z386">
            <v>0</v>
          </cell>
          <cell r="AA386">
            <v>0</v>
          </cell>
          <cell r="AB386">
            <v>57468240</v>
          </cell>
          <cell r="AC386">
            <v>45690000</v>
          </cell>
          <cell r="AD386">
            <v>10578240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K386">
            <v>1200000</v>
          </cell>
          <cell r="AL386">
            <v>57468240</v>
          </cell>
          <cell r="AM386">
            <v>386</v>
          </cell>
        </row>
        <row r="387">
          <cell r="A387" t="str">
            <v>이향순</v>
          </cell>
          <cell r="B387">
            <v>9133116</v>
          </cell>
          <cell r="C387" t="str">
            <v>4142304</v>
          </cell>
          <cell r="D387" t="str">
            <v>TM</v>
          </cell>
          <cell r="E387" t="str">
            <v>평촌복합TM</v>
          </cell>
          <cell r="F387" t="str">
            <v>영업매니저</v>
          </cell>
          <cell r="G387" t="str">
            <v>과장</v>
          </cell>
          <cell r="H387" t="str">
            <v>21</v>
          </cell>
          <cell r="I387" t="str">
            <v>01</v>
          </cell>
          <cell r="J387">
            <v>2101</v>
          </cell>
          <cell r="K387" t="str">
            <v>일반직</v>
          </cell>
          <cell r="L387" t="str">
            <v>G1</v>
          </cell>
          <cell r="M387" t="str">
            <v>A</v>
          </cell>
          <cell r="N387">
            <v>45810000</v>
          </cell>
          <cell r="O387">
            <v>1200000</v>
          </cell>
          <cell r="P387">
            <v>12587400</v>
          </cell>
          <cell r="Q387">
            <v>1.5</v>
          </cell>
          <cell r="R387">
            <v>45810000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1200000</v>
          </cell>
          <cell r="X387">
            <v>18881100</v>
          </cell>
          <cell r="Y387">
            <v>-586200</v>
          </cell>
          <cell r="Z387">
            <v>444520</v>
          </cell>
          <cell r="AA387">
            <v>0</v>
          </cell>
          <cell r="AB387">
            <v>65749420</v>
          </cell>
          <cell r="AC387">
            <v>45810000</v>
          </cell>
          <cell r="AD387">
            <v>18739420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K387">
            <v>1200000</v>
          </cell>
          <cell r="AL387">
            <v>65749420</v>
          </cell>
          <cell r="AM387">
            <v>387</v>
          </cell>
        </row>
        <row r="388">
          <cell r="A388" t="str">
            <v>박경연</v>
          </cell>
          <cell r="B388">
            <v>9131695</v>
          </cell>
          <cell r="C388" t="str">
            <v>4142305</v>
          </cell>
          <cell r="D388" t="str">
            <v>TM</v>
          </cell>
          <cell r="E388" t="str">
            <v>부산복합TM</v>
          </cell>
          <cell r="F388" t="str">
            <v>영업지원</v>
          </cell>
          <cell r="G388" t="str">
            <v>대리</v>
          </cell>
          <cell r="H388" t="str">
            <v>31</v>
          </cell>
          <cell r="I388" t="str">
            <v>03</v>
          </cell>
          <cell r="J388">
            <v>3103</v>
          </cell>
          <cell r="K388" t="str">
            <v>사무직</v>
          </cell>
          <cell r="L388" t="str">
            <v>G3</v>
          </cell>
          <cell r="M388" t="str">
            <v>B</v>
          </cell>
          <cell r="N388">
            <v>37732560</v>
          </cell>
          <cell r="O388">
            <v>1200000</v>
          </cell>
          <cell r="P388">
            <v>6182000</v>
          </cell>
          <cell r="Q388">
            <v>1</v>
          </cell>
          <cell r="R388">
            <v>37732560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1200000</v>
          </cell>
          <cell r="X388">
            <v>6182000</v>
          </cell>
          <cell r="Y388">
            <v>0</v>
          </cell>
          <cell r="Z388">
            <v>0</v>
          </cell>
          <cell r="AA388">
            <v>0</v>
          </cell>
          <cell r="AB388">
            <v>45114560</v>
          </cell>
          <cell r="AC388">
            <v>37732560</v>
          </cell>
          <cell r="AD388">
            <v>6182000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K388">
            <v>1200000</v>
          </cell>
          <cell r="AL388">
            <v>45114560</v>
          </cell>
          <cell r="AM388">
            <v>388</v>
          </cell>
        </row>
        <row r="389">
          <cell r="A389" t="str">
            <v>조도현</v>
          </cell>
          <cell r="B389">
            <v>9134783</v>
          </cell>
          <cell r="C389" t="str">
            <v>4142305</v>
          </cell>
          <cell r="D389" t="str">
            <v>TM</v>
          </cell>
          <cell r="E389" t="str">
            <v>부산복합TM</v>
          </cell>
          <cell r="F389" t="str">
            <v>영업매니저</v>
          </cell>
          <cell r="G389" t="str">
            <v>과장</v>
          </cell>
          <cell r="H389" t="str">
            <v>21</v>
          </cell>
          <cell r="I389" t="str">
            <v>01</v>
          </cell>
          <cell r="J389">
            <v>2101</v>
          </cell>
          <cell r="K389" t="str">
            <v>일반직</v>
          </cell>
          <cell r="L389" t="str">
            <v>G1</v>
          </cell>
          <cell r="M389" t="str">
            <v>C</v>
          </cell>
          <cell r="N389">
            <v>45690000</v>
          </cell>
          <cell r="O389">
            <v>1200000</v>
          </cell>
          <cell r="P389">
            <v>10879850</v>
          </cell>
          <cell r="Q389">
            <v>0.5</v>
          </cell>
          <cell r="R389">
            <v>45690000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1200000</v>
          </cell>
          <cell r="X389">
            <v>5439930</v>
          </cell>
          <cell r="Y389">
            <v>-586200</v>
          </cell>
          <cell r="Z389">
            <v>0</v>
          </cell>
          <cell r="AA389">
            <v>0</v>
          </cell>
          <cell r="AB389">
            <v>51743730</v>
          </cell>
          <cell r="AC389">
            <v>45690000</v>
          </cell>
          <cell r="AD389">
            <v>4853730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K389">
            <v>1200000</v>
          </cell>
          <cell r="AL389">
            <v>51743730</v>
          </cell>
          <cell r="AM389">
            <v>389</v>
          </cell>
        </row>
        <row r="390">
          <cell r="A390" t="str">
            <v>최윤희</v>
          </cell>
          <cell r="B390">
            <v>9134929</v>
          </cell>
          <cell r="C390" t="str">
            <v>4142306</v>
          </cell>
          <cell r="D390" t="str">
            <v>TM</v>
          </cell>
          <cell r="E390" t="str">
            <v>리더스복합TM</v>
          </cell>
          <cell r="F390" t="str">
            <v>영업지원</v>
          </cell>
          <cell r="G390" t="str">
            <v>주임</v>
          </cell>
          <cell r="H390" t="str">
            <v>31</v>
          </cell>
          <cell r="I390" t="str">
            <v>02</v>
          </cell>
          <cell r="J390">
            <v>3102</v>
          </cell>
          <cell r="K390" t="str">
            <v>사무직</v>
          </cell>
          <cell r="L390" t="str">
            <v>G3</v>
          </cell>
          <cell r="M390" t="str">
            <v>B</v>
          </cell>
          <cell r="N390">
            <v>36025800</v>
          </cell>
          <cell r="O390">
            <v>1200000</v>
          </cell>
          <cell r="P390">
            <v>6134000</v>
          </cell>
          <cell r="Q390">
            <v>1</v>
          </cell>
          <cell r="R390">
            <v>36025800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1200000</v>
          </cell>
          <cell r="X390">
            <v>6134000</v>
          </cell>
          <cell r="Y390">
            <v>0</v>
          </cell>
          <cell r="Z390">
            <v>0</v>
          </cell>
          <cell r="AA390">
            <v>0</v>
          </cell>
          <cell r="AB390">
            <v>43359800</v>
          </cell>
          <cell r="AC390">
            <v>36025800</v>
          </cell>
          <cell r="AD390">
            <v>6134000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K390">
            <v>1200000</v>
          </cell>
          <cell r="AL390">
            <v>43359800</v>
          </cell>
          <cell r="AM390">
            <v>390</v>
          </cell>
        </row>
        <row r="391">
          <cell r="A391" t="str">
            <v>윤석붕</v>
          </cell>
          <cell r="B391">
            <v>9132470</v>
          </cell>
          <cell r="C391" t="str">
            <v>4142306</v>
          </cell>
          <cell r="D391" t="str">
            <v>TM</v>
          </cell>
          <cell r="E391" t="str">
            <v>리더스복합TM</v>
          </cell>
          <cell r="F391" t="str">
            <v>영업매니저</v>
          </cell>
          <cell r="G391" t="str">
            <v>과장</v>
          </cell>
          <cell r="H391" t="str">
            <v>21</v>
          </cell>
          <cell r="I391" t="str">
            <v>01</v>
          </cell>
          <cell r="J391">
            <v>2101</v>
          </cell>
          <cell r="K391" t="str">
            <v>일반직</v>
          </cell>
          <cell r="L391" t="str">
            <v>G1</v>
          </cell>
          <cell r="M391" t="str">
            <v>B</v>
          </cell>
          <cell r="N391">
            <v>45810000</v>
          </cell>
          <cell r="O391">
            <v>1200000</v>
          </cell>
          <cell r="P391">
            <v>11733620</v>
          </cell>
          <cell r="Q391">
            <v>1</v>
          </cell>
          <cell r="R391">
            <v>45810000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1200000</v>
          </cell>
          <cell r="X391">
            <v>11733620</v>
          </cell>
          <cell r="Y391">
            <v>-586200</v>
          </cell>
          <cell r="Z391">
            <v>0</v>
          </cell>
          <cell r="AA391">
            <v>0</v>
          </cell>
          <cell r="AB391">
            <v>58157420</v>
          </cell>
          <cell r="AC391">
            <v>45810000</v>
          </cell>
          <cell r="AD391">
            <v>11147420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K391">
            <v>1200000</v>
          </cell>
          <cell r="AL391">
            <v>58157420</v>
          </cell>
          <cell r="AM391">
            <v>391</v>
          </cell>
        </row>
        <row r="392">
          <cell r="A392" t="str">
            <v>임경수</v>
          </cell>
          <cell r="B392">
            <v>9132730</v>
          </cell>
          <cell r="C392" t="str">
            <v>4142308</v>
          </cell>
          <cell r="D392" t="str">
            <v>TM</v>
          </cell>
          <cell r="E392" t="str">
            <v>남대문복합TM</v>
          </cell>
          <cell r="F392" t="str">
            <v>영업매니저</v>
          </cell>
          <cell r="G392" t="str">
            <v>과장</v>
          </cell>
          <cell r="H392" t="str">
            <v>21</v>
          </cell>
          <cell r="I392" t="str">
            <v>01</v>
          </cell>
          <cell r="J392">
            <v>2101</v>
          </cell>
          <cell r="K392" t="str">
            <v>일반직</v>
          </cell>
          <cell r="L392" t="str">
            <v>G1</v>
          </cell>
          <cell r="M392" t="str">
            <v>A</v>
          </cell>
          <cell r="N392">
            <v>45810000</v>
          </cell>
          <cell r="O392">
            <v>1200000</v>
          </cell>
          <cell r="P392">
            <v>11591330</v>
          </cell>
          <cell r="Q392">
            <v>1.5</v>
          </cell>
          <cell r="R392">
            <v>45810000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1200000</v>
          </cell>
          <cell r="X392">
            <v>17387000</v>
          </cell>
          <cell r="Y392">
            <v>-586200</v>
          </cell>
          <cell r="Z392">
            <v>444520</v>
          </cell>
          <cell r="AA392">
            <v>0</v>
          </cell>
          <cell r="AB392">
            <v>64255320</v>
          </cell>
          <cell r="AC392">
            <v>45810000</v>
          </cell>
          <cell r="AD392">
            <v>17245320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K392">
            <v>1200000</v>
          </cell>
          <cell r="AL392">
            <v>64255320</v>
          </cell>
          <cell r="AM392">
            <v>392</v>
          </cell>
        </row>
        <row r="393">
          <cell r="A393" t="str">
            <v>김길준</v>
          </cell>
          <cell r="B393">
            <v>9131717</v>
          </cell>
          <cell r="C393" t="str">
            <v>4160416</v>
          </cell>
          <cell r="D393" t="str">
            <v>TM</v>
          </cell>
          <cell r="E393" t="str">
            <v>GS홈쇼핑센타</v>
          </cell>
          <cell r="F393" t="str">
            <v>영업매니저</v>
          </cell>
          <cell r="G393" t="str">
            <v>차장</v>
          </cell>
          <cell r="H393" t="str">
            <v>12</v>
          </cell>
          <cell r="I393" t="str">
            <v>01</v>
          </cell>
          <cell r="J393">
            <v>1201</v>
          </cell>
          <cell r="K393" t="str">
            <v>일반직</v>
          </cell>
          <cell r="L393" t="str">
            <v>G1</v>
          </cell>
          <cell r="M393" t="str">
            <v>C</v>
          </cell>
          <cell r="N393">
            <v>52057500</v>
          </cell>
          <cell r="O393">
            <v>1200000</v>
          </cell>
          <cell r="P393">
            <v>13510340</v>
          </cell>
          <cell r="Q393">
            <v>0.5</v>
          </cell>
          <cell r="R393">
            <v>52057500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1200000</v>
          </cell>
          <cell r="X393">
            <v>6755170</v>
          </cell>
          <cell r="Y393">
            <v>-586200</v>
          </cell>
          <cell r="Z393">
            <v>0</v>
          </cell>
          <cell r="AA393">
            <v>0</v>
          </cell>
          <cell r="AB393">
            <v>59426470</v>
          </cell>
          <cell r="AC393">
            <v>52057500</v>
          </cell>
          <cell r="AD393">
            <v>6168970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K393">
            <v>1200000</v>
          </cell>
          <cell r="AL393">
            <v>59426470</v>
          </cell>
          <cell r="AM393">
            <v>393</v>
          </cell>
        </row>
        <row r="394">
          <cell r="A394" t="str">
            <v>강구옥</v>
          </cell>
          <cell r="B394">
            <v>9131547</v>
          </cell>
          <cell r="C394" t="str">
            <v>4170417</v>
          </cell>
          <cell r="D394" t="str">
            <v>TM</v>
          </cell>
          <cell r="E394" t="str">
            <v>우리홈쇼핑센타</v>
          </cell>
          <cell r="F394" t="str">
            <v>영업매니저</v>
          </cell>
          <cell r="G394" t="str">
            <v>차장</v>
          </cell>
          <cell r="H394" t="str">
            <v>12</v>
          </cell>
          <cell r="I394" t="str">
            <v>01</v>
          </cell>
          <cell r="J394">
            <v>1201</v>
          </cell>
          <cell r="K394" t="str">
            <v>일반직</v>
          </cell>
          <cell r="L394" t="str">
            <v>G1</v>
          </cell>
          <cell r="M394" t="str">
            <v>A</v>
          </cell>
          <cell r="N394">
            <v>52057500</v>
          </cell>
          <cell r="O394">
            <v>1200000</v>
          </cell>
          <cell r="P394">
            <v>13670830</v>
          </cell>
          <cell r="Q394">
            <v>1.5</v>
          </cell>
          <cell r="R394">
            <v>52057500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1200000</v>
          </cell>
          <cell r="X394">
            <v>20506250</v>
          </cell>
          <cell r="Y394">
            <v>-586200</v>
          </cell>
          <cell r="Z394">
            <v>444520</v>
          </cell>
          <cell r="AA394">
            <v>0</v>
          </cell>
          <cell r="AB394">
            <v>73622070</v>
          </cell>
          <cell r="AC394">
            <v>52057500</v>
          </cell>
          <cell r="AD394">
            <v>20364570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K394">
            <v>1200000</v>
          </cell>
          <cell r="AL394">
            <v>73622070</v>
          </cell>
          <cell r="AM394">
            <v>394</v>
          </cell>
        </row>
        <row r="395">
          <cell r="A395" t="str">
            <v>송태완</v>
          </cell>
          <cell r="B395">
            <v>9133507</v>
          </cell>
          <cell r="C395" t="str">
            <v>4190419</v>
          </cell>
          <cell r="D395" t="str">
            <v>TM</v>
          </cell>
          <cell r="E395" t="str">
            <v>방송센타</v>
          </cell>
          <cell r="F395" t="str">
            <v>영업매니저</v>
          </cell>
          <cell r="G395" t="str">
            <v>과장</v>
          </cell>
          <cell r="H395" t="str">
            <v>21</v>
          </cell>
          <cell r="I395" t="str">
            <v>01</v>
          </cell>
          <cell r="J395">
            <v>2101</v>
          </cell>
          <cell r="K395" t="str">
            <v>일반직</v>
          </cell>
          <cell r="L395" t="str">
            <v>G1</v>
          </cell>
          <cell r="M395" t="str">
            <v>B</v>
          </cell>
          <cell r="N395">
            <v>45810000</v>
          </cell>
          <cell r="O395">
            <v>1200000</v>
          </cell>
          <cell r="P395">
            <v>11306740</v>
          </cell>
          <cell r="Q395">
            <v>1</v>
          </cell>
          <cell r="R395">
            <v>45810000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1200000</v>
          </cell>
          <cell r="X395">
            <v>11306740</v>
          </cell>
          <cell r="Y395">
            <v>-586200</v>
          </cell>
          <cell r="Z395">
            <v>0</v>
          </cell>
          <cell r="AA395">
            <v>0</v>
          </cell>
          <cell r="AB395">
            <v>57730540</v>
          </cell>
          <cell r="AC395">
            <v>45810000</v>
          </cell>
          <cell r="AD395">
            <v>10720540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K395">
            <v>1200000</v>
          </cell>
          <cell r="AL395">
            <v>57730540</v>
          </cell>
          <cell r="AM395">
            <v>395</v>
          </cell>
        </row>
        <row r="396">
          <cell r="A396" t="str">
            <v>손부현</v>
          </cell>
          <cell r="B396">
            <v>9133680</v>
          </cell>
          <cell r="C396" t="str">
            <v>4200420</v>
          </cell>
          <cell r="D396" t="str">
            <v>TM</v>
          </cell>
          <cell r="E396" t="str">
            <v>농수산홈쇼핑센타</v>
          </cell>
          <cell r="F396" t="str">
            <v>영업매니저</v>
          </cell>
          <cell r="G396" t="str">
            <v>과장</v>
          </cell>
          <cell r="H396" t="str">
            <v>22</v>
          </cell>
          <cell r="I396" t="str">
            <v>04</v>
          </cell>
          <cell r="J396">
            <v>2204</v>
          </cell>
          <cell r="K396" t="str">
            <v>일반직</v>
          </cell>
          <cell r="L396" t="str">
            <v>G1</v>
          </cell>
          <cell r="M396" t="str">
            <v>B</v>
          </cell>
          <cell r="N396">
            <v>39606000</v>
          </cell>
          <cell r="O396">
            <v>1200000</v>
          </cell>
          <cell r="P396">
            <v>9122760</v>
          </cell>
          <cell r="Q396">
            <v>1</v>
          </cell>
          <cell r="R396">
            <v>39606000</v>
          </cell>
          <cell r="S396">
            <v>5000000</v>
          </cell>
          <cell r="T396">
            <v>0</v>
          </cell>
          <cell r="U396">
            <v>0</v>
          </cell>
          <cell r="V396">
            <v>0</v>
          </cell>
          <cell r="W396">
            <v>1200000</v>
          </cell>
          <cell r="X396">
            <v>9122760</v>
          </cell>
          <cell r="Y396">
            <v>-586200</v>
          </cell>
          <cell r="Z396">
            <v>0</v>
          </cell>
          <cell r="AA396">
            <v>0</v>
          </cell>
          <cell r="AB396">
            <v>54342560</v>
          </cell>
          <cell r="AC396">
            <v>39606000</v>
          </cell>
          <cell r="AD396">
            <v>8536560</v>
          </cell>
          <cell r="AE396">
            <v>5000000</v>
          </cell>
          <cell r="AF396">
            <v>0</v>
          </cell>
          <cell r="AG396">
            <v>0</v>
          </cell>
          <cell r="AH396">
            <v>0</v>
          </cell>
          <cell r="AK396">
            <v>1200000</v>
          </cell>
          <cell r="AL396">
            <v>54342560</v>
          </cell>
          <cell r="AM396">
            <v>396</v>
          </cell>
        </row>
        <row r="397">
          <cell r="A397" t="str">
            <v>윤정섭</v>
          </cell>
          <cell r="B397">
            <v>9133566</v>
          </cell>
          <cell r="C397" t="str">
            <v>4220422</v>
          </cell>
          <cell r="D397" t="str">
            <v>TM</v>
          </cell>
          <cell r="E397" t="str">
            <v>다이렉트센타</v>
          </cell>
          <cell r="F397" t="str">
            <v>영업매니저</v>
          </cell>
          <cell r="G397" t="str">
            <v>과장</v>
          </cell>
          <cell r="H397" t="str">
            <v>21</v>
          </cell>
          <cell r="I397" t="str">
            <v>01</v>
          </cell>
          <cell r="J397">
            <v>2101</v>
          </cell>
          <cell r="K397" t="str">
            <v>일반직</v>
          </cell>
          <cell r="L397" t="str">
            <v>G1</v>
          </cell>
          <cell r="M397" t="str">
            <v>B</v>
          </cell>
          <cell r="N397">
            <v>45810000</v>
          </cell>
          <cell r="O397">
            <v>1200000</v>
          </cell>
          <cell r="P397">
            <v>11306740</v>
          </cell>
          <cell r="Q397">
            <v>1</v>
          </cell>
          <cell r="R397">
            <v>45810000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1200000</v>
          </cell>
          <cell r="X397">
            <v>11306740</v>
          </cell>
          <cell r="Y397">
            <v>-586200</v>
          </cell>
          <cell r="Z397">
            <v>0</v>
          </cell>
          <cell r="AA397">
            <v>0</v>
          </cell>
          <cell r="AB397">
            <v>57730540</v>
          </cell>
          <cell r="AC397">
            <v>45810000</v>
          </cell>
          <cell r="AD397">
            <v>10720540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K397">
            <v>1200000</v>
          </cell>
          <cell r="AL397">
            <v>57730540</v>
          </cell>
          <cell r="AM397">
            <v>397</v>
          </cell>
        </row>
        <row r="398">
          <cell r="A398" t="str">
            <v>김광규</v>
          </cell>
          <cell r="B398">
            <v>9132640</v>
          </cell>
          <cell r="C398" t="str">
            <v>5110511</v>
          </cell>
          <cell r="D398" t="str">
            <v>AM</v>
          </cell>
          <cell r="E398" t="str">
            <v>강남AM지점</v>
          </cell>
          <cell r="F398" t="str">
            <v>지점선임</v>
          </cell>
          <cell r="G398" t="str">
            <v>대리</v>
          </cell>
          <cell r="H398" t="str">
            <v>22</v>
          </cell>
          <cell r="I398" t="str">
            <v>02</v>
          </cell>
          <cell r="J398">
            <v>2202</v>
          </cell>
          <cell r="K398" t="str">
            <v>일반직</v>
          </cell>
          <cell r="L398" t="str">
            <v>G2</v>
          </cell>
          <cell r="M398" t="str">
            <v>B</v>
          </cell>
          <cell r="N398">
            <v>39060000</v>
          </cell>
          <cell r="O398">
            <v>1200000</v>
          </cell>
          <cell r="P398">
            <v>9357390</v>
          </cell>
          <cell r="Q398">
            <v>1</v>
          </cell>
          <cell r="R398">
            <v>39060000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1200000</v>
          </cell>
          <cell r="X398">
            <v>9357390</v>
          </cell>
          <cell r="Y398">
            <v>0</v>
          </cell>
          <cell r="Z398">
            <v>0</v>
          </cell>
          <cell r="AA398">
            <v>0</v>
          </cell>
          <cell r="AB398">
            <v>49617390</v>
          </cell>
          <cell r="AC398">
            <v>39060000</v>
          </cell>
          <cell r="AD398">
            <v>9357390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K398">
            <v>1200000</v>
          </cell>
          <cell r="AL398">
            <v>49617390</v>
          </cell>
          <cell r="AM398">
            <v>398</v>
          </cell>
        </row>
        <row r="399">
          <cell r="A399" t="str">
            <v>최정훈</v>
          </cell>
          <cell r="B399">
            <v>9131296</v>
          </cell>
          <cell r="C399" t="str">
            <v>5130513</v>
          </cell>
          <cell r="D399" t="str">
            <v>AM</v>
          </cell>
          <cell r="E399" t="str">
            <v>대구AM지점</v>
          </cell>
          <cell r="F399" t="str">
            <v>지점선임</v>
          </cell>
          <cell r="G399" t="str">
            <v>과장</v>
          </cell>
          <cell r="H399" t="str">
            <v>22</v>
          </cell>
          <cell r="I399" t="str">
            <v>12</v>
          </cell>
          <cell r="J399">
            <v>2212</v>
          </cell>
          <cell r="K399" t="str">
            <v>일반직</v>
          </cell>
          <cell r="L399" t="str">
            <v>G2</v>
          </cell>
          <cell r="M399" t="str">
            <v>D</v>
          </cell>
          <cell r="N399">
            <v>41322000</v>
          </cell>
          <cell r="O399">
            <v>1200000</v>
          </cell>
          <cell r="P399">
            <v>10664400</v>
          </cell>
          <cell r="Q399">
            <v>0</v>
          </cell>
          <cell r="R399">
            <v>41322000</v>
          </cell>
          <cell r="S399">
            <v>0</v>
          </cell>
          <cell r="T399">
            <v>0</v>
          </cell>
          <cell r="U399">
            <v>0</v>
          </cell>
          <cell r="V399">
            <v>-4132200</v>
          </cell>
          <cell r="W399">
            <v>1200000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38389800</v>
          </cell>
          <cell r="AC399">
            <v>37189800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K399">
            <v>1200000</v>
          </cell>
          <cell r="AL399">
            <v>38389800</v>
          </cell>
          <cell r="AM399">
            <v>399</v>
          </cell>
        </row>
        <row r="400">
          <cell r="A400" t="str">
            <v>조성제</v>
          </cell>
          <cell r="B400">
            <v>9133973</v>
          </cell>
          <cell r="C400" t="str">
            <v>5140514</v>
          </cell>
          <cell r="D400" t="str">
            <v>AM</v>
          </cell>
          <cell r="E400" t="str">
            <v>부산AM지점</v>
          </cell>
          <cell r="F400" t="str">
            <v>지점선임</v>
          </cell>
          <cell r="G400" t="str">
            <v>과장</v>
          </cell>
          <cell r="H400" t="str">
            <v>22</v>
          </cell>
          <cell r="I400" t="str">
            <v>05</v>
          </cell>
          <cell r="J400">
            <v>2205</v>
          </cell>
          <cell r="K400" t="str">
            <v>일반직</v>
          </cell>
          <cell r="L400" t="str">
            <v>G2</v>
          </cell>
          <cell r="M400" t="str">
            <v>B</v>
          </cell>
          <cell r="N400">
            <v>39795000</v>
          </cell>
          <cell r="O400">
            <v>1200000</v>
          </cell>
          <cell r="P400">
            <v>9043940</v>
          </cell>
          <cell r="Q400">
            <v>1</v>
          </cell>
          <cell r="R400">
            <v>39795000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1200000</v>
          </cell>
          <cell r="X400">
            <v>9043940</v>
          </cell>
          <cell r="Y400">
            <v>0</v>
          </cell>
          <cell r="Z400">
            <v>0</v>
          </cell>
          <cell r="AA400">
            <v>0</v>
          </cell>
          <cell r="AB400">
            <v>50038940</v>
          </cell>
          <cell r="AC400">
            <v>39795000</v>
          </cell>
          <cell r="AD400">
            <v>9043940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K400">
            <v>1200000</v>
          </cell>
          <cell r="AL400">
            <v>50038940</v>
          </cell>
          <cell r="AM400">
            <v>400</v>
          </cell>
        </row>
        <row r="401">
          <cell r="A401" t="str">
            <v>조영삼</v>
          </cell>
          <cell r="B401">
            <v>9133817</v>
          </cell>
          <cell r="C401" t="str">
            <v>5150515</v>
          </cell>
          <cell r="D401" t="str">
            <v>AM</v>
          </cell>
          <cell r="E401" t="str">
            <v>대전AM지점</v>
          </cell>
          <cell r="F401" t="str">
            <v>지점선임</v>
          </cell>
          <cell r="G401" t="str">
            <v>과장</v>
          </cell>
          <cell r="H401" t="str">
            <v>22</v>
          </cell>
          <cell r="I401" t="str">
            <v>06</v>
          </cell>
          <cell r="J401">
            <v>2206</v>
          </cell>
          <cell r="K401" t="str">
            <v>일반직</v>
          </cell>
          <cell r="L401" t="str">
            <v>G2</v>
          </cell>
          <cell r="M401" t="str">
            <v>B</v>
          </cell>
          <cell r="N401">
            <v>39984000</v>
          </cell>
          <cell r="O401">
            <v>1200000</v>
          </cell>
          <cell r="P401">
            <v>9213640</v>
          </cell>
          <cell r="Q401">
            <v>1</v>
          </cell>
          <cell r="R401">
            <v>39984000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1200000</v>
          </cell>
          <cell r="X401">
            <v>9213640</v>
          </cell>
          <cell r="Y401">
            <v>0</v>
          </cell>
          <cell r="Z401">
            <v>0</v>
          </cell>
          <cell r="AA401">
            <v>0</v>
          </cell>
          <cell r="AB401">
            <v>50397640</v>
          </cell>
          <cell r="AC401">
            <v>39984000</v>
          </cell>
          <cell r="AD401">
            <v>9213640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K401">
            <v>1200000</v>
          </cell>
          <cell r="AL401">
            <v>50397640</v>
          </cell>
          <cell r="AM401">
            <v>401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집계표결과"/>
      <sheetName val="연장수당"/>
    </sheetNames>
    <sheetDataSet>
      <sheetData sheetId="0"/>
      <sheetData sheetId="1">
        <row r="2">
          <cell r="A2" t="str">
            <v>성  명</v>
          </cell>
          <cell r="B2" t="str">
            <v>Total</v>
          </cell>
        </row>
        <row r="4">
          <cell r="A4" t="str">
            <v>김경애1</v>
          </cell>
          <cell r="B4">
            <v>6.25</v>
          </cell>
        </row>
        <row r="5">
          <cell r="A5" t="str">
            <v>김병훈</v>
          </cell>
          <cell r="B5">
            <v>6.25</v>
          </cell>
        </row>
        <row r="6">
          <cell r="A6" t="str">
            <v>김옥경</v>
          </cell>
          <cell r="B6">
            <v>6.25</v>
          </cell>
        </row>
        <row r="7">
          <cell r="A7" t="str">
            <v>김옥화</v>
          </cell>
          <cell r="B7">
            <v>6.25</v>
          </cell>
        </row>
        <row r="8">
          <cell r="A8" t="str">
            <v>박철민</v>
          </cell>
          <cell r="B8">
            <v>6</v>
          </cell>
        </row>
        <row r="9">
          <cell r="A9" t="str">
            <v>박철민</v>
          </cell>
          <cell r="B9">
            <v>-15.5</v>
          </cell>
        </row>
        <row r="10">
          <cell r="A10" t="str">
            <v>송종필</v>
          </cell>
          <cell r="B10">
            <v>6</v>
          </cell>
        </row>
        <row r="11">
          <cell r="A11" t="str">
            <v>승금자</v>
          </cell>
          <cell r="B11">
            <v>6.25</v>
          </cell>
        </row>
        <row r="12">
          <cell r="A12" t="str">
            <v>안병선</v>
          </cell>
          <cell r="B12">
            <v>7.5</v>
          </cell>
        </row>
        <row r="13">
          <cell r="A13" t="str">
            <v>오혜연</v>
          </cell>
          <cell r="B13">
            <v>17.25</v>
          </cell>
        </row>
        <row r="14">
          <cell r="A14" t="str">
            <v>이상욱</v>
          </cell>
          <cell r="B14">
            <v>3.75</v>
          </cell>
        </row>
        <row r="15">
          <cell r="A15" t="str">
            <v>이성우</v>
          </cell>
          <cell r="B15">
            <v>6</v>
          </cell>
        </row>
        <row r="16">
          <cell r="A16" t="str">
            <v>이웅보</v>
          </cell>
          <cell r="B16">
            <v>10.25</v>
          </cell>
        </row>
        <row r="17">
          <cell r="A17" t="str">
            <v>이원효</v>
          </cell>
          <cell r="B17">
            <v>6.25</v>
          </cell>
        </row>
        <row r="18">
          <cell r="A18" t="str">
            <v>이인수</v>
          </cell>
          <cell r="B18">
            <v>4.5</v>
          </cell>
        </row>
        <row r="19">
          <cell r="A19" t="str">
            <v>이준희</v>
          </cell>
          <cell r="B19">
            <v>16.5</v>
          </cell>
        </row>
        <row r="20">
          <cell r="A20" t="str">
            <v>장현인</v>
          </cell>
          <cell r="B20">
            <v>47.5</v>
          </cell>
        </row>
        <row r="21">
          <cell r="A21" t="str">
            <v>채은옥</v>
          </cell>
          <cell r="B21">
            <v>6</v>
          </cell>
        </row>
        <row r="22">
          <cell r="A22" t="str">
            <v>홍순서</v>
          </cell>
          <cell r="B22">
            <v>6.25</v>
          </cell>
        </row>
        <row r="23">
          <cell r="A23" t="str">
            <v>김현자</v>
          </cell>
          <cell r="B23">
            <v>33</v>
          </cell>
        </row>
        <row r="24">
          <cell r="A24" t="str">
            <v>유동호</v>
          </cell>
          <cell r="B24">
            <v>8.75</v>
          </cell>
        </row>
        <row r="25">
          <cell r="A25" t="str">
            <v>장지희</v>
          </cell>
          <cell r="B25">
            <v>5.25</v>
          </cell>
        </row>
      </sheetData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일위산출근거"/>
      <sheetName val="일위대가"/>
      <sheetName val="COST"/>
      <sheetName val="간접비계산"/>
      <sheetName val="일위산출"/>
      <sheetName val="익산-"/>
      <sheetName val="철거산출근거"/>
      <sheetName val="자재단가비교표"/>
      <sheetName val="sheet1"/>
      <sheetName val="수량집계(일반통신)"/>
      <sheetName val="노임단가"/>
      <sheetName val="수량산출"/>
      <sheetName val="1195일위1-1"/>
      <sheetName val="기"/>
      <sheetName val="전선(총)"/>
      <sheetName val="원가계산서"/>
      <sheetName val="1,2공구원가계산서"/>
      <sheetName val="2공구산출내역"/>
      <sheetName val="1공구산출내역서"/>
      <sheetName val="단1"/>
      <sheetName val="직노"/>
      <sheetName val="#REF"/>
      <sheetName val="노무비 근거"/>
      <sheetName val="내역서"/>
      <sheetName val="노임"/>
      <sheetName val="단가비교"/>
      <sheetName val="인건비"/>
      <sheetName val="신우"/>
      <sheetName val="자재단가"/>
      <sheetName val="J直材4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변경요청서"/>
      <sheetName val="1.설계변경사유서"/>
      <sheetName val="2.공사비증감비교표"/>
      <sheetName val="3.증감비교표"/>
      <sheetName val="4.표지"/>
      <sheetName val="4.1공사원가"/>
      <sheetName val="4.2내역서"/>
      <sheetName val="4.3.일위대가"/>
      <sheetName val="6.인공산출"/>
      <sheetName val="5.표지"/>
      <sheetName val="5.1수량산출"/>
      <sheetName val="6.수량산출(1)"/>
      <sheetName val="6.수량산출(2)"/>
      <sheetName val="6.수량산출(3)"/>
      <sheetName val="3.내역서"/>
      <sheetName val="조명율표"/>
      <sheetName val="철거산출근거"/>
      <sheetName val="전선(총)"/>
      <sheetName val="일위산출근거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J4" t="str">
            <v>금액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(신설)"/>
      <sheetName val="1공구총(신설)"/>
      <sheetName val="2공구총(신설)"/>
      <sheetName val="교육설비(2공구)"/>
      <sheetName val="총(신설)(참고)"/>
      <sheetName val="간지-1"/>
      <sheetName val="가"/>
      <sheetName val="가1"/>
      <sheetName val="가1-1"/>
      <sheetName val="가2"/>
      <sheetName val="가2-1"/>
      <sheetName val="가3-1"/>
      <sheetName val="가3-2"/>
      <sheetName val="나"/>
      <sheetName val="나1"/>
      <sheetName val="나1-1"/>
      <sheetName val="다"/>
      <sheetName val="다1"/>
      <sheetName val="다1-1"/>
      <sheetName val="다1-2"/>
      <sheetName val="다1-3"/>
      <sheetName val="다1-4"/>
      <sheetName val="다2"/>
      <sheetName val="다2-1"/>
      <sheetName val="다2-2"/>
      <sheetName val="다2-3"/>
      <sheetName val="다3"/>
      <sheetName val="다3-1"/>
      <sheetName val="다3-2"/>
      <sheetName val="다3-3"/>
      <sheetName val="다4"/>
      <sheetName val="다4-1"/>
      <sheetName val="다4-2"/>
      <sheetName val="다4-3"/>
      <sheetName val="다4-4"/>
      <sheetName val="다5"/>
      <sheetName val="다5-1"/>
      <sheetName val="다5-2"/>
      <sheetName val="다5-3"/>
      <sheetName val="직노"/>
      <sheetName val="실행내역"/>
      <sheetName val="내역"/>
      <sheetName val="노단"/>
      <sheetName val="공사착공계"/>
      <sheetName val="도담구내 개소별 명세"/>
      <sheetName val="자재단가"/>
      <sheetName val="4.2내역서"/>
      <sheetName val="입상내역"/>
      <sheetName val="전철"/>
      <sheetName val="집계"/>
      <sheetName val="철거산출근거"/>
      <sheetName val="수량산출서"/>
      <sheetName val="200"/>
      <sheetName val="물가자료"/>
      <sheetName val="일위산출근거"/>
      <sheetName val="교각별철근수량집계표"/>
      <sheetName val="재료"/>
      <sheetName val="96정변2"/>
      <sheetName val="요율"/>
      <sheetName val="b_balju_cho"/>
      <sheetName val="일위목록"/>
      <sheetName val="산출"/>
      <sheetName val="자재단가비교표"/>
      <sheetName val="GRACE"/>
      <sheetName val="자료"/>
      <sheetName val="7-1노임"/>
      <sheetName val="7-2경비"/>
      <sheetName val="내역서"/>
      <sheetName val="정산내역"/>
      <sheetName val="노임"/>
      <sheetName val="집계표"/>
      <sheetName val="봉양~조차장간고하개명(신설)"/>
      <sheetName val="22일위"/>
      <sheetName val="어룡"/>
      <sheetName val="COS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(신설)"/>
      <sheetName val="1공구총(신설)"/>
      <sheetName val="2공구총(신설)"/>
      <sheetName val="교육설비(2공구)"/>
      <sheetName val="총(신설)(참고)"/>
      <sheetName val="4.2내역서"/>
      <sheetName val="20관리비율"/>
    </sheetNames>
    <sheetDataSet>
      <sheetData sheetId="0">
        <row r="2">
          <cell r="C2" t="str">
            <v>일위번호</v>
          </cell>
          <cell r="E2" t="str">
            <v>공      종</v>
          </cell>
          <cell r="F2" t="str">
            <v>규       격</v>
          </cell>
          <cell r="G2" t="str">
            <v>단위</v>
          </cell>
          <cell r="H2" t="str">
            <v>계</v>
          </cell>
          <cell r="I2" t="str">
            <v>기기배치도</v>
          </cell>
          <cell r="J2" t="str">
            <v>전선로도</v>
          </cell>
          <cell r="K2" t="str">
            <v>궤도회로도</v>
          </cell>
          <cell r="L2" t="str">
            <v>지장물 이설</v>
          </cell>
          <cell r="M2" t="str">
            <v>교육설비</v>
          </cell>
          <cell r="N2" t="str">
            <v>비   고</v>
          </cell>
        </row>
        <row r="3">
          <cell r="C3">
            <v>1</v>
          </cell>
          <cell r="E3" t="str">
            <v>신호기 신설</v>
          </cell>
          <cell r="F3" t="str">
            <v>다등형 3현시, 스텐레스</v>
          </cell>
          <cell r="G3" t="str">
            <v>기</v>
          </cell>
          <cell r="H3">
            <v>14</v>
          </cell>
          <cell r="I3">
            <v>0</v>
          </cell>
          <cell r="J3">
            <v>14</v>
          </cell>
          <cell r="K3">
            <v>0</v>
          </cell>
          <cell r="M3">
            <v>0</v>
          </cell>
        </row>
        <row r="4">
          <cell r="C4">
            <v>2</v>
          </cell>
          <cell r="E4" t="str">
            <v>신호기 신설</v>
          </cell>
          <cell r="F4" t="str">
            <v>다등형 3현시, 콘크리트주</v>
          </cell>
          <cell r="G4" t="str">
            <v>기</v>
          </cell>
          <cell r="H4">
            <v>4</v>
          </cell>
          <cell r="I4">
            <v>0</v>
          </cell>
          <cell r="J4">
            <v>4</v>
          </cell>
          <cell r="K4">
            <v>0</v>
          </cell>
          <cell r="M4">
            <v>0</v>
          </cell>
        </row>
        <row r="5">
          <cell r="C5">
            <v>3</v>
          </cell>
          <cell r="E5" t="str">
            <v>신호기 신설</v>
          </cell>
          <cell r="F5" t="str">
            <v>다등형 5현시, 스텐레스</v>
          </cell>
          <cell r="G5" t="str">
            <v>기</v>
          </cell>
          <cell r="H5">
            <v>30</v>
          </cell>
          <cell r="I5">
            <v>0</v>
          </cell>
          <cell r="J5">
            <v>27</v>
          </cell>
          <cell r="K5">
            <v>0</v>
          </cell>
          <cell r="M5">
            <v>3</v>
          </cell>
        </row>
        <row r="6">
          <cell r="C6">
            <v>4</v>
          </cell>
          <cell r="E6" t="str">
            <v>신호기 신설</v>
          </cell>
          <cell r="F6" t="str">
            <v>다등형 5현시, 콘크리트주</v>
          </cell>
          <cell r="G6" t="str">
            <v>기</v>
          </cell>
          <cell r="H6">
            <v>40</v>
          </cell>
          <cell r="I6">
            <v>0</v>
          </cell>
          <cell r="J6">
            <v>40</v>
          </cell>
          <cell r="K6">
            <v>0</v>
          </cell>
          <cell r="M6">
            <v>0</v>
          </cell>
        </row>
        <row r="7">
          <cell r="C7">
            <v>5</v>
          </cell>
          <cell r="E7" t="str">
            <v>폐색신호기 신설</v>
          </cell>
          <cell r="F7" t="str">
            <v>다등형 3현시</v>
          </cell>
          <cell r="G7" t="str">
            <v>기</v>
          </cell>
          <cell r="H7">
            <v>6</v>
          </cell>
          <cell r="I7">
            <v>0</v>
          </cell>
          <cell r="J7">
            <v>6</v>
          </cell>
          <cell r="K7">
            <v>0</v>
          </cell>
          <cell r="M7">
            <v>0</v>
          </cell>
        </row>
        <row r="8">
          <cell r="C8">
            <v>6</v>
          </cell>
          <cell r="E8" t="str">
            <v>폐색신호기 신설</v>
          </cell>
          <cell r="F8" t="str">
            <v>다등형 5현시</v>
          </cell>
          <cell r="G8" t="str">
            <v>기</v>
          </cell>
          <cell r="H8">
            <v>207</v>
          </cell>
          <cell r="I8">
            <v>0</v>
          </cell>
          <cell r="J8">
            <v>206</v>
          </cell>
          <cell r="K8">
            <v>0</v>
          </cell>
          <cell r="M8">
            <v>1</v>
          </cell>
        </row>
        <row r="9">
          <cell r="C9">
            <v>7</v>
          </cell>
          <cell r="E9" t="str">
            <v>폐색신호기 신설</v>
          </cell>
          <cell r="F9" t="str">
            <v>다등형 5현시(고가)</v>
          </cell>
          <cell r="G9" t="str">
            <v>기</v>
          </cell>
          <cell r="H9">
            <v>1</v>
          </cell>
          <cell r="I9">
            <v>0</v>
          </cell>
          <cell r="J9">
            <v>1</v>
          </cell>
          <cell r="K9">
            <v>0</v>
          </cell>
          <cell r="M9">
            <v>0</v>
          </cell>
        </row>
        <row r="10">
          <cell r="C10">
            <v>8</v>
          </cell>
          <cell r="E10" t="str">
            <v>폐색신호기 신설</v>
          </cell>
          <cell r="F10" t="str">
            <v>다등형 5현시(터널)</v>
          </cell>
          <cell r="G10" t="str">
            <v>기</v>
          </cell>
          <cell r="H10">
            <v>4</v>
          </cell>
          <cell r="I10">
            <v>0</v>
          </cell>
          <cell r="J10">
            <v>4</v>
          </cell>
          <cell r="K10">
            <v>0</v>
          </cell>
          <cell r="M10">
            <v>0</v>
          </cell>
        </row>
        <row r="11">
          <cell r="C11">
            <v>9</v>
          </cell>
          <cell r="E11" t="str">
            <v>중계신호기 신설</v>
          </cell>
          <cell r="F11" t="str">
            <v>등열식</v>
          </cell>
          <cell r="G11" t="str">
            <v>기</v>
          </cell>
          <cell r="H11">
            <v>11</v>
          </cell>
          <cell r="I11">
            <v>0</v>
          </cell>
          <cell r="J11">
            <v>11</v>
          </cell>
          <cell r="K11">
            <v>0</v>
          </cell>
          <cell r="M11">
            <v>0</v>
          </cell>
        </row>
        <row r="12">
          <cell r="C12">
            <v>10</v>
          </cell>
          <cell r="E12" t="str">
            <v>진로선별등 신설</v>
          </cell>
          <cell r="F12" t="str">
            <v>주신호용(등열식)</v>
          </cell>
          <cell r="G12" t="str">
            <v>개</v>
          </cell>
          <cell r="H12">
            <v>26</v>
          </cell>
          <cell r="I12">
            <v>0</v>
          </cell>
          <cell r="J12">
            <v>25</v>
          </cell>
          <cell r="K12">
            <v>0</v>
          </cell>
          <cell r="M12">
            <v>1</v>
          </cell>
        </row>
        <row r="13">
          <cell r="C13">
            <v>11</v>
          </cell>
          <cell r="E13" t="str">
            <v>진로선별등 신설</v>
          </cell>
          <cell r="F13" t="str">
            <v>주신호용(문자식)</v>
          </cell>
          <cell r="G13" t="str">
            <v>개</v>
          </cell>
          <cell r="H13">
            <v>1</v>
          </cell>
          <cell r="I13">
            <v>0</v>
          </cell>
          <cell r="J13">
            <v>1</v>
          </cell>
          <cell r="K13">
            <v>0</v>
          </cell>
          <cell r="M13">
            <v>0</v>
          </cell>
        </row>
        <row r="14">
          <cell r="C14">
            <v>12</v>
          </cell>
          <cell r="E14" t="str">
            <v>입환표지 신설</v>
          </cell>
          <cell r="F14" t="str">
            <v>색등식자립형</v>
          </cell>
          <cell r="G14" t="str">
            <v>기</v>
          </cell>
          <cell r="H14">
            <v>126</v>
          </cell>
          <cell r="I14">
            <v>0</v>
          </cell>
          <cell r="J14">
            <v>125</v>
          </cell>
          <cell r="K14">
            <v>0</v>
          </cell>
          <cell r="M14">
            <v>1</v>
          </cell>
        </row>
        <row r="15">
          <cell r="C15">
            <v>13</v>
          </cell>
          <cell r="E15" t="str">
            <v>입환표지 신설</v>
          </cell>
          <cell r="F15" t="str">
            <v>색등식취부형</v>
          </cell>
          <cell r="G15" t="str">
            <v>기</v>
          </cell>
          <cell r="H15">
            <v>36</v>
          </cell>
          <cell r="I15">
            <v>0</v>
          </cell>
          <cell r="J15">
            <v>34</v>
          </cell>
          <cell r="K15">
            <v>0</v>
          </cell>
          <cell r="M15">
            <v>2</v>
          </cell>
        </row>
        <row r="16">
          <cell r="C16">
            <v>14</v>
          </cell>
          <cell r="E16" t="str">
            <v>진로선별등 신설</v>
          </cell>
          <cell r="F16" t="str">
            <v>입환문자형 11진로</v>
          </cell>
          <cell r="G16" t="str">
            <v>개</v>
          </cell>
          <cell r="H16">
            <v>2</v>
          </cell>
          <cell r="I16">
            <v>0</v>
          </cell>
          <cell r="J16">
            <v>2</v>
          </cell>
          <cell r="K16">
            <v>0</v>
          </cell>
          <cell r="M16">
            <v>0</v>
          </cell>
        </row>
        <row r="17">
          <cell r="C17">
            <v>15</v>
          </cell>
          <cell r="E17" t="str">
            <v>진로선별등 신설</v>
          </cell>
          <cell r="F17" t="str">
            <v>입환문자형 10진로</v>
          </cell>
          <cell r="G17" t="str">
            <v>개</v>
          </cell>
          <cell r="H17">
            <v>1</v>
          </cell>
          <cell r="I17">
            <v>0</v>
          </cell>
          <cell r="J17">
            <v>1</v>
          </cell>
          <cell r="K17">
            <v>0</v>
          </cell>
          <cell r="M17">
            <v>0</v>
          </cell>
        </row>
        <row r="18">
          <cell r="C18">
            <v>16</v>
          </cell>
          <cell r="E18" t="str">
            <v>진로선별등 신설</v>
          </cell>
          <cell r="F18" t="str">
            <v>입환문자형 5진로</v>
          </cell>
          <cell r="G18" t="str">
            <v>개</v>
          </cell>
          <cell r="H18">
            <v>9</v>
          </cell>
          <cell r="I18">
            <v>0</v>
          </cell>
          <cell r="J18">
            <v>9</v>
          </cell>
          <cell r="K18">
            <v>0</v>
          </cell>
          <cell r="M18">
            <v>0</v>
          </cell>
        </row>
        <row r="19">
          <cell r="C19">
            <v>17</v>
          </cell>
          <cell r="E19" t="str">
            <v>진로선별등 신설</v>
          </cell>
          <cell r="F19" t="str">
            <v>입환문자형 4진로</v>
          </cell>
          <cell r="G19" t="str">
            <v>개</v>
          </cell>
          <cell r="H19">
            <v>4</v>
          </cell>
          <cell r="I19">
            <v>0</v>
          </cell>
          <cell r="J19">
            <v>4</v>
          </cell>
          <cell r="K19">
            <v>0</v>
          </cell>
          <cell r="M19">
            <v>0</v>
          </cell>
        </row>
        <row r="20">
          <cell r="C20">
            <v>18</v>
          </cell>
          <cell r="E20" t="str">
            <v>진로선별등 신설</v>
          </cell>
          <cell r="F20" t="str">
            <v>입환문자형 3진로</v>
          </cell>
          <cell r="G20" t="str">
            <v>개</v>
          </cell>
          <cell r="H20">
            <v>66</v>
          </cell>
          <cell r="I20">
            <v>0</v>
          </cell>
          <cell r="J20">
            <v>65</v>
          </cell>
          <cell r="K20">
            <v>0</v>
          </cell>
          <cell r="M20">
            <v>1</v>
          </cell>
        </row>
        <row r="21">
          <cell r="C21">
            <v>19</v>
          </cell>
          <cell r="E21" t="str">
            <v>출발전호기 신설</v>
          </cell>
          <cell r="F21" t="str">
            <v>DC 24V (취부형)</v>
          </cell>
          <cell r="G21" t="str">
            <v>조</v>
          </cell>
          <cell r="H21">
            <v>4</v>
          </cell>
          <cell r="I21">
            <v>0</v>
          </cell>
          <cell r="J21">
            <v>4</v>
          </cell>
          <cell r="K21">
            <v>0</v>
          </cell>
        </row>
        <row r="22">
          <cell r="C22">
            <v>20</v>
          </cell>
          <cell r="E22" t="str">
            <v>전기선로전환기</v>
          </cell>
          <cell r="F22" t="str">
            <v>AC 105/220V NS-AM</v>
          </cell>
          <cell r="G22" t="str">
            <v>대</v>
          </cell>
          <cell r="H22">
            <v>100</v>
          </cell>
          <cell r="I22">
            <v>0</v>
          </cell>
          <cell r="J22">
            <v>100</v>
          </cell>
          <cell r="K22">
            <v>0</v>
          </cell>
          <cell r="M22">
            <v>0</v>
          </cell>
        </row>
        <row r="23">
          <cell r="C23">
            <v>21</v>
          </cell>
          <cell r="E23" t="str">
            <v>전기선로전환기</v>
          </cell>
          <cell r="F23" t="str">
            <v>AC 105/220V NS</v>
          </cell>
          <cell r="G23" t="str">
            <v>대</v>
          </cell>
          <cell r="H23">
            <v>81</v>
          </cell>
          <cell r="I23">
            <v>0</v>
          </cell>
          <cell r="J23">
            <v>79</v>
          </cell>
          <cell r="K23">
            <v>0</v>
          </cell>
          <cell r="M23">
            <v>2</v>
          </cell>
        </row>
        <row r="24">
          <cell r="C24">
            <v>22</v>
          </cell>
          <cell r="E24" t="str">
            <v>신호정보송수신유니트 신설</v>
          </cell>
          <cell r="F24" t="str">
            <v>단선폐색용</v>
          </cell>
          <cell r="G24" t="str">
            <v>개</v>
          </cell>
          <cell r="H24">
            <v>2</v>
          </cell>
          <cell r="I24">
            <v>0</v>
          </cell>
          <cell r="J24">
            <v>2</v>
          </cell>
          <cell r="K24">
            <v>0</v>
          </cell>
          <cell r="M24">
            <v>0</v>
          </cell>
        </row>
        <row r="25">
          <cell r="C25">
            <v>23</v>
          </cell>
          <cell r="E25" t="str">
            <v>선로전환기 조작대 신설</v>
          </cell>
          <cell r="F25">
            <v>0</v>
          </cell>
          <cell r="G25" t="str">
            <v>개</v>
          </cell>
          <cell r="H25">
            <v>3</v>
          </cell>
          <cell r="I25">
            <v>0</v>
          </cell>
          <cell r="J25">
            <v>3</v>
          </cell>
          <cell r="K25">
            <v>0</v>
          </cell>
          <cell r="M25">
            <v>0</v>
          </cell>
        </row>
        <row r="26">
          <cell r="C26">
            <v>24</v>
          </cell>
          <cell r="E26" t="str">
            <v>궤조절연 신설</v>
          </cell>
          <cell r="F26" t="str">
            <v>절연체 이음매판 60kg</v>
          </cell>
          <cell r="G26" t="str">
            <v>조</v>
          </cell>
          <cell r="H26">
            <v>224</v>
          </cell>
          <cell r="I26">
            <v>0</v>
          </cell>
          <cell r="J26">
            <v>0</v>
          </cell>
          <cell r="K26">
            <v>224</v>
          </cell>
          <cell r="M26">
            <v>0</v>
          </cell>
        </row>
        <row r="27">
          <cell r="C27">
            <v>25</v>
          </cell>
          <cell r="E27" t="str">
            <v>궤조절연 신설</v>
          </cell>
          <cell r="F27" t="str">
            <v>절연체 이음매판 50kg.N</v>
          </cell>
          <cell r="G27" t="str">
            <v>조</v>
          </cell>
          <cell r="H27">
            <v>122</v>
          </cell>
          <cell r="I27">
            <v>0</v>
          </cell>
          <cell r="J27">
            <v>0</v>
          </cell>
          <cell r="K27">
            <v>122</v>
          </cell>
          <cell r="M27">
            <v>0</v>
          </cell>
        </row>
        <row r="28">
          <cell r="C28">
            <v>26</v>
          </cell>
          <cell r="E28" t="str">
            <v>레일본드 신설</v>
          </cell>
          <cell r="F28" t="str">
            <v>케이블본드 B22-1,500</v>
          </cell>
          <cell r="G28" t="str">
            <v>본</v>
          </cell>
          <cell r="H28">
            <v>1306</v>
          </cell>
          <cell r="I28">
            <v>0</v>
          </cell>
          <cell r="J28">
            <v>0</v>
          </cell>
          <cell r="K28">
            <v>1306</v>
          </cell>
          <cell r="M28">
            <v>0</v>
          </cell>
        </row>
        <row r="29">
          <cell r="C29">
            <v>27</v>
          </cell>
          <cell r="E29" t="str">
            <v>레일본드 신설</v>
          </cell>
          <cell r="F29" t="str">
            <v>케이블본드 B22-1,200</v>
          </cell>
          <cell r="G29" t="str">
            <v>본</v>
          </cell>
          <cell r="H29">
            <v>2892</v>
          </cell>
          <cell r="I29">
            <v>0</v>
          </cell>
          <cell r="J29">
            <v>0</v>
          </cell>
          <cell r="K29">
            <v>2892</v>
          </cell>
          <cell r="M29">
            <v>0</v>
          </cell>
        </row>
        <row r="30">
          <cell r="C30">
            <v>28</v>
          </cell>
          <cell r="E30" t="str">
            <v>중성쟘바 신설</v>
          </cell>
          <cell r="F30" t="str">
            <v>MLFC 80㎟x1Cx4m(종단부)</v>
          </cell>
          <cell r="G30" t="str">
            <v>개소</v>
          </cell>
          <cell r="H30">
            <v>3</v>
          </cell>
          <cell r="I30">
            <v>0</v>
          </cell>
          <cell r="J30">
            <v>0</v>
          </cell>
          <cell r="K30">
            <v>3</v>
          </cell>
          <cell r="M30">
            <v>0</v>
          </cell>
        </row>
        <row r="31">
          <cell r="C31">
            <v>29</v>
          </cell>
          <cell r="E31" t="str">
            <v>신축이음매쟘바 신설</v>
          </cell>
          <cell r="F31" t="str">
            <v>CVV 22㎟x2C</v>
          </cell>
          <cell r="G31" t="str">
            <v>개소</v>
          </cell>
          <cell r="H31">
            <v>116</v>
          </cell>
          <cell r="I31">
            <v>0</v>
          </cell>
          <cell r="J31">
            <v>0</v>
          </cell>
          <cell r="K31">
            <v>116</v>
          </cell>
          <cell r="M31">
            <v>0</v>
          </cell>
        </row>
        <row r="32">
          <cell r="C32">
            <v>30</v>
          </cell>
          <cell r="E32" t="str">
            <v>중성쟘바 신설</v>
          </cell>
          <cell r="F32" t="str">
            <v>MLFC 80㎟x1C</v>
          </cell>
          <cell r="G32" t="str">
            <v>개소</v>
          </cell>
          <cell r="H32">
            <v>39</v>
          </cell>
          <cell r="I32">
            <v>0</v>
          </cell>
          <cell r="J32">
            <v>0</v>
          </cell>
          <cell r="K32">
            <v>39</v>
          </cell>
          <cell r="M32">
            <v>0</v>
          </cell>
        </row>
        <row r="33">
          <cell r="C33">
            <v>31</v>
          </cell>
          <cell r="E33" t="str">
            <v>중성선 신설</v>
          </cell>
          <cell r="F33" t="str">
            <v>MLFC 80㎟x1C</v>
          </cell>
          <cell r="G33" t="str">
            <v>100m</v>
          </cell>
          <cell r="H33">
            <v>15.299999999999999</v>
          </cell>
          <cell r="I33">
            <v>0</v>
          </cell>
          <cell r="J33">
            <v>0</v>
          </cell>
          <cell r="K33">
            <v>15.299999999999999</v>
          </cell>
          <cell r="M33">
            <v>0</v>
          </cell>
        </row>
        <row r="34">
          <cell r="C34">
            <v>32</v>
          </cell>
          <cell r="E34" t="str">
            <v>크로싱쟘바 신설</v>
          </cell>
          <cell r="F34" t="str">
            <v>CVV 22㎟ x 1C</v>
          </cell>
          <cell r="G34" t="str">
            <v>개소</v>
          </cell>
          <cell r="H34">
            <v>104</v>
          </cell>
          <cell r="I34">
            <v>0</v>
          </cell>
          <cell r="J34">
            <v>0</v>
          </cell>
          <cell r="K34">
            <v>104</v>
          </cell>
          <cell r="M34">
            <v>0</v>
          </cell>
        </row>
        <row r="35">
          <cell r="C35">
            <v>33</v>
          </cell>
          <cell r="E35" t="str">
            <v>송착쟘바 신설</v>
          </cell>
          <cell r="F35" t="str">
            <v>MLFC 80㎟x1C</v>
          </cell>
          <cell r="G35" t="str">
            <v>개소</v>
          </cell>
          <cell r="H35">
            <v>524</v>
          </cell>
          <cell r="I35">
            <v>0</v>
          </cell>
          <cell r="J35">
            <v>0</v>
          </cell>
          <cell r="K35">
            <v>524</v>
          </cell>
          <cell r="M35">
            <v>0</v>
          </cell>
        </row>
        <row r="36">
          <cell r="C36">
            <v>34</v>
          </cell>
          <cell r="E36" t="str">
            <v>긍선쟘바 신설</v>
          </cell>
          <cell r="F36" t="str">
            <v>MLFC 80㎟x1Cx17m</v>
          </cell>
          <cell r="G36" t="str">
            <v>개소</v>
          </cell>
          <cell r="H36">
            <v>219</v>
          </cell>
          <cell r="I36">
            <v>0</v>
          </cell>
          <cell r="J36">
            <v>0</v>
          </cell>
          <cell r="K36">
            <v>219</v>
          </cell>
          <cell r="M36">
            <v>0</v>
          </cell>
        </row>
        <row r="37">
          <cell r="C37">
            <v>35</v>
          </cell>
          <cell r="E37" t="str">
            <v>긍선쟘바 신설</v>
          </cell>
          <cell r="F37" t="str">
            <v>MLFC 80㎟x1Cx4m</v>
          </cell>
          <cell r="G37" t="str">
            <v>개소</v>
          </cell>
          <cell r="H37">
            <v>219</v>
          </cell>
          <cell r="I37">
            <v>0</v>
          </cell>
          <cell r="J37">
            <v>0</v>
          </cell>
          <cell r="K37">
            <v>219</v>
          </cell>
          <cell r="M37">
            <v>0</v>
          </cell>
        </row>
        <row r="38">
          <cell r="C38">
            <v>36</v>
          </cell>
          <cell r="E38" t="str">
            <v>첨단쟘바 신설</v>
          </cell>
          <cell r="F38" t="str">
            <v>CVV 22㎟ x 1C</v>
          </cell>
          <cell r="G38" t="str">
            <v>개소</v>
          </cell>
          <cell r="H38">
            <v>792</v>
          </cell>
          <cell r="I38">
            <v>0</v>
          </cell>
          <cell r="J38">
            <v>0</v>
          </cell>
          <cell r="K38">
            <v>792</v>
          </cell>
          <cell r="M38">
            <v>0</v>
          </cell>
        </row>
        <row r="39">
          <cell r="C39">
            <v>37</v>
          </cell>
          <cell r="E39" t="str">
            <v>임피던스본드 신설</v>
          </cell>
          <cell r="F39" t="str">
            <v>송신용(200A)</v>
          </cell>
          <cell r="G39" t="str">
            <v>조</v>
          </cell>
          <cell r="H39">
            <v>230</v>
          </cell>
          <cell r="I39">
            <v>0</v>
          </cell>
          <cell r="J39">
            <v>0</v>
          </cell>
          <cell r="K39">
            <v>230</v>
          </cell>
          <cell r="M39">
            <v>0</v>
          </cell>
        </row>
        <row r="40">
          <cell r="C40">
            <v>38</v>
          </cell>
          <cell r="E40" t="str">
            <v>임피던스본드 신설</v>
          </cell>
          <cell r="F40" t="str">
            <v>수신용(200A)</v>
          </cell>
          <cell r="G40" t="str">
            <v>조</v>
          </cell>
          <cell r="H40">
            <v>230</v>
          </cell>
          <cell r="I40">
            <v>0</v>
          </cell>
          <cell r="J40">
            <v>0</v>
          </cell>
          <cell r="K40">
            <v>230</v>
          </cell>
          <cell r="M40">
            <v>0</v>
          </cell>
        </row>
        <row r="41">
          <cell r="C41">
            <v>39</v>
          </cell>
          <cell r="E41" t="str">
            <v>임피던스본드 신설</v>
          </cell>
          <cell r="F41" t="str">
            <v>IN 500</v>
          </cell>
          <cell r="G41" t="str">
            <v>조</v>
          </cell>
          <cell r="H41">
            <v>193</v>
          </cell>
          <cell r="I41">
            <v>0</v>
          </cell>
          <cell r="J41">
            <v>0</v>
          </cell>
          <cell r="K41">
            <v>193</v>
          </cell>
          <cell r="M41">
            <v>0</v>
          </cell>
        </row>
        <row r="42">
          <cell r="C42">
            <v>40</v>
          </cell>
          <cell r="E42" t="str">
            <v>임피던스본드 신설</v>
          </cell>
          <cell r="F42" t="str">
            <v>고압임펄스 송신용(430A)</v>
          </cell>
          <cell r="G42" t="str">
            <v>조</v>
          </cell>
          <cell r="H42">
            <v>31</v>
          </cell>
          <cell r="I42">
            <v>0</v>
          </cell>
          <cell r="J42">
            <v>0</v>
          </cell>
          <cell r="K42">
            <v>31</v>
          </cell>
          <cell r="M42">
            <v>0</v>
          </cell>
        </row>
        <row r="43">
          <cell r="C43">
            <v>41</v>
          </cell>
          <cell r="E43" t="str">
            <v>임피던스본드 신설</v>
          </cell>
          <cell r="F43" t="str">
            <v>고압임펄스 수신용(430A)</v>
          </cell>
          <cell r="G43" t="str">
            <v>조</v>
          </cell>
          <cell r="H43">
            <v>31</v>
          </cell>
          <cell r="I43">
            <v>0</v>
          </cell>
          <cell r="J43">
            <v>0</v>
          </cell>
          <cell r="K43">
            <v>31</v>
          </cell>
          <cell r="M43">
            <v>0</v>
          </cell>
        </row>
        <row r="44">
          <cell r="C44">
            <v>42</v>
          </cell>
          <cell r="E44" t="str">
            <v>기구함 신설</v>
          </cell>
          <cell r="F44" t="str">
            <v>AF 궤도회로용(지상)</v>
          </cell>
          <cell r="G44" t="str">
            <v>개</v>
          </cell>
          <cell r="H44">
            <v>243</v>
          </cell>
          <cell r="I44">
            <v>0</v>
          </cell>
          <cell r="J44">
            <v>243</v>
          </cell>
          <cell r="K44">
            <v>0</v>
          </cell>
          <cell r="M44">
            <v>0</v>
          </cell>
        </row>
        <row r="45">
          <cell r="C45">
            <v>43</v>
          </cell>
          <cell r="E45" t="str">
            <v>기구함 신설</v>
          </cell>
          <cell r="F45" t="str">
            <v>AF 궤도회로용(고가)</v>
          </cell>
          <cell r="G45" t="str">
            <v>개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M45">
            <v>0</v>
          </cell>
        </row>
        <row r="46">
          <cell r="C46">
            <v>44</v>
          </cell>
          <cell r="E46" t="str">
            <v>기구함 신설</v>
          </cell>
          <cell r="F46" t="str">
            <v>AF 궤도회로용(터널)</v>
          </cell>
          <cell r="G46" t="str">
            <v>개</v>
          </cell>
          <cell r="H46">
            <v>4</v>
          </cell>
          <cell r="I46">
            <v>0</v>
          </cell>
          <cell r="J46">
            <v>4</v>
          </cell>
          <cell r="K46">
            <v>0</v>
          </cell>
          <cell r="M46">
            <v>0</v>
          </cell>
        </row>
        <row r="47">
          <cell r="C47">
            <v>45</v>
          </cell>
          <cell r="E47" t="str">
            <v>기구함 신설</v>
          </cell>
          <cell r="F47" t="str">
            <v>폐색용</v>
          </cell>
          <cell r="G47" t="str">
            <v>개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M47">
            <v>0</v>
          </cell>
        </row>
        <row r="48">
          <cell r="C48">
            <v>46</v>
          </cell>
          <cell r="E48" t="str">
            <v>궤도송.수신유니트 신설</v>
          </cell>
          <cell r="F48" t="str">
            <v>철제 No.5</v>
          </cell>
          <cell r="G48" t="str">
            <v>개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C49">
            <v>47</v>
          </cell>
          <cell r="E49" t="str">
            <v>접속함 신설</v>
          </cell>
          <cell r="F49" t="str">
            <v>철제 No.2</v>
          </cell>
          <cell r="G49" t="str">
            <v>개</v>
          </cell>
          <cell r="H49">
            <v>105</v>
          </cell>
          <cell r="I49">
            <v>0</v>
          </cell>
          <cell r="J49">
            <v>102</v>
          </cell>
          <cell r="K49">
            <v>0</v>
          </cell>
          <cell r="M49">
            <v>3</v>
          </cell>
        </row>
        <row r="50">
          <cell r="C50">
            <v>48</v>
          </cell>
          <cell r="E50" t="str">
            <v>접속함 신설</v>
          </cell>
          <cell r="F50" t="str">
            <v>특대형</v>
          </cell>
          <cell r="G50" t="str">
            <v>개</v>
          </cell>
          <cell r="H50">
            <v>2</v>
          </cell>
          <cell r="I50">
            <v>0</v>
          </cell>
          <cell r="J50">
            <v>2</v>
          </cell>
          <cell r="K50">
            <v>0</v>
          </cell>
          <cell r="M50">
            <v>0</v>
          </cell>
        </row>
        <row r="51">
          <cell r="C51">
            <v>49</v>
          </cell>
          <cell r="E51" t="str">
            <v>폐색제어유니트 신설</v>
          </cell>
          <cell r="F51" t="str">
            <v>D5IT1(지상)</v>
          </cell>
          <cell r="G51" t="str">
            <v>기</v>
          </cell>
          <cell r="H51">
            <v>201</v>
          </cell>
          <cell r="I51">
            <v>0</v>
          </cell>
          <cell r="J51">
            <v>200</v>
          </cell>
          <cell r="K51">
            <v>0</v>
          </cell>
          <cell r="M51">
            <v>1</v>
          </cell>
        </row>
        <row r="52">
          <cell r="C52">
            <v>50</v>
          </cell>
          <cell r="E52" t="str">
            <v>폐색제어유니트 신설</v>
          </cell>
          <cell r="F52" t="str">
            <v>D5IT1(고가)</v>
          </cell>
          <cell r="G52" t="str">
            <v>기</v>
          </cell>
          <cell r="H52">
            <v>1</v>
          </cell>
          <cell r="I52">
            <v>0</v>
          </cell>
          <cell r="J52">
            <v>1</v>
          </cell>
          <cell r="K52">
            <v>0</v>
          </cell>
          <cell r="M52">
            <v>0</v>
          </cell>
        </row>
        <row r="53">
          <cell r="C53">
            <v>51</v>
          </cell>
          <cell r="E53" t="str">
            <v>폐색제어유니트 신설</v>
          </cell>
          <cell r="F53" t="str">
            <v>D5IT1(터널)</v>
          </cell>
          <cell r="G53" t="str">
            <v>기</v>
          </cell>
          <cell r="H53">
            <v>4</v>
          </cell>
          <cell r="I53">
            <v>0</v>
          </cell>
          <cell r="J53">
            <v>4</v>
          </cell>
          <cell r="K53">
            <v>0</v>
          </cell>
          <cell r="M53">
            <v>0</v>
          </cell>
        </row>
        <row r="54">
          <cell r="C54">
            <v>52</v>
          </cell>
          <cell r="E54" t="str">
            <v>폐색제어유니트 신설</v>
          </cell>
          <cell r="F54" t="str">
            <v>임펄스용</v>
          </cell>
          <cell r="G54" t="str">
            <v>기</v>
          </cell>
          <cell r="H54">
            <v>1</v>
          </cell>
          <cell r="I54">
            <v>0</v>
          </cell>
          <cell r="J54">
            <v>1</v>
          </cell>
          <cell r="K54">
            <v>0</v>
          </cell>
          <cell r="M54">
            <v>0</v>
          </cell>
        </row>
        <row r="55">
          <cell r="C55">
            <v>53</v>
          </cell>
          <cell r="E55" t="str">
            <v>폐색제어유니트 신설</v>
          </cell>
          <cell r="F55" t="str">
            <v>단선용</v>
          </cell>
          <cell r="G55" t="str">
            <v>기</v>
          </cell>
          <cell r="H55">
            <v>2</v>
          </cell>
          <cell r="I55">
            <v>0</v>
          </cell>
          <cell r="J55">
            <v>2</v>
          </cell>
          <cell r="K55">
            <v>0</v>
          </cell>
          <cell r="M55">
            <v>0</v>
          </cell>
        </row>
        <row r="56">
          <cell r="C56">
            <v>54</v>
          </cell>
          <cell r="E56" t="str">
            <v>폐색제어유니트 신설</v>
          </cell>
          <cell r="F56" t="str">
            <v>D3IT1</v>
          </cell>
          <cell r="G56" t="str">
            <v>기</v>
          </cell>
          <cell r="H56">
            <v>1</v>
          </cell>
          <cell r="I56">
            <v>0</v>
          </cell>
          <cell r="J56">
            <v>1</v>
          </cell>
          <cell r="K56">
            <v>0</v>
          </cell>
          <cell r="M56">
            <v>0</v>
          </cell>
        </row>
        <row r="57">
          <cell r="C57">
            <v>55</v>
          </cell>
          <cell r="E57" t="str">
            <v>전자연동장치 신설</v>
          </cell>
          <cell r="F57">
            <v>0</v>
          </cell>
          <cell r="G57" t="str">
            <v>식</v>
          </cell>
          <cell r="H57">
            <v>14</v>
          </cell>
          <cell r="I57">
            <v>14</v>
          </cell>
          <cell r="J57">
            <v>0</v>
          </cell>
          <cell r="K57">
            <v>0</v>
          </cell>
          <cell r="M57">
            <v>0</v>
          </cell>
        </row>
        <row r="58">
          <cell r="C58">
            <v>56</v>
          </cell>
          <cell r="E58" t="str">
            <v>계전기랙</v>
          </cell>
          <cell r="F58" t="str">
            <v>R-1형</v>
          </cell>
          <cell r="G58" t="str">
            <v>조</v>
          </cell>
          <cell r="H58">
            <v>6</v>
          </cell>
          <cell r="I58">
            <v>6</v>
          </cell>
          <cell r="J58">
            <v>0</v>
          </cell>
          <cell r="K58">
            <v>0</v>
          </cell>
          <cell r="M58">
            <v>0</v>
          </cell>
        </row>
        <row r="59">
          <cell r="C59">
            <v>57</v>
          </cell>
          <cell r="E59" t="str">
            <v>계전기랙</v>
          </cell>
          <cell r="F59" t="str">
            <v>R-2형</v>
          </cell>
          <cell r="G59" t="str">
            <v>조</v>
          </cell>
          <cell r="H59">
            <v>13</v>
          </cell>
          <cell r="I59">
            <v>13</v>
          </cell>
          <cell r="J59">
            <v>0</v>
          </cell>
          <cell r="K59">
            <v>0</v>
          </cell>
          <cell r="M59">
            <v>0</v>
          </cell>
        </row>
        <row r="60">
          <cell r="C60">
            <v>58</v>
          </cell>
          <cell r="E60" t="str">
            <v>분선반랙</v>
          </cell>
          <cell r="F60" t="str">
            <v>T-2형</v>
          </cell>
          <cell r="G60" t="str">
            <v>조</v>
          </cell>
          <cell r="H60">
            <v>14</v>
          </cell>
          <cell r="I60">
            <v>14</v>
          </cell>
          <cell r="J60">
            <v>0</v>
          </cell>
          <cell r="K60">
            <v>0</v>
          </cell>
          <cell r="M60">
            <v>0</v>
          </cell>
        </row>
        <row r="61">
          <cell r="C61">
            <v>59</v>
          </cell>
          <cell r="E61" t="str">
            <v>폐색랙</v>
          </cell>
          <cell r="F61" t="str">
            <v>X294</v>
          </cell>
          <cell r="G61" t="str">
            <v>조</v>
          </cell>
          <cell r="H61">
            <v>14</v>
          </cell>
          <cell r="I61">
            <v>14</v>
          </cell>
          <cell r="J61">
            <v>0</v>
          </cell>
          <cell r="K61">
            <v>0</v>
          </cell>
          <cell r="M61">
            <v>0</v>
          </cell>
        </row>
        <row r="62">
          <cell r="C62">
            <v>60</v>
          </cell>
          <cell r="E62" t="str">
            <v>신호전원공급장치 신설</v>
          </cell>
          <cell r="F62" t="str">
            <v>EIS용</v>
          </cell>
          <cell r="G62" t="str">
            <v>식</v>
          </cell>
          <cell r="H62">
            <v>14</v>
          </cell>
          <cell r="I62">
            <v>14</v>
          </cell>
          <cell r="J62">
            <v>0</v>
          </cell>
          <cell r="K62">
            <v>0</v>
          </cell>
          <cell r="M62">
            <v>0</v>
          </cell>
        </row>
        <row r="63">
          <cell r="C63">
            <v>61</v>
          </cell>
          <cell r="E63" t="str">
            <v>정류기 신설</v>
          </cell>
          <cell r="F63" t="str">
            <v>24V-30A</v>
          </cell>
          <cell r="G63" t="str">
            <v>조</v>
          </cell>
          <cell r="H63">
            <v>2</v>
          </cell>
          <cell r="I63">
            <v>2</v>
          </cell>
          <cell r="J63">
            <v>0</v>
          </cell>
          <cell r="K63">
            <v>0</v>
          </cell>
          <cell r="M63">
            <v>0</v>
          </cell>
        </row>
        <row r="64">
          <cell r="C64">
            <v>62</v>
          </cell>
          <cell r="E64" t="str">
            <v>정류기 신설</v>
          </cell>
          <cell r="F64" t="str">
            <v>24V-20A</v>
          </cell>
          <cell r="G64" t="str">
            <v>조</v>
          </cell>
          <cell r="H64">
            <v>18</v>
          </cell>
          <cell r="I64">
            <v>18</v>
          </cell>
          <cell r="J64">
            <v>0</v>
          </cell>
          <cell r="K64">
            <v>0</v>
          </cell>
          <cell r="M64">
            <v>0</v>
          </cell>
        </row>
        <row r="65">
          <cell r="C65">
            <v>63</v>
          </cell>
          <cell r="E65" t="str">
            <v>정류기 신설</v>
          </cell>
          <cell r="F65" t="str">
            <v>24V-10A</v>
          </cell>
          <cell r="G65" t="str">
            <v>조</v>
          </cell>
          <cell r="H65">
            <v>8</v>
          </cell>
          <cell r="I65">
            <v>8</v>
          </cell>
          <cell r="J65">
            <v>0</v>
          </cell>
          <cell r="K65">
            <v>0</v>
          </cell>
          <cell r="M65">
            <v>0</v>
          </cell>
        </row>
        <row r="66">
          <cell r="C66">
            <v>64</v>
          </cell>
          <cell r="E66" t="str">
            <v>축전지 신설</v>
          </cell>
          <cell r="F66" t="str">
            <v>24V-120AH, 12Cell</v>
          </cell>
          <cell r="G66" t="str">
            <v>조</v>
          </cell>
          <cell r="H66">
            <v>1</v>
          </cell>
          <cell r="I66">
            <v>1</v>
          </cell>
          <cell r="J66">
            <v>0</v>
          </cell>
          <cell r="K66">
            <v>0</v>
          </cell>
          <cell r="M66">
            <v>0</v>
          </cell>
        </row>
        <row r="67">
          <cell r="C67">
            <v>65</v>
          </cell>
          <cell r="E67" t="str">
            <v>축전지 신설</v>
          </cell>
          <cell r="F67" t="str">
            <v>24V-100AH, 12Cell</v>
          </cell>
          <cell r="G67" t="str">
            <v>조</v>
          </cell>
          <cell r="H67">
            <v>3</v>
          </cell>
          <cell r="I67">
            <v>3</v>
          </cell>
          <cell r="J67">
            <v>0</v>
          </cell>
          <cell r="K67">
            <v>0</v>
          </cell>
          <cell r="M67">
            <v>0</v>
          </cell>
        </row>
        <row r="68">
          <cell r="C68">
            <v>66</v>
          </cell>
          <cell r="E68" t="str">
            <v>축전지 신설</v>
          </cell>
          <cell r="F68" t="str">
            <v>24V-80AH, 12Cell</v>
          </cell>
          <cell r="G68" t="str">
            <v>조</v>
          </cell>
          <cell r="H68">
            <v>8</v>
          </cell>
          <cell r="I68">
            <v>8</v>
          </cell>
          <cell r="J68">
            <v>0</v>
          </cell>
          <cell r="K68">
            <v>0</v>
          </cell>
          <cell r="M68">
            <v>0</v>
          </cell>
        </row>
        <row r="69">
          <cell r="C69">
            <v>67</v>
          </cell>
          <cell r="E69" t="str">
            <v>축전지 신설</v>
          </cell>
          <cell r="F69" t="str">
            <v>24V-50AH, 12Cell</v>
          </cell>
          <cell r="G69" t="str">
            <v>조</v>
          </cell>
          <cell r="H69">
            <v>2</v>
          </cell>
          <cell r="I69">
            <v>2</v>
          </cell>
          <cell r="J69">
            <v>0</v>
          </cell>
          <cell r="K69">
            <v>0</v>
          </cell>
          <cell r="M69">
            <v>0</v>
          </cell>
        </row>
        <row r="70">
          <cell r="C70">
            <v>68</v>
          </cell>
          <cell r="E70" t="str">
            <v>ATS 지상장치 신설</v>
          </cell>
          <cell r="F70" t="str">
            <v>ATS S-1형</v>
          </cell>
          <cell r="G70" t="str">
            <v>개</v>
          </cell>
          <cell r="H70">
            <v>10</v>
          </cell>
          <cell r="I70">
            <v>0</v>
          </cell>
          <cell r="J70">
            <v>7</v>
          </cell>
          <cell r="K70">
            <v>0</v>
          </cell>
          <cell r="M70">
            <v>3</v>
          </cell>
        </row>
        <row r="71">
          <cell r="C71">
            <v>69</v>
          </cell>
          <cell r="E71" t="str">
            <v>ATS 지상장치 신설</v>
          </cell>
          <cell r="F71" t="str">
            <v>ATS S-2형</v>
          </cell>
          <cell r="G71" t="str">
            <v>개</v>
          </cell>
          <cell r="H71">
            <v>252</v>
          </cell>
          <cell r="I71">
            <v>0</v>
          </cell>
          <cell r="J71">
            <v>249</v>
          </cell>
          <cell r="K71">
            <v>0</v>
          </cell>
          <cell r="M71">
            <v>3</v>
          </cell>
        </row>
        <row r="72">
          <cell r="C72" t="str">
            <v>69-1</v>
          </cell>
          <cell r="E72" t="str">
            <v>ATS 지상장치 신설</v>
          </cell>
          <cell r="F72" t="str">
            <v>ATS S-2형(터널)</v>
          </cell>
          <cell r="G72" t="str">
            <v>개</v>
          </cell>
          <cell r="H72">
            <v>4</v>
          </cell>
          <cell r="I72">
            <v>0</v>
          </cell>
          <cell r="J72">
            <v>4</v>
          </cell>
          <cell r="K72">
            <v>0</v>
          </cell>
          <cell r="M72">
            <v>0</v>
          </cell>
        </row>
        <row r="73">
          <cell r="C73">
            <v>70</v>
          </cell>
          <cell r="E73" t="str">
            <v>맨홀 신설</v>
          </cell>
          <cell r="F73" t="str">
            <v>A형</v>
          </cell>
          <cell r="G73" t="str">
            <v>개소</v>
          </cell>
          <cell r="H73">
            <v>57</v>
          </cell>
          <cell r="I73">
            <v>0</v>
          </cell>
          <cell r="J73">
            <v>57</v>
          </cell>
          <cell r="K73">
            <v>0</v>
          </cell>
          <cell r="M73">
            <v>0</v>
          </cell>
        </row>
        <row r="74">
          <cell r="C74">
            <v>71</v>
          </cell>
          <cell r="E74" t="str">
            <v>맨홀 신설</v>
          </cell>
          <cell r="F74" t="str">
            <v>B1형</v>
          </cell>
          <cell r="G74" t="str">
            <v>개소</v>
          </cell>
          <cell r="H74">
            <v>438</v>
          </cell>
          <cell r="I74">
            <v>0</v>
          </cell>
          <cell r="J74">
            <v>438</v>
          </cell>
          <cell r="K74">
            <v>0</v>
          </cell>
          <cell r="M74">
            <v>0</v>
          </cell>
        </row>
        <row r="75">
          <cell r="C75">
            <v>72</v>
          </cell>
          <cell r="E75" t="str">
            <v>맨홀 신설</v>
          </cell>
          <cell r="F75" t="str">
            <v>B2형</v>
          </cell>
          <cell r="G75" t="str">
            <v>개소</v>
          </cell>
          <cell r="H75">
            <v>679</v>
          </cell>
          <cell r="I75">
            <v>0</v>
          </cell>
          <cell r="J75">
            <v>679</v>
          </cell>
          <cell r="K75">
            <v>0</v>
          </cell>
          <cell r="M75">
            <v>0</v>
          </cell>
        </row>
        <row r="76">
          <cell r="C76">
            <v>73</v>
          </cell>
          <cell r="E76" t="str">
            <v>트로프 신설</v>
          </cell>
          <cell r="F76" t="str">
            <v>파스콘 TU250</v>
          </cell>
          <cell r="G76" t="str">
            <v>m</v>
          </cell>
          <cell r="H76">
            <v>173</v>
          </cell>
          <cell r="I76">
            <v>0</v>
          </cell>
          <cell r="J76">
            <v>173</v>
          </cell>
          <cell r="K76">
            <v>0</v>
          </cell>
          <cell r="M76">
            <v>0</v>
          </cell>
        </row>
        <row r="77">
          <cell r="C77">
            <v>74</v>
          </cell>
          <cell r="E77" t="str">
            <v>트로프 신설</v>
          </cell>
          <cell r="F77" t="str">
            <v>파스콘 TW220S</v>
          </cell>
          <cell r="G77" t="str">
            <v>m</v>
          </cell>
          <cell r="H77">
            <v>1568</v>
          </cell>
          <cell r="I77">
            <v>0</v>
          </cell>
          <cell r="J77">
            <v>1568</v>
          </cell>
          <cell r="K77">
            <v>0</v>
          </cell>
          <cell r="M77">
            <v>0</v>
          </cell>
        </row>
        <row r="78">
          <cell r="C78">
            <v>75</v>
          </cell>
          <cell r="E78" t="str">
            <v>트로프 신설</v>
          </cell>
          <cell r="F78" t="str">
            <v>파스콘 TU150S</v>
          </cell>
          <cell r="G78" t="str">
            <v>m</v>
          </cell>
          <cell r="H78">
            <v>8801</v>
          </cell>
          <cell r="I78">
            <v>0</v>
          </cell>
          <cell r="J78">
            <v>8801</v>
          </cell>
          <cell r="K78">
            <v>0</v>
          </cell>
          <cell r="M78">
            <v>0</v>
          </cell>
        </row>
        <row r="79">
          <cell r="C79">
            <v>76</v>
          </cell>
          <cell r="E79" t="str">
            <v>트로프 신설</v>
          </cell>
          <cell r="F79" t="str">
            <v>콘크리트 T120</v>
          </cell>
          <cell r="G79" t="str">
            <v>m</v>
          </cell>
          <cell r="H79">
            <v>17484</v>
          </cell>
          <cell r="I79">
            <v>0</v>
          </cell>
          <cell r="J79">
            <v>17484</v>
          </cell>
          <cell r="K79">
            <v>0</v>
          </cell>
          <cell r="M79">
            <v>0</v>
          </cell>
        </row>
        <row r="80">
          <cell r="C80">
            <v>77</v>
          </cell>
          <cell r="E80" t="str">
            <v>트로프 신설</v>
          </cell>
          <cell r="F80" t="str">
            <v>콘크리트 T120(터널할증)</v>
          </cell>
          <cell r="G80" t="str">
            <v>m</v>
          </cell>
          <cell r="H80">
            <v>222</v>
          </cell>
          <cell r="I80">
            <v>0</v>
          </cell>
          <cell r="J80">
            <v>222</v>
          </cell>
          <cell r="K80">
            <v>0</v>
          </cell>
          <cell r="M80">
            <v>0</v>
          </cell>
        </row>
        <row r="81">
          <cell r="C81">
            <v>78</v>
          </cell>
          <cell r="E81" t="str">
            <v>트로프 뚜껑드러내기</v>
          </cell>
          <cell r="F81" t="str">
            <v>T150</v>
          </cell>
          <cell r="G81" t="str">
            <v>100m</v>
          </cell>
          <cell r="H81">
            <v>9.18</v>
          </cell>
          <cell r="I81">
            <v>0</v>
          </cell>
          <cell r="J81">
            <v>9.18</v>
          </cell>
          <cell r="K81">
            <v>0</v>
          </cell>
          <cell r="M81">
            <v>0</v>
          </cell>
        </row>
        <row r="82">
          <cell r="C82">
            <v>79</v>
          </cell>
          <cell r="E82" t="str">
            <v>트로프 뚜껑드러내기</v>
          </cell>
          <cell r="F82" t="str">
            <v>콘크리트 T150B</v>
          </cell>
          <cell r="G82" t="str">
            <v>100m</v>
          </cell>
          <cell r="H82">
            <v>8.69</v>
          </cell>
          <cell r="I82">
            <v>0</v>
          </cell>
          <cell r="J82">
            <v>8.69</v>
          </cell>
          <cell r="K82">
            <v>0</v>
          </cell>
          <cell r="M82">
            <v>0</v>
          </cell>
        </row>
        <row r="83">
          <cell r="C83">
            <v>80</v>
          </cell>
          <cell r="E83" t="str">
            <v>트로프 뚜껑드러내기</v>
          </cell>
          <cell r="F83" t="str">
            <v>콘크리트 T120</v>
          </cell>
          <cell r="G83" t="str">
            <v>100m</v>
          </cell>
          <cell r="H83">
            <v>3.78</v>
          </cell>
          <cell r="I83">
            <v>0</v>
          </cell>
          <cell r="J83">
            <v>3.78</v>
          </cell>
          <cell r="K83">
            <v>0</v>
          </cell>
          <cell r="M83">
            <v>0</v>
          </cell>
        </row>
        <row r="84">
          <cell r="C84">
            <v>81</v>
          </cell>
          <cell r="E84" t="str">
            <v>트로프 뚜껑드러내기</v>
          </cell>
          <cell r="F84" t="str">
            <v>콘크리트 T70</v>
          </cell>
          <cell r="G84" t="str">
            <v>100m</v>
          </cell>
          <cell r="H84">
            <v>0.62</v>
          </cell>
          <cell r="I84">
            <v>0</v>
          </cell>
          <cell r="J84">
            <v>0.62</v>
          </cell>
          <cell r="K84">
            <v>0</v>
          </cell>
          <cell r="M84">
            <v>0</v>
          </cell>
        </row>
        <row r="85">
          <cell r="C85">
            <v>82</v>
          </cell>
          <cell r="E85" t="str">
            <v>땅파기</v>
          </cell>
          <cell r="F85" t="str">
            <v>깊이 90cm</v>
          </cell>
          <cell r="G85" t="str">
            <v>m</v>
          </cell>
          <cell r="H85">
            <v>4449</v>
          </cell>
          <cell r="I85">
            <v>0</v>
          </cell>
          <cell r="J85">
            <v>4449</v>
          </cell>
          <cell r="K85">
            <v>0</v>
          </cell>
          <cell r="M85">
            <v>0</v>
          </cell>
        </row>
        <row r="86">
          <cell r="C86">
            <v>83</v>
          </cell>
          <cell r="E86" t="str">
            <v>땅파기</v>
          </cell>
          <cell r="F86" t="str">
            <v>깊이 60cm</v>
          </cell>
          <cell r="G86" t="str">
            <v>m</v>
          </cell>
          <cell r="H86">
            <v>435</v>
          </cell>
          <cell r="I86">
            <v>0</v>
          </cell>
          <cell r="J86">
            <v>435</v>
          </cell>
          <cell r="K86">
            <v>0</v>
          </cell>
          <cell r="M86">
            <v>0</v>
          </cell>
        </row>
        <row r="87">
          <cell r="C87">
            <v>84</v>
          </cell>
          <cell r="E87" t="str">
            <v>땅파기</v>
          </cell>
          <cell r="F87" t="str">
            <v>깊이 30cm</v>
          </cell>
          <cell r="G87" t="str">
            <v>m</v>
          </cell>
          <cell r="H87">
            <v>20</v>
          </cell>
          <cell r="I87">
            <v>0</v>
          </cell>
          <cell r="J87">
            <v>20</v>
          </cell>
          <cell r="K87">
            <v>0</v>
          </cell>
          <cell r="M87">
            <v>0</v>
          </cell>
        </row>
        <row r="88">
          <cell r="C88">
            <v>85</v>
          </cell>
          <cell r="E88" t="str">
            <v>수도관 신설</v>
          </cell>
          <cell r="F88" t="str">
            <v>PEL Φ250</v>
          </cell>
          <cell r="G88" t="str">
            <v>m</v>
          </cell>
          <cell r="H88">
            <v>550</v>
          </cell>
          <cell r="I88">
            <v>0</v>
          </cell>
          <cell r="J88">
            <v>550</v>
          </cell>
          <cell r="K88">
            <v>0</v>
          </cell>
          <cell r="M88">
            <v>0</v>
          </cell>
        </row>
        <row r="89">
          <cell r="C89">
            <v>86</v>
          </cell>
          <cell r="E89" t="str">
            <v>수도관 신설</v>
          </cell>
          <cell r="F89" t="str">
            <v>PEL Φ200</v>
          </cell>
          <cell r="G89" t="str">
            <v>m</v>
          </cell>
          <cell r="H89">
            <v>1259</v>
          </cell>
          <cell r="I89">
            <v>0</v>
          </cell>
          <cell r="J89">
            <v>1259</v>
          </cell>
          <cell r="K89">
            <v>0</v>
          </cell>
          <cell r="M89">
            <v>0</v>
          </cell>
        </row>
        <row r="90">
          <cell r="C90">
            <v>87</v>
          </cell>
          <cell r="E90" t="str">
            <v>수도관 신설</v>
          </cell>
          <cell r="F90" t="str">
            <v>PEL Φ150</v>
          </cell>
          <cell r="G90" t="str">
            <v>m</v>
          </cell>
          <cell r="H90">
            <v>507</v>
          </cell>
          <cell r="I90">
            <v>0</v>
          </cell>
          <cell r="J90">
            <v>507</v>
          </cell>
          <cell r="K90">
            <v>0</v>
          </cell>
          <cell r="M90">
            <v>0</v>
          </cell>
        </row>
        <row r="91">
          <cell r="C91">
            <v>88</v>
          </cell>
          <cell r="E91" t="str">
            <v>전선관 신설</v>
          </cell>
          <cell r="F91" t="str">
            <v>FC Φ100(1열)</v>
          </cell>
          <cell r="G91" t="str">
            <v>m</v>
          </cell>
          <cell r="H91">
            <v>61123</v>
          </cell>
          <cell r="I91">
            <v>0</v>
          </cell>
          <cell r="J91">
            <v>61123</v>
          </cell>
          <cell r="K91">
            <v>0</v>
          </cell>
          <cell r="M91">
            <v>0</v>
          </cell>
        </row>
        <row r="92">
          <cell r="C92">
            <v>89</v>
          </cell>
          <cell r="E92" t="str">
            <v>전선관 신설</v>
          </cell>
          <cell r="F92" t="str">
            <v>FC Φ100(1열)(터널할증)</v>
          </cell>
          <cell r="G92" t="str">
            <v>m</v>
          </cell>
          <cell r="H92">
            <v>70</v>
          </cell>
          <cell r="I92">
            <v>0</v>
          </cell>
          <cell r="J92">
            <v>70</v>
          </cell>
          <cell r="K92">
            <v>0</v>
          </cell>
          <cell r="M92">
            <v>0</v>
          </cell>
        </row>
        <row r="93">
          <cell r="C93">
            <v>90</v>
          </cell>
          <cell r="E93" t="str">
            <v>전선관 신설</v>
          </cell>
          <cell r="F93" t="str">
            <v>FC Φ100(2열)</v>
          </cell>
          <cell r="G93" t="str">
            <v>m</v>
          </cell>
          <cell r="H93">
            <v>68000</v>
          </cell>
          <cell r="I93">
            <v>0</v>
          </cell>
          <cell r="J93">
            <v>68000</v>
          </cell>
          <cell r="K93">
            <v>0</v>
          </cell>
          <cell r="M93">
            <v>0</v>
          </cell>
        </row>
        <row r="94">
          <cell r="C94">
            <v>91</v>
          </cell>
          <cell r="E94" t="str">
            <v>전선관 신설</v>
          </cell>
          <cell r="F94" t="str">
            <v>ELP Φ100</v>
          </cell>
          <cell r="G94" t="str">
            <v>m</v>
          </cell>
          <cell r="H94">
            <v>247</v>
          </cell>
          <cell r="I94">
            <v>0</v>
          </cell>
          <cell r="J94">
            <v>172</v>
          </cell>
          <cell r="K94">
            <v>0</v>
          </cell>
          <cell r="M94">
            <v>75</v>
          </cell>
        </row>
        <row r="95">
          <cell r="C95">
            <v>92</v>
          </cell>
          <cell r="E95" t="str">
            <v>전선관 신설</v>
          </cell>
          <cell r="F95" t="str">
            <v>ELP Φ100(터널할증)</v>
          </cell>
          <cell r="G95" t="str">
            <v>m</v>
          </cell>
          <cell r="H95">
            <v>5</v>
          </cell>
          <cell r="I95">
            <v>0</v>
          </cell>
          <cell r="J95">
            <v>5</v>
          </cell>
          <cell r="K95">
            <v>0</v>
          </cell>
          <cell r="M95">
            <v>0</v>
          </cell>
        </row>
        <row r="96">
          <cell r="C96">
            <v>93</v>
          </cell>
          <cell r="E96" t="str">
            <v>전선관 신설</v>
          </cell>
          <cell r="F96" t="str">
            <v>ELP Φ80</v>
          </cell>
          <cell r="G96" t="str">
            <v>m</v>
          </cell>
          <cell r="H96">
            <v>48</v>
          </cell>
          <cell r="I96">
            <v>0</v>
          </cell>
          <cell r="J96">
            <v>28</v>
          </cell>
          <cell r="K96">
            <v>0</v>
          </cell>
          <cell r="M96">
            <v>20</v>
          </cell>
        </row>
        <row r="97">
          <cell r="C97">
            <v>94</v>
          </cell>
          <cell r="E97" t="str">
            <v>전선관 신설</v>
          </cell>
          <cell r="F97" t="str">
            <v>ELP Φ50</v>
          </cell>
          <cell r="G97" t="str">
            <v>m</v>
          </cell>
          <cell r="H97">
            <v>22</v>
          </cell>
          <cell r="I97">
            <v>0</v>
          </cell>
          <cell r="J97">
            <v>22</v>
          </cell>
          <cell r="K97">
            <v>0</v>
          </cell>
          <cell r="M97">
            <v>0</v>
          </cell>
        </row>
        <row r="98">
          <cell r="C98">
            <v>95</v>
          </cell>
          <cell r="E98" t="str">
            <v>전선관 신설</v>
          </cell>
          <cell r="F98" t="str">
            <v>ELP Φ30</v>
          </cell>
          <cell r="G98" t="str">
            <v>m</v>
          </cell>
          <cell r="H98">
            <v>253</v>
          </cell>
          <cell r="I98">
            <v>0</v>
          </cell>
          <cell r="J98">
            <v>222</v>
          </cell>
          <cell r="K98">
            <v>0</v>
          </cell>
          <cell r="M98">
            <v>31</v>
          </cell>
        </row>
        <row r="99">
          <cell r="C99">
            <v>96</v>
          </cell>
          <cell r="E99" t="str">
            <v>전선관 신설</v>
          </cell>
          <cell r="F99" t="str">
            <v>ELP Φ30(터널할증)</v>
          </cell>
          <cell r="G99" t="str">
            <v>m</v>
          </cell>
          <cell r="H99">
            <v>6</v>
          </cell>
          <cell r="I99">
            <v>0</v>
          </cell>
          <cell r="J99">
            <v>6</v>
          </cell>
          <cell r="K99">
            <v>0</v>
          </cell>
          <cell r="M99">
            <v>0</v>
          </cell>
        </row>
        <row r="100">
          <cell r="C100">
            <v>97</v>
          </cell>
          <cell r="E100" t="str">
            <v>도관전선 신설</v>
          </cell>
          <cell r="F100" t="str">
            <v>Φ115</v>
          </cell>
          <cell r="G100" t="str">
            <v>m</v>
          </cell>
          <cell r="H100">
            <v>3752</v>
          </cell>
          <cell r="I100">
            <v>0</v>
          </cell>
          <cell r="J100">
            <v>3752</v>
          </cell>
          <cell r="K100">
            <v>0</v>
          </cell>
          <cell r="M100">
            <v>0</v>
          </cell>
        </row>
        <row r="101">
          <cell r="C101">
            <v>98</v>
          </cell>
          <cell r="E101" t="str">
            <v>도관전선 신설</v>
          </cell>
          <cell r="F101" t="str">
            <v>Φ115(터널할증)</v>
          </cell>
          <cell r="G101" t="str">
            <v>m</v>
          </cell>
          <cell r="H101">
            <v>118</v>
          </cell>
          <cell r="I101">
            <v>0</v>
          </cell>
          <cell r="J101">
            <v>118</v>
          </cell>
          <cell r="K101">
            <v>0</v>
          </cell>
          <cell r="M101">
            <v>0</v>
          </cell>
        </row>
        <row r="102">
          <cell r="C102">
            <v>99</v>
          </cell>
          <cell r="E102" t="str">
            <v>도관전선 신설</v>
          </cell>
          <cell r="F102" t="str">
            <v>Φ76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M102">
            <v>0</v>
          </cell>
        </row>
        <row r="103">
          <cell r="C103">
            <v>100</v>
          </cell>
          <cell r="E103" t="str">
            <v>케이블트레이 신설</v>
          </cell>
          <cell r="F103" t="str">
            <v>RS-4000</v>
          </cell>
          <cell r="G103" t="str">
            <v>10m</v>
          </cell>
          <cell r="H103">
            <v>129.1</v>
          </cell>
          <cell r="I103">
            <v>94.1</v>
          </cell>
          <cell r="J103">
            <v>35</v>
          </cell>
          <cell r="K103">
            <v>0</v>
          </cell>
          <cell r="M103">
            <v>0</v>
          </cell>
        </row>
        <row r="104">
          <cell r="C104">
            <v>101</v>
          </cell>
          <cell r="E104" t="str">
            <v>케이블트레이 신설</v>
          </cell>
          <cell r="F104" t="str">
            <v>RS-4000(터널할증)</v>
          </cell>
          <cell r="G104" t="str">
            <v>10m</v>
          </cell>
          <cell r="H104">
            <v>473.70000000000005</v>
          </cell>
          <cell r="I104">
            <v>0</v>
          </cell>
          <cell r="J104">
            <v>473.70000000000005</v>
          </cell>
          <cell r="K104">
            <v>0</v>
          </cell>
          <cell r="M104">
            <v>0</v>
          </cell>
        </row>
        <row r="105">
          <cell r="C105">
            <v>102</v>
          </cell>
          <cell r="E105" t="str">
            <v>케이블트레이 신설</v>
          </cell>
          <cell r="F105" t="str">
            <v>W150 x H70</v>
          </cell>
          <cell r="G105" t="str">
            <v>m</v>
          </cell>
          <cell r="H105">
            <v>54</v>
          </cell>
          <cell r="I105">
            <v>54</v>
          </cell>
          <cell r="J105">
            <v>0</v>
          </cell>
          <cell r="K105">
            <v>0</v>
          </cell>
          <cell r="M105">
            <v>0</v>
          </cell>
        </row>
        <row r="106">
          <cell r="C106">
            <v>103</v>
          </cell>
          <cell r="E106" t="str">
            <v>케이블트레이 신설</v>
          </cell>
          <cell r="F106" t="str">
            <v>"C" 찬넬</v>
          </cell>
          <cell r="G106" t="str">
            <v>조</v>
          </cell>
          <cell r="H106">
            <v>22</v>
          </cell>
          <cell r="I106">
            <v>22</v>
          </cell>
          <cell r="J106">
            <v>0</v>
          </cell>
          <cell r="K106">
            <v>0</v>
          </cell>
          <cell r="M106">
            <v>0</v>
          </cell>
        </row>
        <row r="107">
          <cell r="C107">
            <v>104</v>
          </cell>
          <cell r="E107" t="str">
            <v>접지선 신설</v>
          </cell>
          <cell r="F107" t="str">
            <v>GV 38㎟x1C</v>
          </cell>
          <cell r="G107" t="str">
            <v>m</v>
          </cell>
          <cell r="H107">
            <v>24439</v>
          </cell>
          <cell r="I107">
            <v>0</v>
          </cell>
          <cell r="J107">
            <v>24439</v>
          </cell>
          <cell r="K107">
            <v>0</v>
          </cell>
          <cell r="M107">
            <v>0</v>
          </cell>
        </row>
        <row r="108">
          <cell r="C108">
            <v>105</v>
          </cell>
          <cell r="E108" t="str">
            <v>접지선 신설</v>
          </cell>
          <cell r="F108" t="str">
            <v>GV 5.5㎟x1C</v>
          </cell>
          <cell r="G108" t="str">
            <v>m</v>
          </cell>
          <cell r="H108">
            <v>15928</v>
          </cell>
          <cell r="I108">
            <v>0</v>
          </cell>
          <cell r="J108">
            <v>15928</v>
          </cell>
          <cell r="K108">
            <v>0</v>
          </cell>
          <cell r="M108">
            <v>0</v>
          </cell>
        </row>
        <row r="109">
          <cell r="C109">
            <v>106</v>
          </cell>
          <cell r="E109" t="str">
            <v>광케이블 신설</v>
          </cell>
          <cell r="F109" t="str">
            <v>다중모드 62.5/125㎛x8C</v>
          </cell>
          <cell r="G109" t="str">
            <v>m</v>
          </cell>
          <cell r="H109">
            <v>1029</v>
          </cell>
          <cell r="I109">
            <v>0</v>
          </cell>
          <cell r="J109">
            <v>1029</v>
          </cell>
          <cell r="K109">
            <v>0</v>
          </cell>
          <cell r="M109">
            <v>0</v>
          </cell>
        </row>
        <row r="110">
          <cell r="C110">
            <v>107</v>
          </cell>
          <cell r="E110" t="str">
            <v>통신케이블 신설</v>
          </cell>
          <cell r="F110" t="str">
            <v>PEF 0.9x14P</v>
          </cell>
          <cell r="G110" t="str">
            <v>m</v>
          </cell>
          <cell r="H110">
            <v>1352</v>
          </cell>
          <cell r="I110">
            <v>0</v>
          </cell>
          <cell r="J110">
            <v>1243</v>
          </cell>
          <cell r="K110">
            <v>0</v>
          </cell>
          <cell r="M110">
            <v>109</v>
          </cell>
        </row>
        <row r="111">
          <cell r="C111">
            <v>108</v>
          </cell>
          <cell r="E111" t="str">
            <v>제어케이블 신설</v>
          </cell>
          <cell r="F111" t="str">
            <v>CVV 14㎟x2C(역구내)</v>
          </cell>
          <cell r="G111" t="str">
            <v>100m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M111">
            <v>0</v>
          </cell>
        </row>
        <row r="112">
          <cell r="C112">
            <v>109</v>
          </cell>
          <cell r="E112" t="str">
            <v>제어케이블 신설</v>
          </cell>
          <cell r="F112" t="str">
            <v>CVV 5.5㎟x20C(역구내)</v>
          </cell>
          <cell r="G112" t="str">
            <v>100m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M112">
            <v>0</v>
          </cell>
        </row>
        <row r="113">
          <cell r="C113">
            <v>110</v>
          </cell>
          <cell r="E113" t="str">
            <v>제어케이블 신설</v>
          </cell>
          <cell r="F113" t="str">
            <v>CVV 5.5㎟x12C(역구내)</v>
          </cell>
          <cell r="G113" t="str">
            <v>100m</v>
          </cell>
          <cell r="H113">
            <v>402.34000000000003</v>
          </cell>
          <cell r="I113">
            <v>0</v>
          </cell>
          <cell r="J113">
            <v>402.34000000000003</v>
          </cell>
          <cell r="K113">
            <v>0</v>
          </cell>
          <cell r="M113">
            <v>0</v>
          </cell>
        </row>
        <row r="114">
          <cell r="C114" t="str">
            <v>110-1</v>
          </cell>
          <cell r="E114" t="str">
            <v>제어케이블 신설</v>
          </cell>
          <cell r="F114" t="str">
            <v>CVV 5.5㎟x12C(역간)</v>
          </cell>
          <cell r="G114" t="str">
            <v>100m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C115">
            <v>111</v>
          </cell>
          <cell r="E115" t="str">
            <v>제어케이블 신설</v>
          </cell>
          <cell r="F115" t="str">
            <v>CVV 5.5㎟x7C(역구내)</v>
          </cell>
          <cell r="G115" t="str">
            <v>100m</v>
          </cell>
          <cell r="H115">
            <v>126.53</v>
          </cell>
          <cell r="I115">
            <v>0</v>
          </cell>
          <cell r="J115">
            <v>126.53</v>
          </cell>
          <cell r="K115">
            <v>0</v>
          </cell>
          <cell r="M115">
            <v>0</v>
          </cell>
        </row>
        <row r="116">
          <cell r="C116" t="str">
            <v>111-1</v>
          </cell>
          <cell r="E116" t="str">
            <v>제어케이블 신설</v>
          </cell>
          <cell r="F116" t="str">
            <v>CVV 5.5㎟x7C(역간)</v>
          </cell>
          <cell r="G116" t="str">
            <v>100m</v>
          </cell>
          <cell r="H116">
            <v>0.26</v>
          </cell>
          <cell r="I116">
            <v>0</v>
          </cell>
          <cell r="J116">
            <v>0.26</v>
          </cell>
          <cell r="K116">
            <v>0</v>
          </cell>
          <cell r="M116">
            <v>0</v>
          </cell>
        </row>
        <row r="117">
          <cell r="C117">
            <v>112</v>
          </cell>
          <cell r="E117" t="str">
            <v>제어케이블 신설</v>
          </cell>
          <cell r="F117" t="str">
            <v>CVV 5.5㎟x4C(역구내)</v>
          </cell>
          <cell r="G117" t="str">
            <v>100m</v>
          </cell>
          <cell r="H117">
            <v>135.18</v>
          </cell>
          <cell r="I117">
            <v>0</v>
          </cell>
          <cell r="J117">
            <v>135.18</v>
          </cell>
          <cell r="K117">
            <v>0</v>
          </cell>
          <cell r="M117">
            <v>0</v>
          </cell>
        </row>
        <row r="118">
          <cell r="C118" t="str">
            <v>112-1</v>
          </cell>
          <cell r="E118" t="str">
            <v>제어케이블 신설</v>
          </cell>
          <cell r="F118" t="str">
            <v>CVV 5.5㎟x4C(역간)</v>
          </cell>
          <cell r="G118" t="str">
            <v>100m</v>
          </cell>
          <cell r="H118">
            <v>106.46</v>
          </cell>
          <cell r="I118">
            <v>0</v>
          </cell>
          <cell r="J118">
            <v>104.5</v>
          </cell>
          <cell r="K118">
            <v>0</v>
          </cell>
          <cell r="M118">
            <v>1.96</v>
          </cell>
        </row>
        <row r="119">
          <cell r="C119">
            <v>113</v>
          </cell>
          <cell r="E119" t="str">
            <v>제어케이블 신설</v>
          </cell>
          <cell r="F119" t="str">
            <v>CVV 5.5㎟x2C(역구내)</v>
          </cell>
          <cell r="G119" t="str">
            <v>100m</v>
          </cell>
          <cell r="H119">
            <v>372.45</v>
          </cell>
          <cell r="I119">
            <v>0</v>
          </cell>
          <cell r="J119">
            <v>372.45</v>
          </cell>
          <cell r="K119">
            <v>0</v>
          </cell>
          <cell r="M119">
            <v>0</v>
          </cell>
        </row>
        <row r="120">
          <cell r="C120" t="str">
            <v>113-1</v>
          </cell>
          <cell r="E120" t="str">
            <v>제어케이블 신설</v>
          </cell>
          <cell r="F120" t="str">
            <v>CVV 5.5㎟x2C(역간)</v>
          </cell>
          <cell r="G120" t="str">
            <v>100m</v>
          </cell>
          <cell r="H120">
            <v>85.3</v>
          </cell>
          <cell r="I120">
            <v>0</v>
          </cell>
          <cell r="J120">
            <v>84</v>
          </cell>
          <cell r="K120">
            <v>0</v>
          </cell>
          <cell r="M120">
            <v>1.3</v>
          </cell>
        </row>
        <row r="121">
          <cell r="C121">
            <v>114</v>
          </cell>
          <cell r="E121" t="str">
            <v>제어케이블 신설</v>
          </cell>
          <cell r="F121" t="str">
            <v>CVV 2㎟x30C(역구내)</v>
          </cell>
          <cell r="G121" t="str">
            <v>100m</v>
          </cell>
          <cell r="H121">
            <v>463.51</v>
          </cell>
          <cell r="I121">
            <v>0</v>
          </cell>
          <cell r="J121">
            <v>463.51</v>
          </cell>
          <cell r="K121">
            <v>0</v>
          </cell>
          <cell r="M121">
            <v>0</v>
          </cell>
        </row>
        <row r="122">
          <cell r="C122" t="str">
            <v>114-1</v>
          </cell>
          <cell r="E122" t="str">
            <v>제어케이블 신설</v>
          </cell>
          <cell r="F122" t="str">
            <v>CVV 2㎟x30C(역간)</v>
          </cell>
          <cell r="G122" t="str">
            <v>100m</v>
          </cell>
          <cell r="H122">
            <v>0.26</v>
          </cell>
          <cell r="I122">
            <v>0</v>
          </cell>
          <cell r="J122">
            <v>0</v>
          </cell>
          <cell r="K122">
            <v>0</v>
          </cell>
          <cell r="M122">
            <v>0.26</v>
          </cell>
        </row>
        <row r="123">
          <cell r="C123">
            <v>115</v>
          </cell>
          <cell r="E123" t="str">
            <v>제어케이블 신설</v>
          </cell>
          <cell r="F123" t="str">
            <v>CVV 2㎟x20C(역구내)</v>
          </cell>
          <cell r="G123" t="str">
            <v>100m</v>
          </cell>
          <cell r="H123">
            <v>51.760000000000005</v>
          </cell>
          <cell r="I123">
            <v>0</v>
          </cell>
          <cell r="J123">
            <v>51.760000000000005</v>
          </cell>
          <cell r="K123">
            <v>0</v>
          </cell>
          <cell r="M123">
            <v>0</v>
          </cell>
        </row>
        <row r="124">
          <cell r="C124" t="str">
            <v>115-1</v>
          </cell>
          <cell r="E124" t="str">
            <v>제어케이블 신설</v>
          </cell>
          <cell r="F124" t="str">
            <v>CVV 2㎟x20C(역간)</v>
          </cell>
          <cell r="G124" t="str">
            <v>100m</v>
          </cell>
          <cell r="H124">
            <v>1.1000000000000001</v>
          </cell>
          <cell r="I124">
            <v>0</v>
          </cell>
          <cell r="J124">
            <v>0</v>
          </cell>
          <cell r="K124">
            <v>0</v>
          </cell>
          <cell r="M124">
            <v>1.1000000000000001</v>
          </cell>
        </row>
        <row r="125">
          <cell r="C125">
            <v>116</v>
          </cell>
          <cell r="E125" t="str">
            <v>제어케이블 신설</v>
          </cell>
          <cell r="F125" t="str">
            <v>CVV 2㎟x12C(역구내)</v>
          </cell>
          <cell r="G125" t="str">
            <v>100m</v>
          </cell>
          <cell r="H125">
            <v>202.26</v>
          </cell>
          <cell r="I125">
            <v>0</v>
          </cell>
          <cell r="J125">
            <v>202.26</v>
          </cell>
          <cell r="K125">
            <v>0</v>
          </cell>
          <cell r="M125">
            <v>0</v>
          </cell>
        </row>
        <row r="126">
          <cell r="C126" t="str">
            <v>116-1</v>
          </cell>
          <cell r="E126" t="str">
            <v>제어케이블 신설</v>
          </cell>
          <cell r="F126" t="str">
            <v>CVV 2㎟x12C(역간)</v>
          </cell>
          <cell r="G126" t="str">
            <v>100m</v>
          </cell>
          <cell r="H126">
            <v>67.47</v>
          </cell>
          <cell r="I126">
            <v>0</v>
          </cell>
          <cell r="J126">
            <v>67.19</v>
          </cell>
          <cell r="K126">
            <v>0</v>
          </cell>
          <cell r="M126">
            <v>0.28000000000000003</v>
          </cell>
        </row>
        <row r="127">
          <cell r="C127">
            <v>117</v>
          </cell>
          <cell r="E127" t="str">
            <v>제어케이블 신설</v>
          </cell>
          <cell r="F127" t="str">
            <v>CVV 2㎟x7C(역구내)</v>
          </cell>
          <cell r="G127" t="str">
            <v>100m</v>
          </cell>
          <cell r="H127">
            <v>65.77</v>
          </cell>
          <cell r="I127">
            <v>0</v>
          </cell>
          <cell r="J127">
            <v>65.77</v>
          </cell>
          <cell r="K127">
            <v>0</v>
          </cell>
          <cell r="M127">
            <v>0</v>
          </cell>
        </row>
        <row r="128">
          <cell r="C128" t="str">
            <v>117-1</v>
          </cell>
          <cell r="E128" t="str">
            <v>제어케이블 신설</v>
          </cell>
          <cell r="F128" t="str">
            <v>CVV 2㎟x7C(역간)</v>
          </cell>
          <cell r="G128" t="str">
            <v>100m</v>
          </cell>
          <cell r="H128">
            <v>102.52</v>
          </cell>
          <cell r="I128">
            <v>0</v>
          </cell>
          <cell r="J128">
            <v>102.25</v>
          </cell>
          <cell r="K128">
            <v>0</v>
          </cell>
          <cell r="M128">
            <v>0.27</v>
          </cell>
        </row>
        <row r="129">
          <cell r="C129">
            <v>118</v>
          </cell>
          <cell r="E129" t="str">
            <v>제어케이블 신설</v>
          </cell>
          <cell r="F129" t="str">
            <v>CVV 2㎟x4C(역구내)</v>
          </cell>
          <cell r="G129" t="str">
            <v>100m</v>
          </cell>
          <cell r="H129">
            <v>262.98</v>
          </cell>
          <cell r="I129">
            <v>0</v>
          </cell>
          <cell r="J129">
            <v>262.98</v>
          </cell>
          <cell r="K129">
            <v>0</v>
          </cell>
          <cell r="M129">
            <v>0</v>
          </cell>
        </row>
        <row r="130">
          <cell r="C130" t="str">
            <v>118-1</v>
          </cell>
          <cell r="E130" t="str">
            <v>제어케이블 신설</v>
          </cell>
          <cell r="F130" t="str">
            <v>CVV 2㎟x4C(역간)</v>
          </cell>
          <cell r="G130" t="str">
            <v>100m</v>
          </cell>
          <cell r="H130">
            <v>34.86</v>
          </cell>
          <cell r="I130">
            <v>0</v>
          </cell>
          <cell r="J130">
            <v>34.65</v>
          </cell>
          <cell r="K130">
            <v>0</v>
          </cell>
          <cell r="M130">
            <v>0.21</v>
          </cell>
        </row>
        <row r="131">
          <cell r="C131">
            <v>119</v>
          </cell>
          <cell r="E131" t="str">
            <v>제어케이블 신설</v>
          </cell>
          <cell r="F131" t="str">
            <v>CVV 2㎟x2C(역구내)</v>
          </cell>
          <cell r="G131" t="str">
            <v>100m</v>
          </cell>
          <cell r="H131">
            <v>31.11</v>
          </cell>
          <cell r="I131">
            <v>0</v>
          </cell>
          <cell r="J131">
            <v>31.11</v>
          </cell>
          <cell r="K131">
            <v>0</v>
          </cell>
          <cell r="M131">
            <v>0</v>
          </cell>
        </row>
        <row r="132">
          <cell r="C132" t="str">
            <v>119-1</v>
          </cell>
          <cell r="E132" t="str">
            <v>제어케이블 신설</v>
          </cell>
          <cell r="F132" t="str">
            <v>CVV 2㎟x2C(역간)</v>
          </cell>
          <cell r="G132" t="str">
            <v>100m</v>
          </cell>
          <cell r="H132">
            <v>23.259999999999998</v>
          </cell>
          <cell r="I132">
            <v>0</v>
          </cell>
          <cell r="J132">
            <v>22.959999999999997</v>
          </cell>
          <cell r="K132">
            <v>0</v>
          </cell>
          <cell r="M132">
            <v>0.3</v>
          </cell>
        </row>
        <row r="133">
          <cell r="C133">
            <v>120</v>
          </cell>
          <cell r="E133" t="str">
            <v>제어케이블 신설</v>
          </cell>
          <cell r="F133" t="str">
            <v>CVVS 1.25㎟x5C</v>
          </cell>
          <cell r="G133" t="str">
            <v>100m</v>
          </cell>
          <cell r="H133">
            <v>2.38</v>
          </cell>
          <cell r="I133">
            <v>0</v>
          </cell>
          <cell r="J133">
            <v>2.38</v>
          </cell>
          <cell r="K133">
            <v>0</v>
          </cell>
          <cell r="M133">
            <v>0</v>
          </cell>
        </row>
        <row r="134">
          <cell r="C134">
            <v>121</v>
          </cell>
          <cell r="E134" t="str">
            <v>전원케이블 신설</v>
          </cell>
          <cell r="F134" t="str">
            <v>CV 115㎟x1C</v>
          </cell>
          <cell r="G134" t="str">
            <v>100m</v>
          </cell>
          <cell r="H134">
            <v>236.89999999999998</v>
          </cell>
          <cell r="I134">
            <v>0</v>
          </cell>
          <cell r="J134">
            <v>236.89999999999998</v>
          </cell>
          <cell r="K134">
            <v>0</v>
          </cell>
          <cell r="M134">
            <v>0</v>
          </cell>
        </row>
        <row r="135">
          <cell r="C135">
            <v>122</v>
          </cell>
          <cell r="E135" t="str">
            <v>전원케이블 신설</v>
          </cell>
          <cell r="F135" t="str">
            <v>CV 60㎟x1C(역구내)</v>
          </cell>
          <cell r="G135" t="str">
            <v>100m</v>
          </cell>
          <cell r="H135">
            <v>32.700000000000003</v>
          </cell>
          <cell r="I135">
            <v>0</v>
          </cell>
          <cell r="J135">
            <v>32.700000000000003</v>
          </cell>
          <cell r="K135">
            <v>0</v>
          </cell>
          <cell r="M135">
            <v>0</v>
          </cell>
        </row>
        <row r="136">
          <cell r="C136">
            <v>123</v>
          </cell>
          <cell r="E136" t="str">
            <v>전원케이블 신설</v>
          </cell>
          <cell r="F136" t="str">
            <v>CV 38㎟x2C(역구내)</v>
          </cell>
          <cell r="G136" t="str">
            <v>100m</v>
          </cell>
          <cell r="H136">
            <v>112.12</v>
          </cell>
          <cell r="I136">
            <v>18.880000000000003</v>
          </cell>
          <cell r="J136">
            <v>93.24</v>
          </cell>
          <cell r="K136">
            <v>0</v>
          </cell>
          <cell r="M136">
            <v>0</v>
          </cell>
        </row>
        <row r="137">
          <cell r="C137" t="str">
            <v>123-1</v>
          </cell>
          <cell r="E137" t="str">
            <v>전원케이블 신설</v>
          </cell>
          <cell r="F137" t="str">
            <v>CV 38㎟x2C(역간)</v>
          </cell>
          <cell r="G137" t="str">
            <v>100m</v>
          </cell>
          <cell r="H137">
            <v>767.06999999999994</v>
          </cell>
          <cell r="I137">
            <v>0</v>
          </cell>
          <cell r="J137">
            <v>767.06999999999994</v>
          </cell>
          <cell r="K137">
            <v>0</v>
          </cell>
          <cell r="M137">
            <v>0</v>
          </cell>
        </row>
        <row r="138">
          <cell r="C138" t="str">
            <v>123-2</v>
          </cell>
          <cell r="E138" t="str">
            <v>전원케이블 신설</v>
          </cell>
          <cell r="F138" t="str">
            <v>CV 38㎟x2C(역간)(할증)</v>
          </cell>
          <cell r="G138" t="str">
            <v>100m</v>
          </cell>
          <cell r="H138">
            <v>2.5</v>
          </cell>
          <cell r="I138">
            <v>0</v>
          </cell>
          <cell r="J138">
            <v>2.5</v>
          </cell>
          <cell r="K138">
            <v>0</v>
          </cell>
        </row>
        <row r="139">
          <cell r="C139">
            <v>124</v>
          </cell>
          <cell r="E139" t="str">
            <v>전원케이블 신설</v>
          </cell>
          <cell r="F139" t="str">
            <v>CV 22㎟x2C(역구내)</v>
          </cell>
          <cell r="G139" t="str">
            <v>100m</v>
          </cell>
          <cell r="H139">
            <v>68.099999999999994</v>
          </cell>
          <cell r="I139">
            <v>16.440000000000001</v>
          </cell>
          <cell r="J139">
            <v>51.66</v>
          </cell>
          <cell r="K139">
            <v>0</v>
          </cell>
          <cell r="M139">
            <v>0</v>
          </cell>
        </row>
        <row r="140">
          <cell r="C140" t="str">
            <v>124-1</v>
          </cell>
          <cell r="E140" t="str">
            <v>전원케이블 신설</v>
          </cell>
          <cell r="F140" t="str">
            <v>CV 22㎟x2C(역간)</v>
          </cell>
          <cell r="G140" t="str">
            <v>100m</v>
          </cell>
          <cell r="H140">
            <v>373.64</v>
          </cell>
          <cell r="I140">
            <v>0</v>
          </cell>
          <cell r="J140">
            <v>373.64</v>
          </cell>
          <cell r="K140">
            <v>0</v>
          </cell>
          <cell r="M140">
            <v>0</v>
          </cell>
        </row>
        <row r="141">
          <cell r="C141">
            <v>125</v>
          </cell>
          <cell r="E141" t="str">
            <v>전원케이블 신설</v>
          </cell>
          <cell r="F141" t="str">
            <v>CV 14㎟x2C(역구내)</v>
          </cell>
          <cell r="G141" t="str">
            <v>100m</v>
          </cell>
          <cell r="H141">
            <v>548.45000000000005</v>
          </cell>
          <cell r="I141">
            <v>0</v>
          </cell>
          <cell r="J141">
            <v>548.45000000000005</v>
          </cell>
          <cell r="K141">
            <v>0</v>
          </cell>
          <cell r="M141">
            <v>0</v>
          </cell>
        </row>
        <row r="142">
          <cell r="C142" t="str">
            <v>125-1</v>
          </cell>
          <cell r="E142" t="str">
            <v>전원케이블 신설</v>
          </cell>
          <cell r="F142" t="str">
            <v>CV 14㎟x2C(역간)</v>
          </cell>
          <cell r="G142" t="str">
            <v>100m</v>
          </cell>
          <cell r="H142">
            <v>595.41</v>
          </cell>
          <cell r="I142">
            <v>0</v>
          </cell>
          <cell r="J142">
            <v>595.41</v>
          </cell>
          <cell r="K142">
            <v>0</v>
          </cell>
          <cell r="M142">
            <v>0</v>
          </cell>
        </row>
        <row r="143">
          <cell r="C143" t="str">
            <v>125-2</v>
          </cell>
          <cell r="E143" t="str">
            <v>전원케이블 신설</v>
          </cell>
          <cell r="F143" t="str">
            <v>CV 14㎟x2C(역간)(할증)</v>
          </cell>
          <cell r="G143" t="str">
            <v>100m</v>
          </cell>
          <cell r="H143">
            <v>59.41</v>
          </cell>
          <cell r="I143">
            <v>0</v>
          </cell>
          <cell r="J143">
            <v>59.41</v>
          </cell>
          <cell r="K143">
            <v>0</v>
          </cell>
        </row>
        <row r="144">
          <cell r="C144" t="str">
            <v>126-1</v>
          </cell>
          <cell r="E144" t="str">
            <v>전원케이블 신설</v>
          </cell>
          <cell r="F144" t="str">
            <v>CV 8㎟x2C(역간)</v>
          </cell>
          <cell r="G144" t="str">
            <v>100m</v>
          </cell>
          <cell r="H144">
            <v>1.94</v>
          </cell>
          <cell r="I144">
            <v>0</v>
          </cell>
          <cell r="J144">
            <v>0</v>
          </cell>
          <cell r="K144">
            <v>0</v>
          </cell>
          <cell r="M144">
            <v>1.94</v>
          </cell>
        </row>
        <row r="145">
          <cell r="C145">
            <v>127</v>
          </cell>
          <cell r="E145" t="str">
            <v>전원케이블 신설</v>
          </cell>
          <cell r="F145" t="str">
            <v>CV 5.5㎟x4C(역구내)</v>
          </cell>
          <cell r="G145" t="str">
            <v>100m</v>
          </cell>
          <cell r="H145">
            <v>142.13</v>
          </cell>
          <cell r="I145">
            <v>0</v>
          </cell>
          <cell r="J145">
            <v>142.13</v>
          </cell>
          <cell r="K145">
            <v>0</v>
          </cell>
          <cell r="M145">
            <v>0</v>
          </cell>
        </row>
        <row r="146">
          <cell r="C146" t="str">
            <v>127-1</v>
          </cell>
          <cell r="E146" t="str">
            <v>전원케이블 신설</v>
          </cell>
          <cell r="F146" t="str">
            <v>CV 5.5㎟x4C(역간)</v>
          </cell>
          <cell r="G146" t="str">
            <v>100m</v>
          </cell>
          <cell r="H146">
            <v>1.48</v>
          </cell>
          <cell r="I146">
            <v>0</v>
          </cell>
          <cell r="J146">
            <v>1.48</v>
          </cell>
          <cell r="K146">
            <v>0</v>
          </cell>
          <cell r="M146">
            <v>0</v>
          </cell>
        </row>
        <row r="147">
          <cell r="C147">
            <v>128</v>
          </cell>
          <cell r="E147" t="str">
            <v>전원케이블 신설</v>
          </cell>
          <cell r="F147" t="str">
            <v>CV 5.5㎟x2C(역구내)</v>
          </cell>
          <cell r="G147" t="str">
            <v>100m</v>
          </cell>
          <cell r="H147">
            <v>83.87</v>
          </cell>
          <cell r="I147">
            <v>0</v>
          </cell>
          <cell r="J147">
            <v>83.87</v>
          </cell>
          <cell r="K147">
            <v>0</v>
          </cell>
          <cell r="M147">
            <v>0</v>
          </cell>
        </row>
        <row r="148">
          <cell r="C148" t="str">
            <v>128-1</v>
          </cell>
          <cell r="E148" t="str">
            <v>전원케이블 신설</v>
          </cell>
          <cell r="F148" t="str">
            <v>CV 5.5㎟x2C(역간)</v>
          </cell>
          <cell r="G148" t="str">
            <v>100m</v>
          </cell>
          <cell r="H148">
            <v>11.92</v>
          </cell>
          <cell r="I148">
            <v>0</v>
          </cell>
          <cell r="J148">
            <v>11.76</v>
          </cell>
          <cell r="K148">
            <v>0</v>
          </cell>
          <cell r="M148">
            <v>0.16</v>
          </cell>
        </row>
        <row r="149">
          <cell r="C149">
            <v>129</v>
          </cell>
          <cell r="E149" t="str">
            <v>AF 궤도회로 신설</v>
          </cell>
          <cell r="F149" t="str">
            <v>송.수신용</v>
          </cell>
          <cell r="G149" t="str">
            <v>개소</v>
          </cell>
          <cell r="H149">
            <v>224</v>
          </cell>
          <cell r="I149">
            <v>0</v>
          </cell>
          <cell r="J149">
            <v>0</v>
          </cell>
          <cell r="K149">
            <v>224</v>
          </cell>
          <cell r="M149">
            <v>0</v>
          </cell>
        </row>
        <row r="150">
          <cell r="C150">
            <v>130</v>
          </cell>
          <cell r="E150" t="str">
            <v>AF 궤도회로 신설</v>
          </cell>
          <cell r="F150" t="str">
            <v>종단부(송신용)</v>
          </cell>
          <cell r="G150" t="str">
            <v>개소</v>
          </cell>
          <cell r="H150">
            <v>24</v>
          </cell>
          <cell r="I150">
            <v>0</v>
          </cell>
          <cell r="J150">
            <v>0</v>
          </cell>
          <cell r="K150">
            <v>24</v>
          </cell>
          <cell r="M150">
            <v>0</v>
          </cell>
        </row>
        <row r="151">
          <cell r="C151">
            <v>131</v>
          </cell>
          <cell r="E151" t="str">
            <v>AF 궤도회로 신설</v>
          </cell>
          <cell r="F151" t="str">
            <v>종단부(수신용)</v>
          </cell>
          <cell r="G151" t="str">
            <v>개소</v>
          </cell>
          <cell r="H151">
            <v>26</v>
          </cell>
          <cell r="I151">
            <v>0</v>
          </cell>
          <cell r="J151">
            <v>0</v>
          </cell>
          <cell r="K151">
            <v>26</v>
          </cell>
          <cell r="M151">
            <v>0</v>
          </cell>
        </row>
        <row r="152">
          <cell r="C152">
            <v>132</v>
          </cell>
          <cell r="E152" t="str">
            <v>궤도회로 송신장치 신설</v>
          </cell>
          <cell r="F152" t="str">
            <v>임펄스용</v>
          </cell>
          <cell r="G152" t="str">
            <v>조</v>
          </cell>
          <cell r="H152">
            <v>256</v>
          </cell>
          <cell r="I152">
            <v>256</v>
          </cell>
          <cell r="J152">
            <v>0</v>
          </cell>
          <cell r="K152">
            <v>0</v>
          </cell>
          <cell r="M152">
            <v>0</v>
          </cell>
        </row>
        <row r="153">
          <cell r="C153">
            <v>133</v>
          </cell>
          <cell r="E153" t="str">
            <v>궤도회로 수신장치 신설</v>
          </cell>
          <cell r="F153" t="str">
            <v>임펄스용</v>
          </cell>
          <cell r="G153" t="str">
            <v>조</v>
          </cell>
          <cell r="H153">
            <v>256</v>
          </cell>
          <cell r="I153">
            <v>256</v>
          </cell>
          <cell r="J153">
            <v>0</v>
          </cell>
          <cell r="K153">
            <v>0</v>
          </cell>
          <cell r="M153">
            <v>0</v>
          </cell>
        </row>
        <row r="154">
          <cell r="C154">
            <v>134</v>
          </cell>
          <cell r="E154" t="str">
            <v>보도블럭 드러내기</v>
          </cell>
          <cell r="F154">
            <v>0</v>
          </cell>
          <cell r="G154" t="str">
            <v>m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M154">
            <v>0</v>
          </cell>
        </row>
        <row r="155">
          <cell r="C155">
            <v>135</v>
          </cell>
          <cell r="E155" t="str">
            <v>콘크리트 깨기 및 복구</v>
          </cell>
          <cell r="F155" t="str">
            <v>깊이 20cm</v>
          </cell>
          <cell r="G155" t="str">
            <v>m</v>
          </cell>
          <cell r="H155">
            <v>298</v>
          </cell>
          <cell r="I155">
            <v>0</v>
          </cell>
          <cell r="J155">
            <v>298</v>
          </cell>
          <cell r="K155">
            <v>0</v>
          </cell>
          <cell r="M155">
            <v>0</v>
          </cell>
        </row>
        <row r="156">
          <cell r="C156">
            <v>136</v>
          </cell>
          <cell r="E156" t="str">
            <v>아스팔트 깨기 및 복구</v>
          </cell>
          <cell r="F156" t="str">
            <v>폭 30cm, 두께 20cm</v>
          </cell>
          <cell r="G156" t="str">
            <v>m</v>
          </cell>
          <cell r="H156">
            <v>377</v>
          </cell>
          <cell r="I156">
            <v>0</v>
          </cell>
          <cell r="J156">
            <v>377</v>
          </cell>
          <cell r="K156">
            <v>0</v>
          </cell>
          <cell r="M156">
            <v>0</v>
          </cell>
        </row>
        <row r="157">
          <cell r="C157">
            <v>137</v>
          </cell>
          <cell r="E157" t="str">
            <v>건널목전자유니트 신설</v>
          </cell>
          <cell r="F157">
            <v>0</v>
          </cell>
          <cell r="G157" t="str">
            <v>개소</v>
          </cell>
          <cell r="H157">
            <v>9</v>
          </cell>
          <cell r="I157">
            <v>0</v>
          </cell>
          <cell r="J157">
            <v>9</v>
          </cell>
          <cell r="K157">
            <v>0</v>
          </cell>
          <cell r="M157">
            <v>0</v>
          </cell>
        </row>
        <row r="158">
          <cell r="C158">
            <v>138</v>
          </cell>
          <cell r="E158" t="str">
            <v>정시간제어함 신설</v>
          </cell>
          <cell r="F158" t="str">
            <v>시점제어용</v>
          </cell>
          <cell r="G158" t="str">
            <v>개소</v>
          </cell>
          <cell r="H158">
            <v>6</v>
          </cell>
          <cell r="I158">
            <v>0</v>
          </cell>
          <cell r="J158">
            <v>6</v>
          </cell>
          <cell r="K158">
            <v>0</v>
          </cell>
          <cell r="M158">
            <v>0</v>
          </cell>
        </row>
        <row r="159">
          <cell r="C159">
            <v>139</v>
          </cell>
          <cell r="E159" t="str">
            <v>스위치함 신설</v>
          </cell>
          <cell r="F159">
            <v>0</v>
          </cell>
          <cell r="G159" t="str">
            <v>개소</v>
          </cell>
          <cell r="H159">
            <v>9</v>
          </cell>
          <cell r="I159">
            <v>0</v>
          </cell>
          <cell r="J159">
            <v>9</v>
          </cell>
          <cell r="K159">
            <v>0</v>
          </cell>
          <cell r="M159">
            <v>0</v>
          </cell>
        </row>
        <row r="160">
          <cell r="C160">
            <v>140</v>
          </cell>
          <cell r="E160" t="str">
            <v>지장물검지장치 신설</v>
          </cell>
          <cell r="F160" t="str">
            <v>단선용</v>
          </cell>
          <cell r="G160" t="str">
            <v>조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M160">
            <v>0</v>
          </cell>
        </row>
        <row r="161">
          <cell r="C161">
            <v>141</v>
          </cell>
          <cell r="E161" t="str">
            <v>특수신호발광기 신설</v>
          </cell>
          <cell r="F161" t="str">
            <v>지장물검지장치용</v>
          </cell>
          <cell r="G161" t="str">
            <v>기</v>
          </cell>
          <cell r="H161">
            <v>12</v>
          </cell>
          <cell r="I161">
            <v>0</v>
          </cell>
          <cell r="J161">
            <v>12</v>
          </cell>
          <cell r="K161">
            <v>0</v>
          </cell>
          <cell r="M161">
            <v>0</v>
          </cell>
        </row>
        <row r="162">
          <cell r="C162">
            <v>142</v>
          </cell>
          <cell r="E162" t="str">
            <v>출발신호기 철거 신설</v>
          </cell>
          <cell r="F162" t="str">
            <v>3현시</v>
          </cell>
          <cell r="G162" t="str">
            <v>조</v>
          </cell>
          <cell r="H162">
            <v>7</v>
          </cell>
          <cell r="I162">
            <v>0</v>
          </cell>
          <cell r="J162">
            <v>0</v>
          </cell>
          <cell r="K162">
            <v>0</v>
          </cell>
          <cell r="L162">
            <v>7</v>
          </cell>
          <cell r="M162">
            <v>0</v>
          </cell>
        </row>
        <row r="163">
          <cell r="C163">
            <v>143</v>
          </cell>
          <cell r="E163" t="str">
            <v>장내신호기 철거 신설</v>
          </cell>
          <cell r="F163" t="str">
            <v>3현시</v>
          </cell>
          <cell r="G163" t="str">
            <v>조</v>
          </cell>
          <cell r="H163">
            <v>25</v>
          </cell>
          <cell r="I163">
            <v>0</v>
          </cell>
          <cell r="J163">
            <v>0</v>
          </cell>
          <cell r="K163">
            <v>0</v>
          </cell>
          <cell r="L163">
            <v>25</v>
          </cell>
          <cell r="M163">
            <v>0</v>
          </cell>
        </row>
        <row r="164">
          <cell r="C164">
            <v>144</v>
          </cell>
          <cell r="E164" t="str">
            <v>케이블헷드 철거 신설</v>
          </cell>
          <cell r="F164" t="str">
            <v>4회선용</v>
          </cell>
          <cell r="G164" t="str">
            <v>개</v>
          </cell>
          <cell r="H164">
            <v>21</v>
          </cell>
          <cell r="I164">
            <v>0</v>
          </cell>
          <cell r="J164">
            <v>0</v>
          </cell>
          <cell r="K164">
            <v>0</v>
          </cell>
          <cell r="L164">
            <v>21</v>
          </cell>
          <cell r="M164">
            <v>0</v>
          </cell>
        </row>
        <row r="165">
          <cell r="C165">
            <v>145</v>
          </cell>
          <cell r="E165" t="str">
            <v>궤도송신기 철거 신설</v>
          </cell>
          <cell r="F165" t="str">
            <v>바이어스용</v>
          </cell>
          <cell r="G165" t="str">
            <v>개</v>
          </cell>
          <cell r="H165">
            <v>87</v>
          </cell>
          <cell r="I165">
            <v>0</v>
          </cell>
          <cell r="J165">
            <v>0</v>
          </cell>
          <cell r="K165">
            <v>0</v>
          </cell>
          <cell r="L165">
            <v>87</v>
          </cell>
          <cell r="M165">
            <v>0</v>
          </cell>
        </row>
        <row r="166">
          <cell r="E166" t="str">
            <v>&lt; 부대설비 &gt;</v>
          </cell>
        </row>
        <row r="167">
          <cell r="C167" t="str">
            <v>1-1</v>
          </cell>
          <cell r="E167" t="str">
            <v>궤조절연 신설</v>
          </cell>
          <cell r="F167" t="str">
            <v>접착식 절연레일 60kg</v>
          </cell>
          <cell r="G167" t="str">
            <v>조</v>
          </cell>
          <cell r="H167">
            <v>176</v>
          </cell>
          <cell r="I167">
            <v>0</v>
          </cell>
          <cell r="J167">
            <v>0</v>
          </cell>
          <cell r="K167">
            <v>176</v>
          </cell>
        </row>
        <row r="168">
          <cell r="C168" t="str">
            <v>1-2</v>
          </cell>
          <cell r="E168" t="str">
            <v>궤조절연 신설</v>
          </cell>
          <cell r="F168" t="str">
            <v>접착식 절연레일 50kg</v>
          </cell>
          <cell r="G168" t="str">
            <v>조</v>
          </cell>
          <cell r="H168">
            <v>104</v>
          </cell>
          <cell r="I168">
            <v>0</v>
          </cell>
          <cell r="J168">
            <v>0</v>
          </cell>
          <cell r="K168">
            <v>104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(신설)"/>
      <sheetName val="1공구총(신설)"/>
      <sheetName val="2공구총(신설)"/>
      <sheetName val="총(철거)"/>
      <sheetName val="1공구총(철거)"/>
      <sheetName val="2공구총(철거)"/>
      <sheetName val="예산조서"/>
      <sheetName val="단가산출(신설)"/>
      <sheetName val="단가산출(철거)"/>
      <sheetName val="기타재료"/>
      <sheetName val="표지목차"/>
      <sheetName val="간지1"/>
      <sheetName val="공사원가"/>
      <sheetName val="간지2"/>
      <sheetName val="간지3"/>
      <sheetName val="관급자재"/>
      <sheetName val="간지4"/>
      <sheetName val="공통단가"/>
      <sheetName val="단가산출서"/>
      <sheetName val="간지5"/>
      <sheetName val="운반비산출"/>
      <sheetName val="차량비"/>
      <sheetName val="중량산출"/>
      <sheetName val="간지6"/>
      <sheetName val="작업부산물"/>
      <sheetName val="간지7"/>
      <sheetName val="자재단가비교표"/>
      <sheetName val="간지8"/>
      <sheetName val="경비율"/>
      <sheetName val="물량표"/>
      <sheetName val="총물량표"/>
      <sheetName val="단가비교표"/>
      <sheetName val="BASIC (2)"/>
      <sheetName val="공사설계서"/>
      <sheetName val="단가산출기초"/>
      <sheetName val="동원인원"/>
      <sheetName val="수량산출내역서"/>
      <sheetName val="노단"/>
      <sheetName val="수량집계"/>
      <sheetName val="수량산출"/>
      <sheetName val="조명율표"/>
      <sheetName val="48일위"/>
      <sheetName val="요율"/>
      <sheetName val="단가 (2)"/>
      <sheetName val="13.단가비교표"/>
      <sheetName val="개요"/>
      <sheetName val="4.2내역서"/>
      <sheetName val="직노"/>
      <sheetName val="20관리비율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물량표"/>
      <sheetName val="유(총)"/>
      <sheetName val="신례원"/>
      <sheetName val="용궁"/>
      <sheetName val="관"/>
      <sheetName val="차(총)"/>
      <sheetName val="간양"/>
      <sheetName val="신대"/>
      <sheetName val="신가"/>
      <sheetName val="가재울"/>
      <sheetName val="주봉"/>
      <sheetName val="화양"/>
      <sheetName val="금곡"/>
      <sheetName val="학계"/>
      <sheetName val="봉덕"/>
      <sheetName val="소송"/>
      <sheetName val="대륭"/>
      <sheetName val="화성"/>
      <sheetName val="장선"/>
      <sheetName val="경(총)"/>
      <sheetName val="관작"/>
      <sheetName val="산성"/>
      <sheetName val="정(총)"/>
      <sheetName val="표지"/>
      <sheetName val="목차"/>
      <sheetName val="1."/>
      <sheetName val="유니트"/>
      <sheetName val="초오(유)"/>
      <sheetName val="선산(유)"/>
      <sheetName val="상주제(유)"/>
      <sheetName val="흥덕(유)"/>
      <sheetName val="우지(유)"/>
      <sheetName val="2."/>
      <sheetName val="현수형"/>
      <sheetName val="외남(현)"/>
      <sheetName val="상주제(현)"/>
      <sheetName val="3."/>
      <sheetName val="지장물"/>
      <sheetName val="상주제(지)"/>
      <sheetName val="4."/>
      <sheetName val="출구측차단기"/>
      <sheetName val="선산1(차)"/>
      <sheetName val="초오(차)"/>
      <sheetName val="월로(차)"/>
      <sheetName val="신봉(차)"/>
      <sheetName val="초산1(차)"/>
      <sheetName val="부원(차)"/>
      <sheetName val="가장1(차)"/>
      <sheetName val="소암1(차)"/>
      <sheetName val="소암3(차)"/>
      <sheetName val="5."/>
      <sheetName val="정시간"/>
      <sheetName val="청하(정)"/>
      <sheetName val="오대(정)"/>
      <sheetName val="죽전(정)"/>
      <sheetName val="초산2(정)"/>
      <sheetName val="교동(정)"/>
      <sheetName val="6."/>
      <sheetName val="SC"/>
      <sheetName val="흥덕(SC)"/>
      <sheetName val="무곡(SC)"/>
      <sheetName val="총(철거)"/>
      <sheetName val="총(신설)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월연장근무"/>
      <sheetName val="3월연장환산시간집계표(322)"/>
      <sheetName val="2월연장환산시간집계표"/>
      <sheetName val="퇴사자 연장시간집계"/>
    </sheetNames>
    <sheetDataSet>
      <sheetData sheetId="0">
        <row r="2">
          <cell r="A2" t="str">
            <v>성  명</v>
          </cell>
          <cell r="B2" t="str">
            <v>사   번</v>
          </cell>
          <cell r="C2" t="str">
            <v>직위</v>
          </cell>
          <cell r="D2" t="str">
            <v>전월</v>
          </cell>
        </row>
        <row r="3">
          <cell r="D3" t="str">
            <v>누락분</v>
          </cell>
        </row>
        <row r="4">
          <cell r="A4" t="str">
            <v>권금향</v>
          </cell>
          <cell r="B4">
            <v>20021101</v>
          </cell>
          <cell r="C4" t="str">
            <v>사원</v>
          </cell>
        </row>
        <row r="5">
          <cell r="A5" t="str">
            <v>권미숙</v>
          </cell>
          <cell r="B5">
            <v>19981204</v>
          </cell>
          <cell r="C5" t="str">
            <v>사원</v>
          </cell>
        </row>
        <row r="6">
          <cell r="A6" t="str">
            <v>권미자</v>
          </cell>
          <cell r="B6">
            <v>20001204</v>
          </cell>
          <cell r="C6" t="str">
            <v>사원</v>
          </cell>
        </row>
        <row r="7">
          <cell r="A7" t="str">
            <v>권유은</v>
          </cell>
          <cell r="B7">
            <v>20011201</v>
          </cell>
          <cell r="C7" t="str">
            <v>사원</v>
          </cell>
        </row>
        <row r="8">
          <cell r="A8" t="str">
            <v>김경애1</v>
          </cell>
          <cell r="B8">
            <v>20000801</v>
          </cell>
          <cell r="C8" t="str">
            <v>사원</v>
          </cell>
          <cell r="D8">
            <v>6.25</v>
          </cell>
        </row>
        <row r="9">
          <cell r="A9" t="str">
            <v>김경애2</v>
          </cell>
          <cell r="B9">
            <v>20030204</v>
          </cell>
          <cell r="C9" t="str">
            <v>사원</v>
          </cell>
        </row>
        <row r="10">
          <cell r="A10" t="str">
            <v>김기양</v>
          </cell>
          <cell r="B10">
            <v>20030501</v>
          </cell>
          <cell r="C10" t="str">
            <v>사원</v>
          </cell>
        </row>
        <row r="11">
          <cell r="A11" t="str">
            <v>김대훈</v>
          </cell>
          <cell r="B11">
            <v>20030104</v>
          </cell>
          <cell r="C11" t="str">
            <v>사원</v>
          </cell>
        </row>
        <row r="12">
          <cell r="A12" t="str">
            <v>김락현</v>
          </cell>
          <cell r="B12">
            <v>20001108</v>
          </cell>
          <cell r="C12" t="str">
            <v>주임</v>
          </cell>
        </row>
        <row r="13">
          <cell r="A13" t="str">
            <v>김명순</v>
          </cell>
          <cell r="B13">
            <v>20001205</v>
          </cell>
          <cell r="C13" t="str">
            <v>사원</v>
          </cell>
        </row>
        <row r="14">
          <cell r="A14" t="str">
            <v>김명희</v>
          </cell>
          <cell r="B14">
            <v>20001207</v>
          </cell>
          <cell r="C14" t="str">
            <v>사원</v>
          </cell>
        </row>
        <row r="15">
          <cell r="A15" t="str">
            <v>김범수</v>
          </cell>
          <cell r="B15">
            <v>20011104</v>
          </cell>
          <cell r="C15" t="str">
            <v>사원</v>
          </cell>
        </row>
        <row r="16">
          <cell r="A16" t="str">
            <v>김범연</v>
          </cell>
          <cell r="B16">
            <v>20030703</v>
          </cell>
          <cell r="C16" t="str">
            <v>사원</v>
          </cell>
        </row>
        <row r="17">
          <cell r="A17" t="str">
            <v>김병훈</v>
          </cell>
          <cell r="B17">
            <v>20020409</v>
          </cell>
          <cell r="C17" t="str">
            <v>사원</v>
          </cell>
          <cell r="D17">
            <v>6.25</v>
          </cell>
        </row>
        <row r="18">
          <cell r="A18" t="str">
            <v>김석호</v>
          </cell>
          <cell r="B18">
            <v>20030502</v>
          </cell>
          <cell r="C18" t="str">
            <v>주임</v>
          </cell>
        </row>
        <row r="19">
          <cell r="A19" t="str">
            <v>김성기</v>
          </cell>
          <cell r="B19">
            <v>20030605</v>
          </cell>
          <cell r="C19" t="str">
            <v>주임</v>
          </cell>
        </row>
        <row r="20">
          <cell r="A20" t="str">
            <v>김성열</v>
          </cell>
          <cell r="B20">
            <v>20001106</v>
          </cell>
          <cell r="C20" t="str">
            <v>주임</v>
          </cell>
        </row>
        <row r="21">
          <cell r="A21" t="str">
            <v>김수민</v>
          </cell>
          <cell r="B21">
            <v>20020105</v>
          </cell>
          <cell r="C21" t="str">
            <v>사원</v>
          </cell>
        </row>
        <row r="22">
          <cell r="A22" t="str">
            <v>김영환</v>
          </cell>
          <cell r="B22">
            <v>20000201</v>
          </cell>
          <cell r="C22" t="str">
            <v>사원</v>
          </cell>
        </row>
        <row r="23">
          <cell r="A23" t="str">
            <v>김옥경</v>
          </cell>
          <cell r="B23">
            <v>20030208</v>
          </cell>
          <cell r="C23" t="str">
            <v>사원</v>
          </cell>
          <cell r="D23">
            <v>6.25</v>
          </cell>
        </row>
        <row r="24">
          <cell r="A24" t="str">
            <v>김옥화</v>
          </cell>
          <cell r="B24">
            <v>20030207</v>
          </cell>
          <cell r="C24" t="str">
            <v>사원</v>
          </cell>
          <cell r="D24">
            <v>6.25</v>
          </cell>
        </row>
        <row r="25">
          <cell r="A25" t="str">
            <v>김원곤</v>
          </cell>
          <cell r="B25">
            <v>20020302</v>
          </cell>
          <cell r="C25" t="str">
            <v>사원</v>
          </cell>
        </row>
        <row r="26">
          <cell r="A26" t="str">
            <v>김은화</v>
          </cell>
          <cell r="B26">
            <v>20030210</v>
          </cell>
          <cell r="C26" t="str">
            <v>사원</v>
          </cell>
        </row>
        <row r="27">
          <cell r="A27" t="str">
            <v>김정미</v>
          </cell>
          <cell r="B27">
            <v>20030603</v>
          </cell>
          <cell r="C27" t="str">
            <v>사원</v>
          </cell>
        </row>
        <row r="28">
          <cell r="A28" t="str">
            <v>김정민</v>
          </cell>
          <cell r="B28">
            <v>20001104</v>
          </cell>
          <cell r="C28" t="str">
            <v>사원</v>
          </cell>
        </row>
        <row r="29">
          <cell r="A29" t="str">
            <v>김정운</v>
          </cell>
          <cell r="B29">
            <v>20030201</v>
          </cell>
          <cell r="C29" t="str">
            <v>주임</v>
          </cell>
        </row>
        <row r="30">
          <cell r="A30" t="str">
            <v>김정희2</v>
          </cell>
          <cell r="B30">
            <v>20000602</v>
          </cell>
          <cell r="C30" t="str">
            <v>사원</v>
          </cell>
        </row>
        <row r="31">
          <cell r="A31" t="str">
            <v>김종택</v>
          </cell>
          <cell r="B31">
            <v>19990906</v>
          </cell>
          <cell r="C31" t="str">
            <v>주임</v>
          </cell>
        </row>
        <row r="32">
          <cell r="A32" t="str">
            <v>김중호</v>
          </cell>
          <cell r="B32">
            <v>20001201</v>
          </cell>
          <cell r="C32" t="str">
            <v>주임</v>
          </cell>
        </row>
        <row r="33">
          <cell r="A33" t="str">
            <v>김채연</v>
          </cell>
          <cell r="B33">
            <v>20030802</v>
          </cell>
          <cell r="C33" t="str">
            <v>사원</v>
          </cell>
        </row>
        <row r="34">
          <cell r="A34" t="str">
            <v>김현수</v>
          </cell>
          <cell r="B34">
            <v>20031007</v>
          </cell>
          <cell r="C34" t="str">
            <v>사원</v>
          </cell>
        </row>
        <row r="35">
          <cell r="A35" t="str">
            <v>김현자</v>
          </cell>
          <cell r="B35">
            <v>20011105</v>
          </cell>
          <cell r="C35" t="str">
            <v>사원</v>
          </cell>
          <cell r="D35">
            <v>33</v>
          </cell>
        </row>
        <row r="36">
          <cell r="A36" t="str">
            <v>김홍석</v>
          </cell>
          <cell r="B36">
            <v>20000504</v>
          </cell>
          <cell r="C36" t="str">
            <v>주임</v>
          </cell>
        </row>
        <row r="37">
          <cell r="A37" t="str">
            <v>나원희</v>
          </cell>
          <cell r="B37">
            <v>20020102</v>
          </cell>
          <cell r="C37" t="str">
            <v>사원</v>
          </cell>
        </row>
        <row r="38">
          <cell r="A38" t="str">
            <v>노현균</v>
          </cell>
          <cell r="B38">
            <v>20030601</v>
          </cell>
          <cell r="C38" t="str">
            <v>사원</v>
          </cell>
        </row>
        <row r="39">
          <cell r="A39" t="str">
            <v>류송화</v>
          </cell>
          <cell r="B39">
            <v>20001206</v>
          </cell>
          <cell r="C39" t="str">
            <v>사원</v>
          </cell>
        </row>
        <row r="40">
          <cell r="A40" t="str">
            <v>맹인후</v>
          </cell>
          <cell r="B40">
            <v>20010902</v>
          </cell>
          <cell r="C40" t="str">
            <v>사원</v>
          </cell>
        </row>
        <row r="41">
          <cell r="A41" t="str">
            <v>박경식</v>
          </cell>
          <cell r="B41">
            <v>19990301</v>
          </cell>
          <cell r="C41" t="str">
            <v>대리</v>
          </cell>
        </row>
        <row r="42">
          <cell r="A42" t="str">
            <v>박경진</v>
          </cell>
          <cell r="B42">
            <v>20011006</v>
          </cell>
          <cell r="C42" t="str">
            <v>사원</v>
          </cell>
        </row>
        <row r="43">
          <cell r="A43" t="str">
            <v>박국진</v>
          </cell>
          <cell r="B43">
            <v>20030506</v>
          </cell>
          <cell r="C43" t="str">
            <v>주임</v>
          </cell>
        </row>
        <row r="44">
          <cell r="A44" t="str">
            <v>박성규</v>
          </cell>
          <cell r="B44">
            <v>20030403</v>
          </cell>
          <cell r="C44" t="str">
            <v>사원</v>
          </cell>
        </row>
        <row r="45">
          <cell r="A45" t="str">
            <v>박순희</v>
          </cell>
          <cell r="B45">
            <v>20011007</v>
          </cell>
          <cell r="C45" t="str">
            <v>사원</v>
          </cell>
        </row>
        <row r="46">
          <cell r="A46" t="str">
            <v>박승우</v>
          </cell>
          <cell r="B46">
            <v>19990101</v>
          </cell>
          <cell r="C46" t="str">
            <v>대리</v>
          </cell>
        </row>
        <row r="47">
          <cell r="A47" t="str">
            <v>박은규</v>
          </cell>
          <cell r="B47">
            <v>20020905</v>
          </cell>
          <cell r="C47" t="str">
            <v>사원</v>
          </cell>
        </row>
        <row r="48">
          <cell r="A48" t="str">
            <v>박지영</v>
          </cell>
          <cell r="B48">
            <v>20030602</v>
          </cell>
          <cell r="C48" t="str">
            <v>사원</v>
          </cell>
        </row>
        <row r="49">
          <cell r="A49" t="str">
            <v>박철민</v>
          </cell>
          <cell r="B49">
            <v>20030901</v>
          </cell>
          <cell r="C49" t="str">
            <v>주임</v>
          </cell>
          <cell r="D49">
            <v>-9.5</v>
          </cell>
        </row>
        <row r="50">
          <cell r="A50" t="str">
            <v>박호신</v>
          </cell>
          <cell r="B50">
            <v>20030212</v>
          </cell>
          <cell r="C50" t="str">
            <v>사원</v>
          </cell>
        </row>
        <row r="51">
          <cell r="A51" t="str">
            <v>서범석</v>
          </cell>
          <cell r="B51">
            <v>20011004</v>
          </cell>
          <cell r="C51" t="str">
            <v>사원</v>
          </cell>
        </row>
        <row r="52">
          <cell r="A52" t="str">
            <v>석은자</v>
          </cell>
          <cell r="B52">
            <v>20000202</v>
          </cell>
          <cell r="C52" t="str">
            <v>사원</v>
          </cell>
        </row>
        <row r="53">
          <cell r="A53" t="str">
            <v>송종필</v>
          </cell>
          <cell r="B53">
            <v>20001105</v>
          </cell>
          <cell r="C53" t="str">
            <v>주임</v>
          </cell>
          <cell r="D53">
            <v>6</v>
          </cell>
        </row>
        <row r="54">
          <cell r="A54" t="str">
            <v>승금자</v>
          </cell>
          <cell r="B54">
            <v>20030205</v>
          </cell>
          <cell r="C54" t="str">
            <v>사원</v>
          </cell>
          <cell r="D54">
            <v>6.25</v>
          </cell>
        </row>
        <row r="55">
          <cell r="A55" t="str">
            <v>양민욱</v>
          </cell>
          <cell r="B55">
            <v>20001004</v>
          </cell>
          <cell r="C55" t="str">
            <v>주임</v>
          </cell>
        </row>
        <row r="56">
          <cell r="A56" t="str">
            <v>여인관</v>
          </cell>
          <cell r="B56">
            <v>20010301</v>
          </cell>
          <cell r="C56" t="str">
            <v>주임</v>
          </cell>
        </row>
        <row r="57">
          <cell r="A57" t="str">
            <v>오진원</v>
          </cell>
          <cell r="B57">
            <v>20020701</v>
          </cell>
          <cell r="C57" t="str">
            <v>주임</v>
          </cell>
        </row>
        <row r="58">
          <cell r="A58" t="str">
            <v>오혜연</v>
          </cell>
          <cell r="B58">
            <v>20030508</v>
          </cell>
          <cell r="C58" t="str">
            <v>사원</v>
          </cell>
          <cell r="D58">
            <v>17.25</v>
          </cell>
        </row>
        <row r="59">
          <cell r="A59" t="str">
            <v>용하식</v>
          </cell>
          <cell r="B59">
            <v>19990501</v>
          </cell>
          <cell r="C59" t="str">
            <v>대리</v>
          </cell>
        </row>
        <row r="60">
          <cell r="A60" t="str">
            <v>우춘대</v>
          </cell>
          <cell r="B60">
            <v>20031101</v>
          </cell>
          <cell r="C60" t="str">
            <v>사원</v>
          </cell>
        </row>
        <row r="61">
          <cell r="A61" t="str">
            <v>원천재</v>
          </cell>
          <cell r="B61">
            <v>20000503</v>
          </cell>
          <cell r="C61" t="str">
            <v>사원</v>
          </cell>
        </row>
        <row r="62">
          <cell r="A62" t="str">
            <v>유금자</v>
          </cell>
          <cell r="B62">
            <v>19981214</v>
          </cell>
          <cell r="C62" t="str">
            <v>사원</v>
          </cell>
        </row>
        <row r="63">
          <cell r="A63" t="str">
            <v>유동호</v>
          </cell>
          <cell r="B63">
            <v>20030304</v>
          </cell>
          <cell r="C63" t="str">
            <v>사원</v>
          </cell>
          <cell r="D63">
            <v>8.75</v>
          </cell>
        </row>
        <row r="64">
          <cell r="A64" t="str">
            <v>유병희</v>
          </cell>
          <cell r="B64">
            <v>19981218</v>
          </cell>
          <cell r="C64" t="str">
            <v>대리</v>
          </cell>
        </row>
        <row r="65">
          <cell r="A65" t="str">
            <v>윤두이</v>
          </cell>
          <cell r="B65">
            <v>20000902</v>
          </cell>
          <cell r="C65" t="str">
            <v>사원</v>
          </cell>
        </row>
        <row r="66">
          <cell r="A66" t="str">
            <v>이대석</v>
          </cell>
          <cell r="B66">
            <v>20031002</v>
          </cell>
          <cell r="C66" t="str">
            <v>주임</v>
          </cell>
        </row>
        <row r="67">
          <cell r="A67" t="str">
            <v>이상욱</v>
          </cell>
          <cell r="B67">
            <v>20020407</v>
          </cell>
          <cell r="C67" t="str">
            <v>사원</v>
          </cell>
        </row>
        <row r="68">
          <cell r="A68" t="str">
            <v>이상천</v>
          </cell>
          <cell r="B68">
            <v>20000301</v>
          </cell>
          <cell r="C68" t="str">
            <v>주임</v>
          </cell>
        </row>
        <row r="69">
          <cell r="A69" t="str">
            <v>이성우</v>
          </cell>
          <cell r="B69">
            <v>20001107</v>
          </cell>
          <cell r="C69" t="str">
            <v>주임</v>
          </cell>
          <cell r="D69">
            <v>6</v>
          </cell>
        </row>
        <row r="70">
          <cell r="A70" t="str">
            <v>이연화</v>
          </cell>
          <cell r="B70">
            <v>20031006</v>
          </cell>
          <cell r="C70" t="str">
            <v>사원</v>
          </cell>
        </row>
        <row r="71">
          <cell r="A71" t="str">
            <v>이영화1</v>
          </cell>
          <cell r="B71">
            <v>20020902</v>
          </cell>
          <cell r="C71" t="str">
            <v>사원</v>
          </cell>
        </row>
        <row r="72">
          <cell r="A72" t="str">
            <v>이영화2</v>
          </cell>
          <cell r="B72">
            <v>20030203</v>
          </cell>
          <cell r="C72" t="str">
            <v>사원</v>
          </cell>
        </row>
        <row r="73">
          <cell r="A73" t="str">
            <v>이웅보</v>
          </cell>
          <cell r="B73">
            <v>20030404</v>
          </cell>
          <cell r="C73" t="str">
            <v>사원</v>
          </cell>
          <cell r="D73">
            <v>10.25</v>
          </cell>
        </row>
        <row r="74">
          <cell r="A74" t="str">
            <v>이원효</v>
          </cell>
          <cell r="B74">
            <v>20000903</v>
          </cell>
          <cell r="C74" t="str">
            <v>주임</v>
          </cell>
          <cell r="D74">
            <v>6.25</v>
          </cell>
        </row>
      </sheetData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AS429"/>
  <sheetViews>
    <sheetView tabSelected="1" topLeftCell="A2" zoomScale="70" zoomScaleNormal="70" workbookViewId="0">
      <pane xSplit="3" ySplit="18" topLeftCell="AA20" activePane="bottomRight" state="frozen"/>
      <selection activeCell="A17" sqref="A17"/>
      <selection pane="topRight" activeCell="D17" sqref="D17"/>
      <selection pane="bottomLeft" activeCell="A20" sqref="A20"/>
      <selection pane="bottomRight" activeCell="AL26" sqref="AL26"/>
    </sheetView>
  </sheetViews>
  <sheetFormatPr defaultRowHeight="16.5"/>
  <cols>
    <col min="1" max="1" width="37.375" bestFit="1" customWidth="1"/>
    <col min="3" max="3" width="31.5" style="1" bestFit="1" customWidth="1"/>
    <col min="4" max="4" width="16.625" style="1" bestFit="1" customWidth="1"/>
    <col min="5" max="5" width="10.625" customWidth="1"/>
    <col min="6" max="6" width="19.5" customWidth="1"/>
    <col min="7" max="7" width="13.25" style="1" customWidth="1"/>
    <col min="8" max="8" width="29.375" style="1" customWidth="1"/>
    <col min="9" max="9" width="26" bestFit="1" customWidth="1"/>
    <col min="10" max="12" width="14.625" customWidth="1"/>
    <col min="13" max="13" width="19.375" customWidth="1"/>
    <col min="14" max="14" width="17.5" customWidth="1"/>
    <col min="15" max="15" width="13.625" customWidth="1"/>
    <col min="16" max="16" width="15.625" customWidth="1"/>
    <col min="17" max="17" width="20.375" customWidth="1"/>
    <col min="18" max="18" width="15.625" customWidth="1"/>
    <col min="19" max="19" width="13.625" customWidth="1"/>
    <col min="20" max="20" width="15.375" customWidth="1"/>
    <col min="21" max="24" width="13.625" customWidth="1"/>
    <col min="25" max="25" width="15.375" customWidth="1"/>
    <col min="26" max="26" width="16.5" customWidth="1"/>
    <col min="27" max="27" width="7.75" customWidth="1"/>
    <col min="28" max="28" width="13.75" customWidth="1"/>
    <col min="29" max="29" width="15" customWidth="1"/>
    <col min="30" max="30" width="14.375" style="1" customWidth="1"/>
    <col min="31" max="31" width="4.25" style="1" customWidth="1"/>
    <col min="32" max="34" width="13.25" style="1" customWidth="1"/>
    <col min="35" max="39" width="13.25" customWidth="1"/>
    <col min="40" max="40" width="14.5" customWidth="1"/>
    <col min="41" max="41" width="15.75" customWidth="1"/>
    <col min="43" max="43" width="16" customWidth="1"/>
    <col min="44" max="45" width="18.25" customWidth="1"/>
  </cols>
  <sheetData>
    <row r="1" spans="2:45" ht="17.25" thickBot="1"/>
    <row r="2" spans="2:45" s="8" customFormat="1" ht="20.25" hidden="1" customHeight="1">
      <c r="B2" s="75" t="s">
        <v>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7"/>
    </row>
    <row r="3" spans="2:45" s="8" customFormat="1" ht="20.25" hidden="1" customHeight="1">
      <c r="B3" s="78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80"/>
    </row>
    <row r="4" spans="2:45" s="8" customFormat="1" ht="20.25" hidden="1" customHeight="1" thickBot="1">
      <c r="B4" s="81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3"/>
    </row>
    <row r="5" spans="2:45" ht="18" hidden="1" thickBot="1">
      <c r="AD5" s="7"/>
      <c r="AE5"/>
      <c r="AF5"/>
      <c r="AQ5" s="9" t="s">
        <v>2</v>
      </c>
      <c r="AR5" s="10" t="s">
        <v>59</v>
      </c>
      <c r="AS5" s="10" t="s">
        <v>59</v>
      </c>
    </row>
    <row r="6" spans="2:45" ht="19.149999999999999" hidden="1" customHeight="1">
      <c r="B6" s="7"/>
      <c r="C6" s="11"/>
      <c r="D6" s="6"/>
      <c r="E6" s="6"/>
      <c r="F6" s="6"/>
      <c r="G6" s="84" t="s">
        <v>3</v>
      </c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6"/>
      <c r="AM6" s="6"/>
      <c r="AN6" s="6"/>
      <c r="AO6" s="6"/>
      <c r="AQ6" s="60" t="s">
        <v>4</v>
      </c>
      <c r="AR6" s="61">
        <v>10320</v>
      </c>
      <c r="AS6" s="61">
        <v>10320</v>
      </c>
    </row>
    <row r="7" spans="2:45" ht="19.149999999999999" hidden="1" customHeight="1" thickBot="1">
      <c r="B7" s="1"/>
      <c r="C7" s="12"/>
      <c r="D7" s="6"/>
      <c r="E7" s="6"/>
      <c r="F7" s="6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6"/>
      <c r="AM7" s="6"/>
      <c r="AN7" s="6"/>
      <c r="AO7" s="6"/>
      <c r="AQ7" s="62" t="s">
        <v>5</v>
      </c>
      <c r="AR7" s="63">
        <f>ROUND(AR6*209,0)</f>
        <v>2156880</v>
      </c>
      <c r="AS7" s="63">
        <f>ROUND(AS6*209,0)</f>
        <v>2156880</v>
      </c>
    </row>
    <row r="8" spans="2:45" ht="19.149999999999999" hidden="1" customHeight="1">
      <c r="B8" s="1"/>
      <c r="C8" s="12"/>
      <c r="D8" s="6"/>
      <c r="E8" s="6"/>
      <c r="F8" s="6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6"/>
      <c r="AM8" s="6"/>
      <c r="AN8" s="6"/>
      <c r="AO8" s="6"/>
      <c r="AQ8" s="13"/>
      <c r="AR8" s="66" t="s">
        <v>6</v>
      </c>
      <c r="AS8" s="66" t="s">
        <v>6</v>
      </c>
    </row>
    <row r="9" spans="2:45" ht="19.149999999999999" hidden="1" customHeight="1">
      <c r="B9" s="6"/>
      <c r="C9" s="6"/>
      <c r="D9" s="6"/>
      <c r="E9" s="6"/>
      <c r="F9" s="6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6"/>
      <c r="AM9" s="6"/>
      <c r="AN9" s="6"/>
      <c r="AO9" s="6"/>
      <c r="AQ9" s="85" t="s">
        <v>7</v>
      </c>
      <c r="AR9" s="64" t="s">
        <v>58</v>
      </c>
      <c r="AS9" s="64" t="s">
        <v>58</v>
      </c>
    </row>
    <row r="10" spans="2:45" ht="18.75" hidden="1" customHeight="1">
      <c r="B10" s="6"/>
      <c r="C10" s="6"/>
      <c r="D10" s="6"/>
      <c r="E10" s="6"/>
      <c r="F10" s="6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6"/>
      <c r="AM10" s="6"/>
      <c r="AN10" s="6"/>
      <c r="AO10" s="6"/>
      <c r="AQ10" s="85"/>
      <c r="AR10" s="34">
        <v>0</v>
      </c>
      <c r="AS10" s="34">
        <v>0</v>
      </c>
    </row>
    <row r="11" spans="2:45" ht="19.149999999999999" hidden="1" customHeight="1" thickBot="1">
      <c r="B11" s="6"/>
      <c r="C11" s="6"/>
      <c r="D11" s="6"/>
      <c r="E11" s="6"/>
      <c r="F11" s="6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6"/>
      <c r="AM11" s="6"/>
      <c r="AN11" s="6"/>
      <c r="AO11" s="6"/>
      <c r="AQ11" s="35" t="s">
        <v>8</v>
      </c>
      <c r="AR11" s="44">
        <f>ROUND(AR7*AR10,0)</f>
        <v>0</v>
      </c>
      <c r="AS11" s="44">
        <f>ROUND(AS7*AS10,0)</f>
        <v>0</v>
      </c>
    </row>
    <row r="12" spans="2:45" ht="18" hidden="1" thickBot="1">
      <c r="AG12" s="14"/>
      <c r="AH12" s="15"/>
      <c r="AI12" s="15"/>
    </row>
    <row r="13" spans="2:45" ht="18" hidden="1" thickBot="1">
      <c r="L13" s="5" t="s">
        <v>9</v>
      </c>
      <c r="M13" s="4">
        <v>5</v>
      </c>
      <c r="O13" s="86" t="s">
        <v>10</v>
      </c>
      <c r="P13" s="87"/>
      <c r="Q13" s="16">
        <v>4.3449999999999998</v>
      </c>
      <c r="R13" s="17"/>
      <c r="AC13" s="17"/>
      <c r="AG13" s="14"/>
      <c r="AH13" s="15"/>
      <c r="AI13" s="3"/>
    </row>
    <row r="14" spans="2:45" ht="18" hidden="1" thickBot="1">
      <c r="Z14" s="18"/>
      <c r="AG14" s="14"/>
      <c r="AH14" s="19"/>
    </row>
    <row r="15" spans="2:45" s="1" customFormat="1" ht="17.25" hidden="1" thickBot="1"/>
    <row r="16" spans="2:45" ht="17.25" hidden="1" thickBot="1">
      <c r="E16" s="1"/>
      <c r="F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I16" s="1"/>
      <c r="AJ16" s="1"/>
      <c r="AK16" s="1"/>
      <c r="AL16" s="1"/>
      <c r="AM16" s="1"/>
      <c r="AN16" s="1"/>
      <c r="AO16" s="1"/>
    </row>
    <row r="17" spans="1:45" ht="37.5" customHeight="1">
      <c r="B17" s="102" t="s">
        <v>11</v>
      </c>
      <c r="C17" s="103"/>
      <c r="D17" s="103"/>
      <c r="E17" s="103"/>
      <c r="F17" s="103"/>
      <c r="G17" s="103"/>
      <c r="H17" s="103"/>
      <c r="I17" s="103"/>
      <c r="J17" s="103" t="s">
        <v>12</v>
      </c>
      <c r="K17" s="104"/>
      <c r="L17" s="105" t="s">
        <v>13</v>
      </c>
      <c r="M17" s="106"/>
      <c r="N17" s="107" t="s">
        <v>14</v>
      </c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9"/>
      <c r="AA17" s="2"/>
      <c r="AB17" s="110" t="s">
        <v>15</v>
      </c>
      <c r="AC17" s="96" t="s">
        <v>60</v>
      </c>
      <c r="AD17" s="99" t="s">
        <v>54</v>
      </c>
      <c r="AE17"/>
      <c r="AF17" s="88" t="s">
        <v>16</v>
      </c>
      <c r="AG17" s="90" t="s">
        <v>17</v>
      </c>
      <c r="AH17" s="90"/>
      <c r="AI17" s="90"/>
      <c r="AJ17" s="90"/>
      <c r="AK17" s="90"/>
      <c r="AL17" s="90"/>
      <c r="AM17" s="90"/>
      <c r="AN17" s="90"/>
      <c r="AO17" s="91" t="s">
        <v>18</v>
      </c>
    </row>
    <row r="18" spans="1:45" ht="46.5" customHeight="1">
      <c r="B18" s="113" t="s">
        <v>19</v>
      </c>
      <c r="C18" s="94" t="s">
        <v>20</v>
      </c>
      <c r="D18" s="114" t="s">
        <v>21</v>
      </c>
      <c r="E18" s="94" t="s">
        <v>55</v>
      </c>
      <c r="F18" s="94" t="s">
        <v>22</v>
      </c>
      <c r="G18" s="94" t="s">
        <v>52</v>
      </c>
      <c r="H18" s="94" t="s">
        <v>23</v>
      </c>
      <c r="I18" s="94" t="s">
        <v>53</v>
      </c>
      <c r="J18" s="94" t="s">
        <v>24</v>
      </c>
      <c r="K18" s="95" t="s">
        <v>25</v>
      </c>
      <c r="L18" s="69" t="s">
        <v>26</v>
      </c>
      <c r="M18" s="106" t="s">
        <v>27</v>
      </c>
      <c r="N18" s="70" t="s">
        <v>28</v>
      </c>
      <c r="O18" s="72" t="s">
        <v>48</v>
      </c>
      <c r="P18" s="72"/>
      <c r="Q18" s="72"/>
      <c r="R18" s="73" t="s">
        <v>51</v>
      </c>
      <c r="S18" s="74" t="s">
        <v>29</v>
      </c>
      <c r="T18" s="74"/>
      <c r="U18" s="74"/>
      <c r="V18" s="67" t="s">
        <v>56</v>
      </c>
      <c r="W18" s="67" t="s">
        <v>57</v>
      </c>
      <c r="X18" s="74" t="s">
        <v>30</v>
      </c>
      <c r="Y18" s="72" t="s">
        <v>31</v>
      </c>
      <c r="Z18" s="72" t="s">
        <v>32</v>
      </c>
      <c r="AA18" s="20"/>
      <c r="AB18" s="111"/>
      <c r="AC18" s="97"/>
      <c r="AD18" s="100"/>
      <c r="AE18"/>
      <c r="AF18" s="89"/>
      <c r="AG18" s="93" t="s">
        <v>33</v>
      </c>
      <c r="AH18" s="93" t="s">
        <v>34</v>
      </c>
      <c r="AI18" s="21" t="s">
        <v>35</v>
      </c>
      <c r="AJ18" s="21" t="s">
        <v>36</v>
      </c>
      <c r="AK18" s="21" t="s">
        <v>37</v>
      </c>
      <c r="AL18" s="21" t="s">
        <v>38</v>
      </c>
      <c r="AM18" s="93" t="s">
        <v>0</v>
      </c>
      <c r="AN18" s="93" t="s">
        <v>39</v>
      </c>
      <c r="AO18" s="92"/>
    </row>
    <row r="19" spans="1:45" ht="46.5" customHeight="1" thickBot="1">
      <c r="B19" s="113"/>
      <c r="C19" s="94"/>
      <c r="D19" s="94"/>
      <c r="E19" s="94"/>
      <c r="F19" s="94"/>
      <c r="G19" s="94"/>
      <c r="H19" s="94"/>
      <c r="I19" s="94"/>
      <c r="J19" s="94"/>
      <c r="K19" s="95"/>
      <c r="L19" s="69"/>
      <c r="M19" s="106"/>
      <c r="N19" s="71"/>
      <c r="O19" s="38" t="s">
        <v>49</v>
      </c>
      <c r="P19" s="42" t="s">
        <v>50</v>
      </c>
      <c r="Q19" s="42" t="s">
        <v>47</v>
      </c>
      <c r="R19" s="73"/>
      <c r="S19" s="47" t="s">
        <v>40</v>
      </c>
      <c r="T19" s="47" t="s">
        <v>41</v>
      </c>
      <c r="U19" s="38" t="s">
        <v>42</v>
      </c>
      <c r="V19" s="68"/>
      <c r="W19" s="68"/>
      <c r="X19" s="74"/>
      <c r="Y19" s="72"/>
      <c r="Z19" s="72"/>
      <c r="AA19" s="20" t="s">
        <v>43</v>
      </c>
      <c r="AB19" s="112"/>
      <c r="AC19" s="98"/>
      <c r="AD19" s="101"/>
      <c r="AE19"/>
      <c r="AF19" s="89"/>
      <c r="AG19" s="93"/>
      <c r="AH19" s="93"/>
      <c r="AI19" s="22">
        <v>4.4999999999999998E-2</v>
      </c>
      <c r="AJ19" s="22">
        <v>3.5450000000000002E-2</v>
      </c>
      <c r="AK19" s="22">
        <v>0.1295</v>
      </c>
      <c r="AL19" s="22">
        <v>8.9999999999999993E-3</v>
      </c>
      <c r="AM19" s="93"/>
      <c r="AN19" s="93"/>
      <c r="AO19" s="92"/>
      <c r="AQ19" s="43" t="s">
        <v>44</v>
      </c>
      <c r="AR19" s="41" t="s">
        <v>45</v>
      </c>
      <c r="AS19" s="41" t="s">
        <v>84</v>
      </c>
    </row>
    <row r="20" spans="1:45" s="27" customFormat="1" ht="34.5" customHeight="1" thickTop="1">
      <c r="A20" s="65"/>
      <c r="B20" s="45">
        <v>1</v>
      </c>
      <c r="C20" s="39"/>
      <c r="D20" s="36"/>
      <c r="E20" s="36"/>
      <c r="F20" s="36"/>
      <c r="G20" s="36"/>
      <c r="H20" s="40"/>
      <c r="I20" s="37"/>
      <c r="J20" s="40"/>
      <c r="K20" s="46" t="s">
        <v>46</v>
      </c>
      <c r="L20" s="48">
        <v>8</v>
      </c>
      <c r="M20" s="49">
        <f>ROUND(((L20*$M$13)+L20)*4.345,0)</f>
        <v>209</v>
      </c>
      <c r="N20" s="50">
        <f>IFERROR((Y20-SUM(O20,S20:X20)),"-")</f>
        <v>2142546</v>
      </c>
      <c r="O20" s="51">
        <f t="shared" ref="O20:O46" si="0">ROUND(Q20*AB20*1.5,0)</f>
        <v>657454</v>
      </c>
      <c r="P20" s="52">
        <v>9</v>
      </c>
      <c r="Q20" s="53">
        <f t="shared" ref="Q20:Q46" si="1">P20*4.345</f>
        <v>39.104999999999997</v>
      </c>
      <c r="R20" s="53">
        <f>M20+(P20*1.5*4.345)</f>
        <v>267.65750000000003</v>
      </c>
      <c r="S20" s="54">
        <v>200000</v>
      </c>
      <c r="T20" s="54"/>
      <c r="U20" s="54"/>
      <c r="V20" s="54"/>
      <c r="W20" s="54"/>
      <c r="X20" s="54">
        <v>0</v>
      </c>
      <c r="Y20" s="54">
        <f t="shared" ref="Y20:Y46" si="2">ROUND(IFERROR((Z20/12),"-"),0)</f>
        <v>3000000</v>
      </c>
      <c r="Z20" s="55">
        <v>36000000</v>
      </c>
      <c r="AA20" s="24" t="str">
        <f>IF(Y20=N20+O20+S20+T20+U20+V20+W20+X20,"OK","NOTOK")</f>
        <v>OK</v>
      </c>
      <c r="AB20" s="25">
        <f>(Y20)/R20</f>
        <v>11208.35395981805</v>
      </c>
      <c r="AC20" s="56">
        <f>IFERROR(IF(SUM(S20:U20)&gt;0,(N20+SUM(S20:U20)-AR11)/M20,(N20+SUM(S20:U20))/M20),"-")</f>
        <v>11208.354066985647</v>
      </c>
      <c r="AD20" s="26" t="str">
        <f>IFERROR(IF(AC20&lt;$AR$6,"미준수","준수"),"-")</f>
        <v>준수</v>
      </c>
      <c r="AF20" s="57">
        <f t="shared" ref="AF20:AF46" si="3">Y20-(S20+T20+U20)</f>
        <v>2800000</v>
      </c>
      <c r="AG20" s="28">
        <f>IFERROR(ROUNDDOWN(IF(AF20&gt;87000000,1507400+31034600+(AF20-87000000)*0.45,IF(AF20&gt;45000000,1507400+13394600+(AF20-45000000)*0.42,IF(AF20&gt;30000000,1507400+7394600+(AF20-30000000)*0.4,IF(AF20&gt;28000000,1507400+6610600+(AF20-28000000)*0.98*0.4,IF(AF20&gt;14000000,1507400+1397000+(AF20-14000000)*0.98*0.38,IF(AF20&gt;10000000,1507400+25000+(AF20-10000000)*0.98*0.35,IF(AF20=10000000,1507400,VLOOKUP(AF20,간이세액표!$A$5:$M$651,(2+AR20),1)))))))),-1),0)-IF(AS20=0,0,IF(AS20=1,12500,IF(AQ5=2,29160,29160+(AS20-2)*25000)))</f>
        <v>56800</v>
      </c>
      <c r="AH20" s="28">
        <f t="shared" ref="AH20:AH46" si="4">IFERROR(ROUNDDOWN(AG20*0.1,-1),0)</f>
        <v>5680</v>
      </c>
      <c r="AI20" s="29">
        <f>ROUNDDOWN(ROUNDDOWN(AF20,-3)*$AI$19,-1)</f>
        <v>126000</v>
      </c>
      <c r="AJ20" s="28">
        <f>ROUNDDOWN(AF20*$AJ$19,-1)</f>
        <v>99260</v>
      </c>
      <c r="AK20" s="29">
        <f>ROUNDDOWN(AJ20*$AK$19,-1)</f>
        <v>12850</v>
      </c>
      <c r="AL20" s="29">
        <f>ROUNDDOWN(AF20*$AL$19,-1)</f>
        <v>25200</v>
      </c>
      <c r="AM20" s="30"/>
      <c r="AN20" s="28">
        <f t="shared" ref="AN20:AN46" si="5">SUM(AG20:AM20)</f>
        <v>325790</v>
      </c>
      <c r="AO20" s="31">
        <f t="shared" ref="AO20:AO46" si="6">Y20-AN20</f>
        <v>2674210</v>
      </c>
      <c r="AQ20" s="58">
        <f t="shared" ref="AQ20:AQ46" si="7">C20</f>
        <v>0</v>
      </c>
      <c r="AR20" s="59">
        <v>1</v>
      </c>
      <c r="AS20" s="59"/>
    </row>
    <row r="21" spans="1:45" s="27" customFormat="1" ht="34.5" customHeight="1">
      <c r="A21" s="23"/>
      <c r="B21" s="45">
        <f t="shared" ref="B21:B46" si="8">B20+1</f>
        <v>2</v>
      </c>
      <c r="C21" s="39"/>
      <c r="D21" s="36"/>
      <c r="E21" s="36"/>
      <c r="F21" s="36"/>
      <c r="G21" s="36"/>
      <c r="H21" s="40"/>
      <c r="I21" s="37"/>
      <c r="J21" s="40"/>
      <c r="K21" s="46" t="s">
        <v>46</v>
      </c>
      <c r="L21" s="48">
        <v>8</v>
      </c>
      <c r="M21" s="49">
        <f t="shared" ref="M21:M47" si="9">ROUND(((L21*$M$13)+L21)*4.345,0)</f>
        <v>209</v>
      </c>
      <c r="N21" s="50">
        <f t="shared" ref="N21:N46" si="10">IFERROR((Y21-SUM(O21,S21:X21)),"-")</f>
        <v>0</v>
      </c>
      <c r="O21" s="51">
        <f t="shared" si="0"/>
        <v>0</v>
      </c>
      <c r="P21" s="52"/>
      <c r="Q21" s="53">
        <f t="shared" si="1"/>
        <v>0</v>
      </c>
      <c r="R21" s="53">
        <f t="shared" ref="R21:R46" si="11">M21+(P21*1.5*4.345)</f>
        <v>209</v>
      </c>
      <c r="S21" s="54"/>
      <c r="T21" s="54"/>
      <c r="U21" s="54"/>
      <c r="V21" s="54"/>
      <c r="W21" s="54"/>
      <c r="X21" s="54">
        <v>0</v>
      </c>
      <c r="Y21" s="54">
        <f t="shared" si="2"/>
        <v>0</v>
      </c>
      <c r="Z21" s="55"/>
      <c r="AA21" s="24" t="str">
        <f t="shared" ref="AA21:AA46" si="12">IF(Y21=N21+O21+S21+T21+U21+V21+W21+X21,"OK","NOTOK")</f>
        <v>OK</v>
      </c>
      <c r="AB21" s="25">
        <f t="shared" ref="AB21:AB46" si="13">(Y21)/R21</f>
        <v>0</v>
      </c>
      <c r="AC21" s="56">
        <f t="shared" ref="AC21:AC46" si="14">IFERROR(IF(SUM(S21:U21)&gt;0,(N21+SUM(S21:U21)-AR12)/M21,(N21+SUM(S21:U21))/M21),"-")</f>
        <v>0</v>
      </c>
      <c r="AD21" s="26" t="str">
        <f t="shared" ref="AD21:AD47" si="15">IFERROR(IF(AC21&lt;$AR$6,"미준수","준수"),"-")</f>
        <v>미준수</v>
      </c>
      <c r="AF21" s="57">
        <f t="shared" si="3"/>
        <v>0</v>
      </c>
      <c r="AG21" s="28">
        <f>IFERROR(ROUNDDOWN(IF(AF21&gt;87000000,1507400+31034600+(AF21-87000000)*0.45,IF(AF21&gt;45000000,1507400+13394600+(AF21-45000000)*0.42,IF(AF21&gt;30000000,1507400+7394600+(AF21-30000000)*0.4,IF(AF21&gt;28000000,1507400+6610600+(AF21-28000000)*0.98*0.4,IF(AF21&gt;14000000,1507400+1397000+(AF21-14000000)*0.98*0.38,IF(AF21&gt;10000000,1507400+25000+(AF21-10000000)*0.98*0.35,IF(AF21=10000000,1507400,VLOOKUP(AF21,간이세액표!$A$5:$M$651,(2+AR21),1)))))))),-1),0)-IF(AS21=0,0,IF(AS21=1,12500,IF(AQ6=2,29160,29160+(AS21-2)*25000)))</f>
        <v>0</v>
      </c>
      <c r="AH21" s="28">
        <f t="shared" si="4"/>
        <v>0</v>
      </c>
      <c r="AI21" s="29">
        <f t="shared" ref="AI21:AI46" si="16">ROUNDDOWN(ROUNDDOWN(AF21,-3)*$AI$19,-1)</f>
        <v>0</v>
      </c>
      <c r="AJ21" s="28">
        <f t="shared" ref="AJ21:AJ46" si="17">ROUNDDOWN(AF21*$AJ$19,-1)</f>
        <v>0</v>
      </c>
      <c r="AK21" s="29">
        <f t="shared" ref="AK21:AK46" si="18">ROUNDDOWN(AJ21*$AK$19,-1)</f>
        <v>0</v>
      </c>
      <c r="AL21" s="29">
        <f t="shared" ref="AL21:AL46" si="19">ROUNDDOWN(AF21*$AL$19,-1)</f>
        <v>0</v>
      </c>
      <c r="AM21" s="30"/>
      <c r="AN21" s="28">
        <f t="shared" si="5"/>
        <v>0</v>
      </c>
      <c r="AO21" s="31">
        <f t="shared" si="6"/>
        <v>0</v>
      </c>
      <c r="AQ21" s="58">
        <f t="shared" si="7"/>
        <v>0</v>
      </c>
      <c r="AR21" s="59">
        <v>1</v>
      </c>
      <c r="AS21" s="59"/>
    </row>
    <row r="22" spans="1:45" s="27" customFormat="1" ht="34.5" customHeight="1">
      <c r="A22" s="65"/>
      <c r="B22" s="45">
        <f t="shared" si="8"/>
        <v>3</v>
      </c>
      <c r="C22" s="39"/>
      <c r="D22" s="36"/>
      <c r="E22" s="36"/>
      <c r="F22" s="36"/>
      <c r="G22" s="36"/>
      <c r="H22" s="40"/>
      <c r="I22" s="37"/>
      <c r="J22" s="40"/>
      <c r="K22" s="46" t="s">
        <v>46</v>
      </c>
      <c r="L22" s="48">
        <v>8</v>
      </c>
      <c r="M22" s="49">
        <f t="shared" si="9"/>
        <v>209</v>
      </c>
      <c r="N22" s="50">
        <f t="shared" si="10"/>
        <v>0</v>
      </c>
      <c r="O22" s="51">
        <f t="shared" si="0"/>
        <v>0</v>
      </c>
      <c r="P22" s="52"/>
      <c r="Q22" s="53">
        <f t="shared" si="1"/>
        <v>0</v>
      </c>
      <c r="R22" s="53">
        <f t="shared" si="11"/>
        <v>209</v>
      </c>
      <c r="S22" s="54"/>
      <c r="T22" s="54"/>
      <c r="U22" s="54"/>
      <c r="V22" s="54"/>
      <c r="W22" s="54"/>
      <c r="X22" s="54">
        <v>0</v>
      </c>
      <c r="Y22" s="54">
        <f t="shared" si="2"/>
        <v>0</v>
      </c>
      <c r="Z22" s="55"/>
      <c r="AA22" s="24" t="str">
        <f t="shared" si="12"/>
        <v>OK</v>
      </c>
      <c r="AB22" s="25">
        <f t="shared" si="13"/>
        <v>0</v>
      </c>
      <c r="AC22" s="56">
        <f t="shared" si="14"/>
        <v>0</v>
      </c>
      <c r="AD22" s="26" t="str">
        <f t="shared" si="15"/>
        <v>미준수</v>
      </c>
      <c r="AF22" s="57">
        <f t="shared" si="3"/>
        <v>0</v>
      </c>
      <c r="AG22" s="28">
        <f>IFERROR(ROUNDDOWN(IF(AF22&gt;87000000,1507400+31034600+(AF22-87000000)*0.45,IF(AF22&gt;45000000,1507400+13394600+(AF22-45000000)*0.42,IF(AF22&gt;30000000,1507400+7394600+(AF22-30000000)*0.4,IF(AF22&gt;28000000,1507400+6610600+(AF22-28000000)*0.98*0.4,IF(AF22&gt;14000000,1507400+1397000+(AF22-14000000)*0.98*0.38,IF(AF22&gt;10000000,1507400+25000+(AF22-10000000)*0.98*0.35,IF(AF22=10000000,1507400,VLOOKUP(AF22,간이세액표!$A$5:$M$651,(2+AR22),1)))))))),-1),0)-IF(AS22=0,0,IF(AS22=1,12500,IF(AQ7=2,29160,29160+(AS22-2)*25000)))</f>
        <v>0</v>
      </c>
      <c r="AH22" s="28">
        <f t="shared" si="4"/>
        <v>0</v>
      </c>
      <c r="AI22" s="29">
        <f t="shared" si="16"/>
        <v>0</v>
      </c>
      <c r="AJ22" s="28">
        <f t="shared" si="17"/>
        <v>0</v>
      </c>
      <c r="AK22" s="29">
        <f t="shared" si="18"/>
        <v>0</v>
      </c>
      <c r="AL22" s="29">
        <f t="shared" si="19"/>
        <v>0</v>
      </c>
      <c r="AM22" s="30"/>
      <c r="AN22" s="28">
        <f t="shared" si="5"/>
        <v>0</v>
      </c>
      <c r="AO22" s="31">
        <f t="shared" si="6"/>
        <v>0</v>
      </c>
      <c r="AQ22" s="58">
        <f t="shared" si="7"/>
        <v>0</v>
      </c>
      <c r="AR22" s="59">
        <v>1</v>
      </c>
      <c r="AS22" s="59"/>
    </row>
    <row r="23" spans="1:45" s="27" customFormat="1" ht="34.5" customHeight="1">
      <c r="A23" s="65"/>
      <c r="B23" s="45">
        <f t="shared" si="8"/>
        <v>4</v>
      </c>
      <c r="C23" s="39"/>
      <c r="D23" s="36"/>
      <c r="E23" s="36"/>
      <c r="F23" s="36"/>
      <c r="G23" s="36"/>
      <c r="H23" s="40"/>
      <c r="I23" s="37"/>
      <c r="J23" s="40"/>
      <c r="K23" s="46" t="s">
        <v>46</v>
      </c>
      <c r="L23" s="48">
        <v>8</v>
      </c>
      <c r="M23" s="49">
        <f t="shared" si="9"/>
        <v>209</v>
      </c>
      <c r="N23" s="50">
        <f t="shared" si="10"/>
        <v>0</v>
      </c>
      <c r="O23" s="51">
        <f t="shared" si="0"/>
        <v>0</v>
      </c>
      <c r="P23" s="52"/>
      <c r="Q23" s="53">
        <f t="shared" si="1"/>
        <v>0</v>
      </c>
      <c r="R23" s="53">
        <f t="shared" si="11"/>
        <v>209</v>
      </c>
      <c r="S23" s="54"/>
      <c r="T23" s="54"/>
      <c r="U23" s="54"/>
      <c r="V23" s="54"/>
      <c r="W23" s="54"/>
      <c r="X23" s="54">
        <v>0</v>
      </c>
      <c r="Y23" s="54">
        <f t="shared" si="2"/>
        <v>0</v>
      </c>
      <c r="Z23" s="55"/>
      <c r="AA23" s="24" t="str">
        <f t="shared" si="12"/>
        <v>OK</v>
      </c>
      <c r="AB23" s="25">
        <f t="shared" si="13"/>
        <v>0</v>
      </c>
      <c r="AC23" s="56">
        <f t="shared" si="14"/>
        <v>0</v>
      </c>
      <c r="AD23" s="26" t="str">
        <f t="shared" si="15"/>
        <v>미준수</v>
      </c>
      <c r="AF23" s="57">
        <f t="shared" si="3"/>
        <v>0</v>
      </c>
      <c r="AG23" s="28">
        <f>IFERROR(ROUNDDOWN(IF(AF23&gt;87000000,1507400+31034600+(AF23-87000000)*0.45,IF(AF23&gt;45000000,1507400+13394600+(AF23-45000000)*0.42,IF(AF23&gt;30000000,1507400+7394600+(AF23-30000000)*0.4,IF(AF23&gt;28000000,1507400+6610600+(AF23-28000000)*0.98*0.4,IF(AF23&gt;14000000,1507400+1397000+(AF23-14000000)*0.98*0.38,IF(AF23&gt;10000000,1507400+25000+(AF23-10000000)*0.98*0.35,IF(AF23=10000000,1507400,VLOOKUP(AF23,간이세액표!$A$5:$M$651,(2+AR23),1)))))))),-1),0)-IF(AS23=0,0,IF(AS23=1,12500,IF(AQ8=2,29160,29160+(AS23-2)*25000)))</f>
        <v>0</v>
      </c>
      <c r="AH23" s="28">
        <f t="shared" si="4"/>
        <v>0</v>
      </c>
      <c r="AI23" s="29">
        <f t="shared" si="16"/>
        <v>0</v>
      </c>
      <c r="AJ23" s="28">
        <f t="shared" si="17"/>
        <v>0</v>
      </c>
      <c r="AK23" s="29">
        <f t="shared" si="18"/>
        <v>0</v>
      </c>
      <c r="AL23" s="29">
        <f t="shared" si="19"/>
        <v>0</v>
      </c>
      <c r="AM23" s="30"/>
      <c r="AN23" s="28">
        <f t="shared" si="5"/>
        <v>0</v>
      </c>
      <c r="AO23" s="31">
        <f t="shared" si="6"/>
        <v>0</v>
      </c>
      <c r="AQ23" s="58">
        <f t="shared" si="7"/>
        <v>0</v>
      </c>
      <c r="AR23" s="59">
        <v>1</v>
      </c>
      <c r="AS23" s="59"/>
    </row>
    <row r="24" spans="1:45" s="27" customFormat="1" ht="34.5" customHeight="1">
      <c r="A24" s="65"/>
      <c r="B24" s="45">
        <f t="shared" si="8"/>
        <v>5</v>
      </c>
      <c r="C24" s="39"/>
      <c r="D24" s="36"/>
      <c r="E24" s="36"/>
      <c r="F24" s="36"/>
      <c r="G24" s="36"/>
      <c r="H24" s="40"/>
      <c r="I24" s="37"/>
      <c r="J24" s="40"/>
      <c r="K24" s="46" t="s">
        <v>46</v>
      </c>
      <c r="L24" s="48">
        <v>8</v>
      </c>
      <c r="M24" s="49">
        <f t="shared" si="9"/>
        <v>209</v>
      </c>
      <c r="N24" s="50">
        <f t="shared" si="10"/>
        <v>0</v>
      </c>
      <c r="O24" s="51">
        <f t="shared" si="0"/>
        <v>0</v>
      </c>
      <c r="P24" s="52"/>
      <c r="Q24" s="53">
        <f t="shared" si="1"/>
        <v>0</v>
      </c>
      <c r="R24" s="53">
        <f t="shared" si="11"/>
        <v>209</v>
      </c>
      <c r="S24" s="54"/>
      <c r="T24" s="54"/>
      <c r="U24" s="54"/>
      <c r="V24" s="54"/>
      <c r="W24" s="54"/>
      <c r="X24" s="54">
        <v>0</v>
      </c>
      <c r="Y24" s="54">
        <f t="shared" si="2"/>
        <v>0</v>
      </c>
      <c r="Z24" s="55"/>
      <c r="AA24" s="24" t="str">
        <f t="shared" si="12"/>
        <v>OK</v>
      </c>
      <c r="AB24" s="25">
        <f t="shared" si="13"/>
        <v>0</v>
      </c>
      <c r="AC24" s="56">
        <f t="shared" si="14"/>
        <v>0</v>
      </c>
      <c r="AD24" s="26" t="str">
        <f t="shared" si="15"/>
        <v>미준수</v>
      </c>
      <c r="AF24" s="57">
        <f t="shared" si="3"/>
        <v>0</v>
      </c>
      <c r="AG24" s="28">
        <f>IFERROR(ROUNDDOWN(IF(AF24&gt;87000000,1507400+31034600+(AF24-87000000)*0.45,IF(AF24&gt;45000000,1507400+13394600+(AF24-45000000)*0.42,IF(AF24&gt;30000000,1507400+7394600+(AF24-30000000)*0.4,IF(AF24&gt;28000000,1507400+6610600+(AF24-28000000)*0.98*0.4,IF(AF24&gt;14000000,1507400+1397000+(AF24-14000000)*0.98*0.38,IF(AF24&gt;10000000,1507400+25000+(AF24-10000000)*0.98*0.35,IF(AF24=10000000,1507400,VLOOKUP(AF24,간이세액표!$A$5:$M$651,(2+AR24),1)))))))),-1),0)-IF(AS24=0,0,IF(AS24=1,12500,IF(AQ9=2,29160,29160+(AS24-2)*25000)))</f>
        <v>0</v>
      </c>
      <c r="AH24" s="28">
        <f t="shared" si="4"/>
        <v>0</v>
      </c>
      <c r="AI24" s="29">
        <f t="shared" si="16"/>
        <v>0</v>
      </c>
      <c r="AJ24" s="28">
        <f t="shared" si="17"/>
        <v>0</v>
      </c>
      <c r="AK24" s="29">
        <f t="shared" si="18"/>
        <v>0</v>
      </c>
      <c r="AL24" s="29">
        <f t="shared" si="19"/>
        <v>0</v>
      </c>
      <c r="AM24" s="30"/>
      <c r="AN24" s="28">
        <f t="shared" si="5"/>
        <v>0</v>
      </c>
      <c r="AO24" s="31">
        <f t="shared" si="6"/>
        <v>0</v>
      </c>
      <c r="AQ24" s="58">
        <f t="shared" si="7"/>
        <v>0</v>
      </c>
      <c r="AR24" s="59">
        <v>1</v>
      </c>
      <c r="AS24" s="59"/>
    </row>
    <row r="25" spans="1:45" s="27" customFormat="1" ht="34.5" customHeight="1">
      <c r="A25" s="65"/>
      <c r="B25" s="45">
        <f t="shared" si="8"/>
        <v>6</v>
      </c>
      <c r="C25" s="39"/>
      <c r="D25" s="36"/>
      <c r="E25" s="36"/>
      <c r="F25" s="36"/>
      <c r="G25" s="36"/>
      <c r="H25" s="40"/>
      <c r="I25" s="37"/>
      <c r="J25" s="40"/>
      <c r="K25" s="46" t="s">
        <v>46</v>
      </c>
      <c r="L25" s="48">
        <v>8</v>
      </c>
      <c r="M25" s="49">
        <f t="shared" si="9"/>
        <v>209</v>
      </c>
      <c r="N25" s="50">
        <f t="shared" si="10"/>
        <v>0</v>
      </c>
      <c r="O25" s="51">
        <f t="shared" si="0"/>
        <v>0</v>
      </c>
      <c r="P25" s="52"/>
      <c r="Q25" s="53">
        <f t="shared" si="1"/>
        <v>0</v>
      </c>
      <c r="R25" s="53">
        <f t="shared" si="11"/>
        <v>209</v>
      </c>
      <c r="S25" s="54"/>
      <c r="T25" s="54"/>
      <c r="U25" s="54"/>
      <c r="V25" s="54"/>
      <c r="W25" s="54"/>
      <c r="X25" s="54">
        <v>0</v>
      </c>
      <c r="Y25" s="54">
        <f t="shared" si="2"/>
        <v>0</v>
      </c>
      <c r="Z25" s="55"/>
      <c r="AA25" s="24" t="str">
        <f t="shared" si="12"/>
        <v>OK</v>
      </c>
      <c r="AB25" s="25">
        <f t="shared" si="13"/>
        <v>0</v>
      </c>
      <c r="AC25" s="56">
        <f t="shared" si="14"/>
        <v>0</v>
      </c>
      <c r="AD25" s="26" t="str">
        <f t="shared" si="15"/>
        <v>미준수</v>
      </c>
      <c r="AF25" s="57">
        <f t="shared" si="3"/>
        <v>0</v>
      </c>
      <c r="AG25" s="28">
        <f>IFERROR(ROUNDDOWN(IF(AF25&gt;87000000,1507400+31034600+(AF25-87000000)*0.45,IF(AF25&gt;45000000,1507400+13394600+(AF25-45000000)*0.42,IF(AF25&gt;30000000,1507400+7394600+(AF25-30000000)*0.4,IF(AF25&gt;28000000,1507400+6610600+(AF25-28000000)*0.98*0.4,IF(AF25&gt;14000000,1507400+1397000+(AF25-14000000)*0.98*0.38,IF(AF25&gt;10000000,1507400+25000+(AF25-10000000)*0.98*0.35,IF(AF25=10000000,1507400,VLOOKUP(AF25,간이세액표!$A$5:$M$651,(2+AR25),1)))))))),-1),0)-IF(AS25=0,0,IF(AS25=1,12500,IF(AQ10=2,29160,29160+(AS25-2)*25000)))</f>
        <v>0</v>
      </c>
      <c r="AH25" s="28">
        <f t="shared" si="4"/>
        <v>0</v>
      </c>
      <c r="AI25" s="29">
        <f t="shared" si="16"/>
        <v>0</v>
      </c>
      <c r="AJ25" s="28">
        <f t="shared" si="17"/>
        <v>0</v>
      </c>
      <c r="AK25" s="29">
        <f t="shared" si="18"/>
        <v>0</v>
      </c>
      <c r="AL25" s="29">
        <f t="shared" si="19"/>
        <v>0</v>
      </c>
      <c r="AM25" s="30"/>
      <c r="AN25" s="28">
        <f t="shared" si="5"/>
        <v>0</v>
      </c>
      <c r="AO25" s="31">
        <f t="shared" si="6"/>
        <v>0</v>
      </c>
      <c r="AQ25" s="58">
        <f t="shared" si="7"/>
        <v>0</v>
      </c>
      <c r="AR25" s="59">
        <v>1</v>
      </c>
      <c r="AS25" s="59"/>
    </row>
    <row r="26" spans="1:45" s="27" customFormat="1" ht="34.5" customHeight="1">
      <c r="A26" s="65"/>
      <c r="B26" s="45">
        <f t="shared" si="8"/>
        <v>7</v>
      </c>
      <c r="C26" s="39"/>
      <c r="D26" s="36"/>
      <c r="E26" s="36"/>
      <c r="F26" s="36"/>
      <c r="G26" s="36"/>
      <c r="H26" s="40"/>
      <c r="I26" s="37"/>
      <c r="J26" s="40"/>
      <c r="K26" s="46" t="s">
        <v>46</v>
      </c>
      <c r="L26" s="48">
        <v>8</v>
      </c>
      <c r="M26" s="49">
        <f t="shared" si="9"/>
        <v>209</v>
      </c>
      <c r="N26" s="50">
        <f t="shared" si="10"/>
        <v>0</v>
      </c>
      <c r="O26" s="51">
        <f t="shared" si="0"/>
        <v>0</v>
      </c>
      <c r="P26" s="52"/>
      <c r="Q26" s="53">
        <f t="shared" si="1"/>
        <v>0</v>
      </c>
      <c r="R26" s="53">
        <f t="shared" si="11"/>
        <v>209</v>
      </c>
      <c r="S26" s="54"/>
      <c r="T26" s="54"/>
      <c r="U26" s="54"/>
      <c r="V26" s="54"/>
      <c r="W26" s="54"/>
      <c r="X26" s="54">
        <v>0</v>
      </c>
      <c r="Y26" s="54">
        <f t="shared" si="2"/>
        <v>0</v>
      </c>
      <c r="Z26" s="55"/>
      <c r="AA26" s="24" t="str">
        <f t="shared" si="12"/>
        <v>OK</v>
      </c>
      <c r="AB26" s="25">
        <f t="shared" si="13"/>
        <v>0</v>
      </c>
      <c r="AC26" s="56">
        <f t="shared" si="14"/>
        <v>0</v>
      </c>
      <c r="AD26" s="26" t="str">
        <f t="shared" si="15"/>
        <v>미준수</v>
      </c>
      <c r="AF26" s="57">
        <f t="shared" si="3"/>
        <v>0</v>
      </c>
      <c r="AG26" s="28">
        <f>IFERROR(ROUNDDOWN(IF(AF26&gt;87000000,1507400+31034600+(AF26-87000000)*0.45,IF(AF26&gt;45000000,1507400+13394600+(AF26-45000000)*0.42,IF(AF26&gt;30000000,1507400+7394600+(AF26-30000000)*0.4,IF(AF26&gt;28000000,1507400+6610600+(AF26-28000000)*0.98*0.4,IF(AF26&gt;14000000,1507400+1397000+(AF26-14000000)*0.98*0.38,IF(AF26&gt;10000000,1507400+25000+(AF26-10000000)*0.98*0.35,IF(AF26=10000000,1507400,VLOOKUP(AF26,간이세액표!$A$5:$M$651,(2+AR26),1)))))))),-1),0)-IF(AS26=0,0,IF(AS26=1,12500,IF(AQ11=2,29160,29160+(AS26-2)*25000)))</f>
        <v>0</v>
      </c>
      <c r="AH26" s="28">
        <f t="shared" si="4"/>
        <v>0</v>
      </c>
      <c r="AI26" s="29">
        <f t="shared" si="16"/>
        <v>0</v>
      </c>
      <c r="AJ26" s="28">
        <f t="shared" si="17"/>
        <v>0</v>
      </c>
      <c r="AK26" s="29">
        <f t="shared" si="18"/>
        <v>0</v>
      </c>
      <c r="AL26" s="29">
        <f t="shared" si="19"/>
        <v>0</v>
      </c>
      <c r="AM26" s="30"/>
      <c r="AN26" s="28">
        <f t="shared" si="5"/>
        <v>0</v>
      </c>
      <c r="AO26" s="31">
        <f t="shared" si="6"/>
        <v>0</v>
      </c>
      <c r="AQ26" s="58">
        <f t="shared" si="7"/>
        <v>0</v>
      </c>
      <c r="AR26" s="59">
        <v>1</v>
      </c>
      <c r="AS26" s="59"/>
    </row>
    <row r="27" spans="1:45" s="27" customFormat="1" ht="34.5" customHeight="1">
      <c r="A27" s="65"/>
      <c r="B27" s="45">
        <f t="shared" si="8"/>
        <v>8</v>
      </c>
      <c r="C27" s="39"/>
      <c r="D27" s="36"/>
      <c r="E27" s="36"/>
      <c r="F27" s="36"/>
      <c r="G27" s="36"/>
      <c r="H27" s="40"/>
      <c r="I27" s="37"/>
      <c r="J27" s="40"/>
      <c r="K27" s="46" t="s">
        <v>46</v>
      </c>
      <c r="L27" s="48">
        <v>8</v>
      </c>
      <c r="M27" s="49">
        <f t="shared" si="9"/>
        <v>209</v>
      </c>
      <c r="N27" s="50">
        <f t="shared" si="10"/>
        <v>0</v>
      </c>
      <c r="O27" s="51">
        <f t="shared" si="0"/>
        <v>0</v>
      </c>
      <c r="P27" s="52"/>
      <c r="Q27" s="53">
        <f t="shared" si="1"/>
        <v>0</v>
      </c>
      <c r="R27" s="53">
        <f t="shared" si="11"/>
        <v>209</v>
      </c>
      <c r="S27" s="54"/>
      <c r="T27" s="54"/>
      <c r="U27" s="54"/>
      <c r="V27" s="54"/>
      <c r="W27" s="54"/>
      <c r="X27" s="54">
        <v>0</v>
      </c>
      <c r="Y27" s="54">
        <f t="shared" si="2"/>
        <v>0</v>
      </c>
      <c r="Z27" s="55"/>
      <c r="AA27" s="24" t="str">
        <f t="shared" si="12"/>
        <v>OK</v>
      </c>
      <c r="AB27" s="25">
        <f t="shared" si="13"/>
        <v>0</v>
      </c>
      <c r="AC27" s="56">
        <f t="shared" si="14"/>
        <v>0</v>
      </c>
      <c r="AD27" s="26" t="str">
        <f t="shared" si="15"/>
        <v>미준수</v>
      </c>
      <c r="AF27" s="57">
        <f t="shared" si="3"/>
        <v>0</v>
      </c>
      <c r="AG27" s="28">
        <f>IFERROR(ROUNDDOWN(IF(AF27&gt;87000000,1507400+31034600+(AF27-87000000)*0.45,IF(AF27&gt;45000000,1507400+13394600+(AF27-45000000)*0.42,IF(AF27&gt;30000000,1507400+7394600+(AF27-30000000)*0.4,IF(AF27&gt;28000000,1507400+6610600+(AF27-28000000)*0.98*0.4,IF(AF27&gt;14000000,1507400+1397000+(AF27-14000000)*0.98*0.38,IF(AF27&gt;10000000,1507400+25000+(AF27-10000000)*0.98*0.35,IF(AF27=10000000,1507400,VLOOKUP(AF27,간이세액표!$A$5:$M$651,(2+AR27),1)))))))),-1),0)-IF(AS27=0,0,IF(AS27=1,12500,IF(AQ12=2,29160,29160+(AS27-2)*25000)))</f>
        <v>0</v>
      </c>
      <c r="AH27" s="28">
        <f t="shared" si="4"/>
        <v>0</v>
      </c>
      <c r="AI27" s="29">
        <f t="shared" si="16"/>
        <v>0</v>
      </c>
      <c r="AJ27" s="28">
        <f t="shared" si="17"/>
        <v>0</v>
      </c>
      <c r="AK27" s="29">
        <f t="shared" si="18"/>
        <v>0</v>
      </c>
      <c r="AL27" s="29">
        <f t="shared" si="19"/>
        <v>0</v>
      </c>
      <c r="AM27" s="30"/>
      <c r="AN27" s="28">
        <f t="shared" si="5"/>
        <v>0</v>
      </c>
      <c r="AO27" s="31">
        <f t="shared" si="6"/>
        <v>0</v>
      </c>
      <c r="AQ27" s="58">
        <f t="shared" si="7"/>
        <v>0</v>
      </c>
      <c r="AR27" s="59">
        <v>1</v>
      </c>
      <c r="AS27" s="59"/>
    </row>
    <row r="28" spans="1:45" s="27" customFormat="1" ht="34.5" customHeight="1">
      <c r="A28" s="65"/>
      <c r="B28" s="45">
        <f t="shared" si="8"/>
        <v>9</v>
      </c>
      <c r="C28" s="39"/>
      <c r="D28" s="36"/>
      <c r="E28" s="36"/>
      <c r="F28" s="36"/>
      <c r="G28" s="36"/>
      <c r="H28" s="40"/>
      <c r="I28" s="37"/>
      <c r="J28" s="40"/>
      <c r="K28" s="46" t="s">
        <v>46</v>
      </c>
      <c r="L28" s="48">
        <v>8</v>
      </c>
      <c r="M28" s="49">
        <f t="shared" si="9"/>
        <v>209</v>
      </c>
      <c r="N28" s="50">
        <f t="shared" si="10"/>
        <v>0</v>
      </c>
      <c r="O28" s="51">
        <f t="shared" si="0"/>
        <v>0</v>
      </c>
      <c r="P28" s="52"/>
      <c r="Q28" s="53">
        <f t="shared" si="1"/>
        <v>0</v>
      </c>
      <c r="R28" s="53">
        <f t="shared" si="11"/>
        <v>209</v>
      </c>
      <c r="S28" s="54"/>
      <c r="T28" s="54"/>
      <c r="U28" s="54"/>
      <c r="V28" s="54"/>
      <c r="W28" s="54"/>
      <c r="X28" s="54">
        <v>0</v>
      </c>
      <c r="Y28" s="54">
        <f t="shared" si="2"/>
        <v>0</v>
      </c>
      <c r="Z28" s="55"/>
      <c r="AA28" s="24" t="str">
        <f t="shared" si="12"/>
        <v>OK</v>
      </c>
      <c r="AB28" s="25">
        <f t="shared" si="13"/>
        <v>0</v>
      </c>
      <c r="AC28" s="56">
        <f t="shared" si="14"/>
        <v>0</v>
      </c>
      <c r="AD28" s="26" t="str">
        <f t="shared" si="15"/>
        <v>미준수</v>
      </c>
      <c r="AF28" s="57">
        <f t="shared" si="3"/>
        <v>0</v>
      </c>
      <c r="AG28" s="28">
        <f>IFERROR(ROUNDDOWN(IF(AF28&gt;87000000,1507400+31034600+(AF28-87000000)*0.45,IF(AF28&gt;45000000,1507400+13394600+(AF28-45000000)*0.42,IF(AF28&gt;30000000,1507400+7394600+(AF28-30000000)*0.4,IF(AF28&gt;28000000,1507400+6610600+(AF28-28000000)*0.98*0.4,IF(AF28&gt;14000000,1507400+1397000+(AF28-14000000)*0.98*0.38,IF(AF28&gt;10000000,1507400+25000+(AF28-10000000)*0.98*0.35,IF(AF28=10000000,1507400,VLOOKUP(AF28,간이세액표!$A$5:$M$651,(2+AR28),1)))))))),-1),0)-IF(AS28=0,0,IF(AS28=1,12500,IF(AQ13=2,29160,29160+(AS28-2)*25000)))</f>
        <v>0</v>
      </c>
      <c r="AH28" s="28">
        <f t="shared" si="4"/>
        <v>0</v>
      </c>
      <c r="AI28" s="29">
        <f t="shared" si="16"/>
        <v>0</v>
      </c>
      <c r="AJ28" s="28">
        <f t="shared" si="17"/>
        <v>0</v>
      </c>
      <c r="AK28" s="29">
        <f t="shared" si="18"/>
        <v>0</v>
      </c>
      <c r="AL28" s="29">
        <f t="shared" si="19"/>
        <v>0</v>
      </c>
      <c r="AM28" s="30"/>
      <c r="AN28" s="28">
        <f t="shared" si="5"/>
        <v>0</v>
      </c>
      <c r="AO28" s="31">
        <f t="shared" si="6"/>
        <v>0</v>
      </c>
      <c r="AQ28" s="58">
        <f t="shared" si="7"/>
        <v>0</v>
      </c>
      <c r="AR28" s="59">
        <v>1</v>
      </c>
      <c r="AS28" s="59"/>
    </row>
    <row r="29" spans="1:45" s="27" customFormat="1" ht="34.5" customHeight="1">
      <c r="A29" s="65"/>
      <c r="B29" s="45">
        <f t="shared" si="8"/>
        <v>10</v>
      </c>
      <c r="C29" s="39"/>
      <c r="D29" s="36"/>
      <c r="E29" s="36"/>
      <c r="F29" s="36"/>
      <c r="G29" s="36"/>
      <c r="H29" s="40"/>
      <c r="I29" s="37"/>
      <c r="J29" s="40"/>
      <c r="K29" s="46" t="s">
        <v>46</v>
      </c>
      <c r="L29" s="48">
        <v>8</v>
      </c>
      <c r="M29" s="49">
        <f t="shared" si="9"/>
        <v>209</v>
      </c>
      <c r="N29" s="50">
        <f t="shared" si="10"/>
        <v>0</v>
      </c>
      <c r="O29" s="51">
        <f t="shared" si="0"/>
        <v>0</v>
      </c>
      <c r="P29" s="52"/>
      <c r="Q29" s="53">
        <f t="shared" si="1"/>
        <v>0</v>
      </c>
      <c r="R29" s="53">
        <f t="shared" si="11"/>
        <v>209</v>
      </c>
      <c r="S29" s="54"/>
      <c r="T29" s="54"/>
      <c r="U29" s="54"/>
      <c r="V29" s="54"/>
      <c r="W29" s="54"/>
      <c r="X29" s="54">
        <v>0</v>
      </c>
      <c r="Y29" s="54">
        <f t="shared" si="2"/>
        <v>0</v>
      </c>
      <c r="Z29" s="55"/>
      <c r="AA29" s="24" t="str">
        <f t="shared" si="12"/>
        <v>OK</v>
      </c>
      <c r="AB29" s="25">
        <f t="shared" si="13"/>
        <v>0</v>
      </c>
      <c r="AC29" s="56">
        <f t="shared" si="14"/>
        <v>0</v>
      </c>
      <c r="AD29" s="26" t="str">
        <f t="shared" si="15"/>
        <v>미준수</v>
      </c>
      <c r="AF29" s="57">
        <f t="shared" si="3"/>
        <v>0</v>
      </c>
      <c r="AG29" s="28">
        <f>IFERROR(ROUNDDOWN(IF(AF29&gt;87000000,1507400+31034600+(AF29-87000000)*0.45,IF(AF29&gt;45000000,1507400+13394600+(AF29-45000000)*0.42,IF(AF29&gt;30000000,1507400+7394600+(AF29-30000000)*0.4,IF(AF29&gt;28000000,1507400+6610600+(AF29-28000000)*0.98*0.4,IF(AF29&gt;14000000,1507400+1397000+(AF29-14000000)*0.98*0.38,IF(AF29&gt;10000000,1507400+25000+(AF29-10000000)*0.98*0.35,IF(AF29=10000000,1507400,VLOOKUP(AF29,간이세액표!$A$5:$M$651,(2+AR29),1)))))))),-1),0)-IF(AS29=0,0,IF(AS29=1,12500,IF(AQ14=2,29160,29160+(AS29-2)*25000)))</f>
        <v>0</v>
      </c>
      <c r="AH29" s="28">
        <f t="shared" si="4"/>
        <v>0</v>
      </c>
      <c r="AI29" s="29">
        <f t="shared" si="16"/>
        <v>0</v>
      </c>
      <c r="AJ29" s="28">
        <f t="shared" si="17"/>
        <v>0</v>
      </c>
      <c r="AK29" s="29">
        <f t="shared" si="18"/>
        <v>0</v>
      </c>
      <c r="AL29" s="29">
        <f t="shared" si="19"/>
        <v>0</v>
      </c>
      <c r="AM29" s="30"/>
      <c r="AN29" s="28">
        <f t="shared" si="5"/>
        <v>0</v>
      </c>
      <c r="AO29" s="31">
        <f t="shared" si="6"/>
        <v>0</v>
      </c>
      <c r="AQ29" s="58">
        <f t="shared" si="7"/>
        <v>0</v>
      </c>
      <c r="AR29" s="59">
        <v>1</v>
      </c>
      <c r="AS29" s="59"/>
    </row>
    <row r="30" spans="1:45" s="27" customFormat="1" ht="34.5" customHeight="1">
      <c r="A30" s="65"/>
      <c r="B30" s="45">
        <f t="shared" si="8"/>
        <v>11</v>
      </c>
      <c r="C30" s="39"/>
      <c r="D30" s="36"/>
      <c r="E30" s="36"/>
      <c r="F30" s="36"/>
      <c r="G30" s="36"/>
      <c r="H30" s="40"/>
      <c r="I30" s="37"/>
      <c r="J30" s="40"/>
      <c r="K30" s="46" t="s">
        <v>46</v>
      </c>
      <c r="L30" s="48">
        <v>8</v>
      </c>
      <c r="M30" s="49">
        <f t="shared" si="9"/>
        <v>209</v>
      </c>
      <c r="N30" s="50">
        <f t="shared" si="10"/>
        <v>0</v>
      </c>
      <c r="O30" s="51">
        <f t="shared" si="0"/>
        <v>0</v>
      </c>
      <c r="P30" s="52"/>
      <c r="Q30" s="53">
        <f t="shared" si="1"/>
        <v>0</v>
      </c>
      <c r="R30" s="53">
        <f t="shared" si="11"/>
        <v>209</v>
      </c>
      <c r="S30" s="54"/>
      <c r="T30" s="54"/>
      <c r="U30" s="54"/>
      <c r="V30" s="54"/>
      <c r="W30" s="54"/>
      <c r="X30" s="54">
        <v>0</v>
      </c>
      <c r="Y30" s="54">
        <f t="shared" si="2"/>
        <v>0</v>
      </c>
      <c r="Z30" s="55"/>
      <c r="AA30" s="24" t="str">
        <f t="shared" si="12"/>
        <v>OK</v>
      </c>
      <c r="AB30" s="25">
        <f t="shared" si="13"/>
        <v>0</v>
      </c>
      <c r="AC30" s="56">
        <f t="shared" si="14"/>
        <v>0</v>
      </c>
      <c r="AD30" s="26" t="str">
        <f t="shared" si="15"/>
        <v>미준수</v>
      </c>
      <c r="AF30" s="57">
        <f t="shared" si="3"/>
        <v>0</v>
      </c>
      <c r="AG30" s="28">
        <f>IFERROR(ROUNDDOWN(IF(AF30&gt;87000000,1507400+31034600+(AF30-87000000)*0.45,IF(AF30&gt;45000000,1507400+13394600+(AF30-45000000)*0.42,IF(AF30&gt;30000000,1507400+7394600+(AF30-30000000)*0.4,IF(AF30&gt;28000000,1507400+6610600+(AF30-28000000)*0.98*0.4,IF(AF30&gt;14000000,1507400+1397000+(AF30-14000000)*0.98*0.38,IF(AF30&gt;10000000,1507400+25000+(AF30-10000000)*0.98*0.35,IF(AF30=10000000,1507400,VLOOKUP(AF30,간이세액표!$A$5:$M$651,(2+AR30),1)))))))),-1),0)-IF(AS30=0,0,IF(AS30=1,12500,IF(AQ15=2,29160,29160+(AS30-2)*25000)))</f>
        <v>0</v>
      </c>
      <c r="AH30" s="28">
        <f t="shared" si="4"/>
        <v>0</v>
      </c>
      <c r="AI30" s="29">
        <f t="shared" si="16"/>
        <v>0</v>
      </c>
      <c r="AJ30" s="28">
        <f t="shared" si="17"/>
        <v>0</v>
      </c>
      <c r="AK30" s="29">
        <f t="shared" si="18"/>
        <v>0</v>
      </c>
      <c r="AL30" s="29">
        <f t="shared" si="19"/>
        <v>0</v>
      </c>
      <c r="AM30" s="30"/>
      <c r="AN30" s="28">
        <f t="shared" si="5"/>
        <v>0</v>
      </c>
      <c r="AO30" s="31">
        <f t="shared" si="6"/>
        <v>0</v>
      </c>
      <c r="AQ30" s="58">
        <f t="shared" si="7"/>
        <v>0</v>
      </c>
      <c r="AR30" s="59">
        <v>1</v>
      </c>
      <c r="AS30" s="59"/>
    </row>
    <row r="31" spans="1:45" s="27" customFormat="1" ht="34.5" customHeight="1">
      <c r="A31" s="65"/>
      <c r="B31" s="45">
        <f t="shared" si="8"/>
        <v>12</v>
      </c>
      <c r="C31" s="39"/>
      <c r="D31" s="36"/>
      <c r="E31" s="36"/>
      <c r="F31" s="36"/>
      <c r="G31" s="36"/>
      <c r="H31" s="40"/>
      <c r="I31" s="37"/>
      <c r="J31" s="40"/>
      <c r="K31" s="46" t="s">
        <v>46</v>
      </c>
      <c r="L31" s="48">
        <v>8</v>
      </c>
      <c r="M31" s="49">
        <f t="shared" si="9"/>
        <v>209</v>
      </c>
      <c r="N31" s="50">
        <f t="shared" si="10"/>
        <v>0</v>
      </c>
      <c r="O31" s="51">
        <f t="shared" si="0"/>
        <v>0</v>
      </c>
      <c r="P31" s="52"/>
      <c r="Q31" s="53">
        <f t="shared" si="1"/>
        <v>0</v>
      </c>
      <c r="R31" s="53">
        <f t="shared" si="11"/>
        <v>209</v>
      </c>
      <c r="S31" s="54"/>
      <c r="T31" s="54"/>
      <c r="U31" s="54"/>
      <c r="V31" s="54"/>
      <c r="W31" s="54"/>
      <c r="X31" s="54">
        <v>0</v>
      </c>
      <c r="Y31" s="54">
        <f t="shared" si="2"/>
        <v>0</v>
      </c>
      <c r="Z31" s="55"/>
      <c r="AA31" s="24" t="str">
        <f t="shared" si="12"/>
        <v>OK</v>
      </c>
      <c r="AB31" s="25">
        <f t="shared" si="13"/>
        <v>0</v>
      </c>
      <c r="AC31" s="56">
        <f t="shared" si="14"/>
        <v>0</v>
      </c>
      <c r="AD31" s="26" t="str">
        <f t="shared" si="15"/>
        <v>미준수</v>
      </c>
      <c r="AF31" s="57">
        <f t="shared" si="3"/>
        <v>0</v>
      </c>
      <c r="AG31" s="28">
        <f>IFERROR(ROUNDDOWN(IF(AF31&gt;87000000,1507400+31034600+(AF31-87000000)*0.45,IF(AF31&gt;45000000,1507400+13394600+(AF31-45000000)*0.42,IF(AF31&gt;30000000,1507400+7394600+(AF31-30000000)*0.4,IF(AF31&gt;28000000,1507400+6610600+(AF31-28000000)*0.98*0.4,IF(AF31&gt;14000000,1507400+1397000+(AF31-14000000)*0.98*0.38,IF(AF31&gt;10000000,1507400+25000+(AF31-10000000)*0.98*0.35,IF(AF31=10000000,1507400,VLOOKUP(AF31,간이세액표!$A$5:$M$651,(2+AR31),1)))))))),-1),0)-IF(AS31=0,0,IF(AS31=1,12500,IF(AQ16=2,29160,29160+(AS31-2)*25000)))</f>
        <v>0</v>
      </c>
      <c r="AH31" s="28">
        <f t="shared" si="4"/>
        <v>0</v>
      </c>
      <c r="AI31" s="29">
        <f t="shared" si="16"/>
        <v>0</v>
      </c>
      <c r="AJ31" s="28">
        <f t="shared" si="17"/>
        <v>0</v>
      </c>
      <c r="AK31" s="29">
        <f t="shared" si="18"/>
        <v>0</v>
      </c>
      <c r="AL31" s="29">
        <f t="shared" si="19"/>
        <v>0</v>
      </c>
      <c r="AM31" s="30"/>
      <c r="AN31" s="28">
        <f t="shared" si="5"/>
        <v>0</v>
      </c>
      <c r="AO31" s="31">
        <f t="shared" si="6"/>
        <v>0</v>
      </c>
      <c r="AQ31" s="58">
        <f t="shared" si="7"/>
        <v>0</v>
      </c>
      <c r="AR31" s="59">
        <v>1</v>
      </c>
      <c r="AS31" s="59"/>
    </row>
    <row r="32" spans="1:45" s="27" customFormat="1" ht="34.5" customHeight="1">
      <c r="A32" s="65"/>
      <c r="B32" s="45">
        <f t="shared" si="8"/>
        <v>13</v>
      </c>
      <c r="C32" s="39"/>
      <c r="D32" s="36"/>
      <c r="E32" s="36"/>
      <c r="F32" s="36"/>
      <c r="G32" s="36"/>
      <c r="H32" s="40"/>
      <c r="I32" s="37"/>
      <c r="J32" s="40"/>
      <c r="K32" s="46" t="s">
        <v>46</v>
      </c>
      <c r="L32" s="48">
        <v>8</v>
      </c>
      <c r="M32" s="49">
        <f t="shared" si="9"/>
        <v>209</v>
      </c>
      <c r="N32" s="50">
        <f t="shared" si="10"/>
        <v>0</v>
      </c>
      <c r="O32" s="51">
        <f t="shared" si="0"/>
        <v>0</v>
      </c>
      <c r="P32" s="52"/>
      <c r="Q32" s="53">
        <f t="shared" si="1"/>
        <v>0</v>
      </c>
      <c r="R32" s="53">
        <f t="shared" si="11"/>
        <v>209</v>
      </c>
      <c r="S32" s="54"/>
      <c r="T32" s="54"/>
      <c r="U32" s="54"/>
      <c r="V32" s="54"/>
      <c r="W32" s="54"/>
      <c r="X32" s="54">
        <v>0</v>
      </c>
      <c r="Y32" s="54">
        <f t="shared" si="2"/>
        <v>0</v>
      </c>
      <c r="Z32" s="55"/>
      <c r="AA32" s="24" t="str">
        <f t="shared" si="12"/>
        <v>OK</v>
      </c>
      <c r="AB32" s="25">
        <f t="shared" si="13"/>
        <v>0</v>
      </c>
      <c r="AC32" s="56">
        <f t="shared" si="14"/>
        <v>0</v>
      </c>
      <c r="AD32" s="26" t="str">
        <f t="shared" si="15"/>
        <v>미준수</v>
      </c>
      <c r="AF32" s="57">
        <f t="shared" si="3"/>
        <v>0</v>
      </c>
      <c r="AG32" s="28">
        <f>IFERROR(ROUNDDOWN(IF(AF32&gt;87000000,1507400+31034600+(AF32-87000000)*0.45,IF(AF32&gt;45000000,1507400+13394600+(AF32-45000000)*0.42,IF(AF32&gt;30000000,1507400+7394600+(AF32-30000000)*0.4,IF(AF32&gt;28000000,1507400+6610600+(AF32-28000000)*0.98*0.4,IF(AF32&gt;14000000,1507400+1397000+(AF32-14000000)*0.98*0.38,IF(AF32&gt;10000000,1507400+25000+(AF32-10000000)*0.98*0.35,IF(AF32=10000000,1507400,VLOOKUP(AF32,간이세액표!$A$5:$M$651,(2+AR32),1)))))))),-1),0)-IF(AS32=0,0,IF(AS32=1,12500,IF(AQ17=2,29160,29160+(AS32-2)*25000)))</f>
        <v>0</v>
      </c>
      <c r="AH32" s="28">
        <f t="shared" si="4"/>
        <v>0</v>
      </c>
      <c r="AI32" s="29">
        <f t="shared" si="16"/>
        <v>0</v>
      </c>
      <c r="AJ32" s="28">
        <f t="shared" si="17"/>
        <v>0</v>
      </c>
      <c r="AK32" s="29">
        <f t="shared" si="18"/>
        <v>0</v>
      </c>
      <c r="AL32" s="29">
        <f t="shared" si="19"/>
        <v>0</v>
      </c>
      <c r="AM32" s="30"/>
      <c r="AN32" s="28">
        <f t="shared" si="5"/>
        <v>0</v>
      </c>
      <c r="AO32" s="31">
        <f t="shared" si="6"/>
        <v>0</v>
      </c>
      <c r="AQ32" s="58">
        <f t="shared" si="7"/>
        <v>0</v>
      </c>
      <c r="AR32" s="59">
        <v>1</v>
      </c>
      <c r="AS32" s="59"/>
    </row>
    <row r="33" spans="1:45" s="27" customFormat="1" ht="34.5" customHeight="1">
      <c r="A33" s="65"/>
      <c r="B33" s="45">
        <f t="shared" si="8"/>
        <v>14</v>
      </c>
      <c r="C33" s="39"/>
      <c r="D33" s="36"/>
      <c r="E33" s="36"/>
      <c r="F33" s="36"/>
      <c r="G33" s="36"/>
      <c r="H33" s="40"/>
      <c r="I33" s="37"/>
      <c r="J33" s="40"/>
      <c r="K33" s="46" t="s">
        <v>46</v>
      </c>
      <c r="L33" s="48">
        <v>8</v>
      </c>
      <c r="M33" s="49">
        <f t="shared" si="9"/>
        <v>209</v>
      </c>
      <c r="N33" s="50">
        <f t="shared" si="10"/>
        <v>0</v>
      </c>
      <c r="O33" s="51">
        <f t="shared" si="0"/>
        <v>0</v>
      </c>
      <c r="P33" s="52"/>
      <c r="Q33" s="53">
        <f t="shared" si="1"/>
        <v>0</v>
      </c>
      <c r="R33" s="53">
        <f t="shared" si="11"/>
        <v>209</v>
      </c>
      <c r="S33" s="54"/>
      <c r="T33" s="54"/>
      <c r="U33" s="54"/>
      <c r="V33" s="54"/>
      <c r="W33" s="54"/>
      <c r="X33" s="54">
        <v>0</v>
      </c>
      <c r="Y33" s="54">
        <f t="shared" si="2"/>
        <v>0</v>
      </c>
      <c r="Z33" s="55"/>
      <c r="AA33" s="24" t="str">
        <f t="shared" si="12"/>
        <v>OK</v>
      </c>
      <c r="AB33" s="25">
        <f t="shared" si="13"/>
        <v>0</v>
      </c>
      <c r="AC33" s="56">
        <f t="shared" si="14"/>
        <v>0</v>
      </c>
      <c r="AD33" s="26" t="str">
        <f t="shared" si="15"/>
        <v>미준수</v>
      </c>
      <c r="AF33" s="57">
        <f t="shared" si="3"/>
        <v>0</v>
      </c>
      <c r="AG33" s="28">
        <f>IFERROR(ROUNDDOWN(IF(AF33&gt;87000000,1507400+31034600+(AF33-87000000)*0.45,IF(AF33&gt;45000000,1507400+13394600+(AF33-45000000)*0.42,IF(AF33&gt;30000000,1507400+7394600+(AF33-30000000)*0.4,IF(AF33&gt;28000000,1507400+6610600+(AF33-28000000)*0.98*0.4,IF(AF33&gt;14000000,1507400+1397000+(AF33-14000000)*0.98*0.38,IF(AF33&gt;10000000,1507400+25000+(AF33-10000000)*0.98*0.35,IF(AF33=10000000,1507400,VLOOKUP(AF33,간이세액표!$A$5:$M$651,(2+AR33),1)))))))),-1),0)-IF(AS33=0,0,IF(AS33=1,12500,IF(AQ18=2,29160,29160+(AS33-2)*25000)))</f>
        <v>0</v>
      </c>
      <c r="AH33" s="28">
        <f t="shared" si="4"/>
        <v>0</v>
      </c>
      <c r="AI33" s="29">
        <f t="shared" si="16"/>
        <v>0</v>
      </c>
      <c r="AJ33" s="28">
        <f t="shared" si="17"/>
        <v>0</v>
      </c>
      <c r="AK33" s="29">
        <f t="shared" si="18"/>
        <v>0</v>
      </c>
      <c r="AL33" s="29">
        <f t="shared" si="19"/>
        <v>0</v>
      </c>
      <c r="AM33" s="30"/>
      <c r="AN33" s="28">
        <f t="shared" si="5"/>
        <v>0</v>
      </c>
      <c r="AO33" s="31">
        <f t="shared" si="6"/>
        <v>0</v>
      </c>
      <c r="AQ33" s="58">
        <f t="shared" si="7"/>
        <v>0</v>
      </c>
      <c r="AR33" s="59">
        <v>1</v>
      </c>
      <c r="AS33" s="59"/>
    </row>
    <row r="34" spans="1:45" s="27" customFormat="1" ht="34.5" customHeight="1">
      <c r="A34" s="65"/>
      <c r="B34" s="45">
        <f t="shared" si="8"/>
        <v>15</v>
      </c>
      <c r="C34" s="39"/>
      <c r="D34" s="36"/>
      <c r="E34" s="36"/>
      <c r="F34" s="36"/>
      <c r="G34" s="36"/>
      <c r="H34" s="40"/>
      <c r="I34" s="37"/>
      <c r="J34" s="40"/>
      <c r="K34" s="46" t="s">
        <v>46</v>
      </c>
      <c r="L34" s="48">
        <v>8</v>
      </c>
      <c r="M34" s="49">
        <f t="shared" si="9"/>
        <v>209</v>
      </c>
      <c r="N34" s="50">
        <f t="shared" si="10"/>
        <v>0</v>
      </c>
      <c r="O34" s="51">
        <f t="shared" si="0"/>
        <v>0</v>
      </c>
      <c r="P34" s="52"/>
      <c r="Q34" s="53">
        <f t="shared" si="1"/>
        <v>0</v>
      </c>
      <c r="R34" s="53">
        <f t="shared" si="11"/>
        <v>209</v>
      </c>
      <c r="S34" s="54"/>
      <c r="T34" s="54"/>
      <c r="U34" s="54"/>
      <c r="V34" s="54"/>
      <c r="W34" s="54"/>
      <c r="X34" s="54">
        <v>0</v>
      </c>
      <c r="Y34" s="54">
        <f t="shared" si="2"/>
        <v>0</v>
      </c>
      <c r="Z34" s="55"/>
      <c r="AA34" s="24" t="str">
        <f t="shared" si="12"/>
        <v>OK</v>
      </c>
      <c r="AB34" s="25">
        <f t="shared" si="13"/>
        <v>0</v>
      </c>
      <c r="AC34" s="56">
        <f t="shared" si="14"/>
        <v>0</v>
      </c>
      <c r="AD34" s="26" t="str">
        <f t="shared" si="15"/>
        <v>미준수</v>
      </c>
      <c r="AF34" s="57">
        <f t="shared" si="3"/>
        <v>0</v>
      </c>
      <c r="AG34" s="28">
        <f>IFERROR(ROUNDDOWN(IF(AF34&gt;87000000,1507400+31034600+(AF34-87000000)*0.45,IF(AF34&gt;45000000,1507400+13394600+(AF34-45000000)*0.42,IF(AF34&gt;30000000,1507400+7394600+(AF34-30000000)*0.4,IF(AF34&gt;28000000,1507400+6610600+(AF34-28000000)*0.98*0.4,IF(AF34&gt;14000000,1507400+1397000+(AF34-14000000)*0.98*0.38,IF(AF34&gt;10000000,1507400+25000+(AF34-10000000)*0.98*0.35,IF(AF34=10000000,1507400,VLOOKUP(AF34,간이세액표!$A$5:$M$651,(2+AR34),1)))))))),-1),0)-IF(AS34=0,0,IF(AS34=1,12500,IF(AQ19=2,29160,29160+(AS34-2)*25000)))</f>
        <v>0</v>
      </c>
      <c r="AH34" s="28">
        <f t="shared" si="4"/>
        <v>0</v>
      </c>
      <c r="AI34" s="29">
        <f t="shared" si="16"/>
        <v>0</v>
      </c>
      <c r="AJ34" s="28">
        <f t="shared" si="17"/>
        <v>0</v>
      </c>
      <c r="AK34" s="29">
        <f t="shared" si="18"/>
        <v>0</v>
      </c>
      <c r="AL34" s="29">
        <f t="shared" si="19"/>
        <v>0</v>
      </c>
      <c r="AM34" s="30"/>
      <c r="AN34" s="28">
        <f t="shared" si="5"/>
        <v>0</v>
      </c>
      <c r="AO34" s="31">
        <f t="shared" si="6"/>
        <v>0</v>
      </c>
      <c r="AQ34" s="58">
        <f t="shared" si="7"/>
        <v>0</v>
      </c>
      <c r="AR34" s="59">
        <v>1</v>
      </c>
      <c r="AS34" s="59"/>
    </row>
    <row r="35" spans="1:45" s="27" customFormat="1" ht="34.5" customHeight="1">
      <c r="A35" s="65"/>
      <c r="B35" s="45">
        <f t="shared" si="8"/>
        <v>16</v>
      </c>
      <c r="C35" s="39"/>
      <c r="D35" s="36"/>
      <c r="E35" s="36"/>
      <c r="F35" s="36"/>
      <c r="G35" s="36"/>
      <c r="H35" s="40"/>
      <c r="I35" s="37"/>
      <c r="J35" s="40"/>
      <c r="K35" s="46" t="s">
        <v>46</v>
      </c>
      <c r="L35" s="48">
        <v>8</v>
      </c>
      <c r="M35" s="49">
        <f t="shared" si="9"/>
        <v>209</v>
      </c>
      <c r="N35" s="50">
        <f t="shared" si="10"/>
        <v>0</v>
      </c>
      <c r="O35" s="51">
        <f t="shared" si="0"/>
        <v>0</v>
      </c>
      <c r="P35" s="52"/>
      <c r="Q35" s="53">
        <f t="shared" si="1"/>
        <v>0</v>
      </c>
      <c r="R35" s="53">
        <f t="shared" si="11"/>
        <v>209</v>
      </c>
      <c r="S35" s="54"/>
      <c r="T35" s="54"/>
      <c r="U35" s="54"/>
      <c r="V35" s="54"/>
      <c r="W35" s="54"/>
      <c r="X35" s="54">
        <v>0</v>
      </c>
      <c r="Y35" s="54">
        <f t="shared" si="2"/>
        <v>0</v>
      </c>
      <c r="Z35" s="55"/>
      <c r="AA35" s="24" t="str">
        <f t="shared" si="12"/>
        <v>OK</v>
      </c>
      <c r="AB35" s="25">
        <f t="shared" si="13"/>
        <v>0</v>
      </c>
      <c r="AC35" s="56">
        <f t="shared" si="14"/>
        <v>0</v>
      </c>
      <c r="AD35" s="26" t="str">
        <f t="shared" si="15"/>
        <v>미준수</v>
      </c>
      <c r="AF35" s="57">
        <f t="shared" si="3"/>
        <v>0</v>
      </c>
      <c r="AG35" s="28">
        <f>IFERROR(ROUNDDOWN(IF(AF35&gt;87000000,1507400+31034600+(AF35-87000000)*0.45,IF(AF35&gt;45000000,1507400+13394600+(AF35-45000000)*0.42,IF(AF35&gt;30000000,1507400+7394600+(AF35-30000000)*0.4,IF(AF35&gt;28000000,1507400+6610600+(AF35-28000000)*0.98*0.4,IF(AF35&gt;14000000,1507400+1397000+(AF35-14000000)*0.98*0.38,IF(AF35&gt;10000000,1507400+25000+(AF35-10000000)*0.98*0.35,IF(AF35=10000000,1507400,VLOOKUP(AF35,간이세액표!$A$5:$M$651,(2+AR35),1)))))))),-1),0)-IF(AS35=0,0,IF(AS35=1,12500,IF(AQ20=2,29160,29160+(AS35-2)*25000)))</f>
        <v>0</v>
      </c>
      <c r="AH35" s="28">
        <f t="shared" si="4"/>
        <v>0</v>
      </c>
      <c r="AI35" s="29">
        <f t="shared" si="16"/>
        <v>0</v>
      </c>
      <c r="AJ35" s="28">
        <f t="shared" si="17"/>
        <v>0</v>
      </c>
      <c r="AK35" s="29">
        <f t="shared" si="18"/>
        <v>0</v>
      </c>
      <c r="AL35" s="29">
        <f t="shared" si="19"/>
        <v>0</v>
      </c>
      <c r="AM35" s="30"/>
      <c r="AN35" s="28">
        <f t="shared" si="5"/>
        <v>0</v>
      </c>
      <c r="AO35" s="31">
        <f t="shared" si="6"/>
        <v>0</v>
      </c>
      <c r="AQ35" s="58">
        <f t="shared" si="7"/>
        <v>0</v>
      </c>
      <c r="AR35" s="59">
        <v>1</v>
      </c>
      <c r="AS35" s="59"/>
    </row>
    <row r="36" spans="1:45" s="27" customFormat="1" ht="34.5" customHeight="1">
      <c r="A36" s="23"/>
      <c r="B36" s="45">
        <f t="shared" si="8"/>
        <v>17</v>
      </c>
      <c r="C36" s="39"/>
      <c r="D36" s="36"/>
      <c r="E36" s="36"/>
      <c r="F36" s="36"/>
      <c r="G36" s="36"/>
      <c r="H36" s="40"/>
      <c r="I36" s="37"/>
      <c r="J36" s="40"/>
      <c r="K36" s="46" t="s">
        <v>46</v>
      </c>
      <c r="L36" s="48">
        <v>8</v>
      </c>
      <c r="M36" s="49">
        <f t="shared" si="9"/>
        <v>209</v>
      </c>
      <c r="N36" s="50">
        <f t="shared" si="10"/>
        <v>0</v>
      </c>
      <c r="O36" s="51">
        <f t="shared" si="0"/>
        <v>0</v>
      </c>
      <c r="P36" s="52"/>
      <c r="Q36" s="53">
        <f t="shared" si="1"/>
        <v>0</v>
      </c>
      <c r="R36" s="53">
        <f t="shared" si="11"/>
        <v>209</v>
      </c>
      <c r="S36" s="54"/>
      <c r="T36" s="54"/>
      <c r="U36" s="54"/>
      <c r="V36" s="54"/>
      <c r="W36" s="54"/>
      <c r="X36" s="54">
        <v>0</v>
      </c>
      <c r="Y36" s="54">
        <f t="shared" si="2"/>
        <v>0</v>
      </c>
      <c r="Z36" s="55"/>
      <c r="AA36" s="24" t="str">
        <f t="shared" si="12"/>
        <v>OK</v>
      </c>
      <c r="AB36" s="25">
        <f t="shared" si="13"/>
        <v>0</v>
      </c>
      <c r="AC36" s="56">
        <f t="shared" si="14"/>
        <v>0</v>
      </c>
      <c r="AD36" s="26" t="str">
        <f t="shared" si="15"/>
        <v>미준수</v>
      </c>
      <c r="AF36" s="57">
        <f t="shared" si="3"/>
        <v>0</v>
      </c>
      <c r="AG36" s="28">
        <f>IFERROR(ROUNDDOWN(IF(AF36&gt;87000000,1507400+31034600+(AF36-87000000)*0.45,IF(AF36&gt;45000000,1507400+13394600+(AF36-45000000)*0.42,IF(AF36&gt;30000000,1507400+7394600+(AF36-30000000)*0.4,IF(AF36&gt;28000000,1507400+6610600+(AF36-28000000)*0.98*0.4,IF(AF36&gt;14000000,1507400+1397000+(AF36-14000000)*0.98*0.38,IF(AF36&gt;10000000,1507400+25000+(AF36-10000000)*0.98*0.35,IF(AF36=10000000,1507400,VLOOKUP(AF36,간이세액표!$A$5:$M$651,(2+AR36),1)))))))),-1),0)-IF(AS36=0,0,IF(AS36=1,12500,IF(AQ21=2,29160,29160+(AS36-2)*25000)))</f>
        <v>0</v>
      </c>
      <c r="AH36" s="28">
        <f t="shared" si="4"/>
        <v>0</v>
      </c>
      <c r="AI36" s="29">
        <f t="shared" si="16"/>
        <v>0</v>
      </c>
      <c r="AJ36" s="28">
        <f t="shared" si="17"/>
        <v>0</v>
      </c>
      <c r="AK36" s="29">
        <f t="shared" si="18"/>
        <v>0</v>
      </c>
      <c r="AL36" s="29">
        <f t="shared" si="19"/>
        <v>0</v>
      </c>
      <c r="AM36" s="30"/>
      <c r="AN36" s="28">
        <f t="shared" si="5"/>
        <v>0</v>
      </c>
      <c r="AO36" s="31">
        <f t="shared" si="6"/>
        <v>0</v>
      </c>
      <c r="AQ36" s="58">
        <f t="shared" si="7"/>
        <v>0</v>
      </c>
      <c r="AR36" s="59">
        <v>1</v>
      </c>
      <c r="AS36" s="59"/>
    </row>
    <row r="37" spans="1:45" s="27" customFormat="1" ht="34.5" customHeight="1">
      <c r="A37" s="65"/>
      <c r="B37" s="45">
        <f t="shared" si="8"/>
        <v>18</v>
      </c>
      <c r="C37" s="39"/>
      <c r="D37" s="36"/>
      <c r="E37" s="36"/>
      <c r="F37" s="36"/>
      <c r="G37" s="36"/>
      <c r="H37" s="40"/>
      <c r="I37" s="37"/>
      <c r="J37" s="40"/>
      <c r="K37" s="46" t="s">
        <v>46</v>
      </c>
      <c r="L37" s="48">
        <v>8</v>
      </c>
      <c r="M37" s="49">
        <f t="shared" si="9"/>
        <v>209</v>
      </c>
      <c r="N37" s="50">
        <f t="shared" si="10"/>
        <v>0</v>
      </c>
      <c r="O37" s="51">
        <f t="shared" si="0"/>
        <v>0</v>
      </c>
      <c r="P37" s="52"/>
      <c r="Q37" s="53">
        <f t="shared" si="1"/>
        <v>0</v>
      </c>
      <c r="R37" s="53">
        <f t="shared" si="11"/>
        <v>209</v>
      </c>
      <c r="S37" s="54"/>
      <c r="T37" s="54"/>
      <c r="U37" s="54"/>
      <c r="V37" s="54"/>
      <c r="W37" s="54"/>
      <c r="X37" s="54">
        <v>0</v>
      </c>
      <c r="Y37" s="54">
        <f t="shared" si="2"/>
        <v>0</v>
      </c>
      <c r="Z37" s="55"/>
      <c r="AA37" s="24" t="str">
        <f t="shared" si="12"/>
        <v>OK</v>
      </c>
      <c r="AB37" s="25">
        <f t="shared" si="13"/>
        <v>0</v>
      </c>
      <c r="AC37" s="56">
        <f t="shared" si="14"/>
        <v>0</v>
      </c>
      <c r="AD37" s="26" t="str">
        <f t="shared" si="15"/>
        <v>미준수</v>
      </c>
      <c r="AF37" s="57">
        <f t="shared" si="3"/>
        <v>0</v>
      </c>
      <c r="AG37" s="28">
        <f>IFERROR(ROUNDDOWN(IF(AF37&gt;87000000,1507400+31034600+(AF37-87000000)*0.45,IF(AF37&gt;45000000,1507400+13394600+(AF37-45000000)*0.42,IF(AF37&gt;30000000,1507400+7394600+(AF37-30000000)*0.4,IF(AF37&gt;28000000,1507400+6610600+(AF37-28000000)*0.98*0.4,IF(AF37&gt;14000000,1507400+1397000+(AF37-14000000)*0.98*0.38,IF(AF37&gt;10000000,1507400+25000+(AF37-10000000)*0.98*0.35,IF(AF37=10000000,1507400,VLOOKUP(AF37,간이세액표!$A$5:$M$651,(2+AR37),1)))))))),-1),0)-IF(AS37=0,0,IF(AS37=1,12500,IF(AQ22=2,29160,29160+(AS37-2)*25000)))</f>
        <v>0</v>
      </c>
      <c r="AH37" s="28">
        <f t="shared" si="4"/>
        <v>0</v>
      </c>
      <c r="AI37" s="29">
        <f t="shared" si="16"/>
        <v>0</v>
      </c>
      <c r="AJ37" s="28">
        <f t="shared" si="17"/>
        <v>0</v>
      </c>
      <c r="AK37" s="29">
        <f t="shared" si="18"/>
        <v>0</v>
      </c>
      <c r="AL37" s="29">
        <f t="shared" si="19"/>
        <v>0</v>
      </c>
      <c r="AM37" s="30"/>
      <c r="AN37" s="28">
        <f t="shared" si="5"/>
        <v>0</v>
      </c>
      <c r="AO37" s="31">
        <f t="shared" si="6"/>
        <v>0</v>
      </c>
      <c r="AQ37" s="58">
        <f t="shared" si="7"/>
        <v>0</v>
      </c>
      <c r="AR37" s="59">
        <v>1</v>
      </c>
      <c r="AS37" s="59"/>
    </row>
    <row r="38" spans="1:45" s="27" customFormat="1" ht="34.5" customHeight="1">
      <c r="A38" s="65"/>
      <c r="B38" s="45">
        <f t="shared" si="8"/>
        <v>19</v>
      </c>
      <c r="C38" s="39"/>
      <c r="D38" s="36"/>
      <c r="E38" s="36"/>
      <c r="F38" s="36"/>
      <c r="G38" s="36"/>
      <c r="H38" s="40"/>
      <c r="I38" s="37"/>
      <c r="J38" s="40"/>
      <c r="K38" s="46" t="s">
        <v>46</v>
      </c>
      <c r="L38" s="48">
        <v>8</v>
      </c>
      <c r="M38" s="49">
        <f t="shared" si="9"/>
        <v>209</v>
      </c>
      <c r="N38" s="50">
        <f t="shared" si="10"/>
        <v>0</v>
      </c>
      <c r="O38" s="51">
        <f t="shared" si="0"/>
        <v>0</v>
      </c>
      <c r="P38" s="52"/>
      <c r="Q38" s="53">
        <f t="shared" si="1"/>
        <v>0</v>
      </c>
      <c r="R38" s="53">
        <f t="shared" si="11"/>
        <v>209</v>
      </c>
      <c r="S38" s="54"/>
      <c r="T38" s="54"/>
      <c r="U38" s="54"/>
      <c r="V38" s="54"/>
      <c r="W38" s="54"/>
      <c r="X38" s="54">
        <v>0</v>
      </c>
      <c r="Y38" s="54">
        <f t="shared" si="2"/>
        <v>0</v>
      </c>
      <c r="Z38" s="55"/>
      <c r="AA38" s="24" t="str">
        <f t="shared" si="12"/>
        <v>OK</v>
      </c>
      <c r="AB38" s="25">
        <f t="shared" si="13"/>
        <v>0</v>
      </c>
      <c r="AC38" s="56">
        <f t="shared" si="14"/>
        <v>0</v>
      </c>
      <c r="AD38" s="26" t="str">
        <f t="shared" si="15"/>
        <v>미준수</v>
      </c>
      <c r="AF38" s="57">
        <f t="shared" si="3"/>
        <v>0</v>
      </c>
      <c r="AG38" s="28">
        <f>IFERROR(ROUNDDOWN(IF(AF38&gt;87000000,1507400+31034600+(AF38-87000000)*0.45,IF(AF38&gt;45000000,1507400+13394600+(AF38-45000000)*0.42,IF(AF38&gt;30000000,1507400+7394600+(AF38-30000000)*0.4,IF(AF38&gt;28000000,1507400+6610600+(AF38-28000000)*0.98*0.4,IF(AF38&gt;14000000,1507400+1397000+(AF38-14000000)*0.98*0.38,IF(AF38&gt;10000000,1507400+25000+(AF38-10000000)*0.98*0.35,IF(AF38=10000000,1507400,VLOOKUP(AF38,간이세액표!$A$5:$M$651,(2+AR38),1)))))))),-1),0)-IF(AS38=0,0,IF(AS38=1,12500,IF(AQ23=2,29160,29160+(AS38-2)*25000)))</f>
        <v>0</v>
      </c>
      <c r="AH38" s="28">
        <f t="shared" si="4"/>
        <v>0</v>
      </c>
      <c r="AI38" s="29">
        <f t="shared" si="16"/>
        <v>0</v>
      </c>
      <c r="AJ38" s="28">
        <f t="shared" si="17"/>
        <v>0</v>
      </c>
      <c r="AK38" s="29">
        <f t="shared" si="18"/>
        <v>0</v>
      </c>
      <c r="AL38" s="29">
        <f t="shared" si="19"/>
        <v>0</v>
      </c>
      <c r="AM38" s="30"/>
      <c r="AN38" s="28">
        <f t="shared" si="5"/>
        <v>0</v>
      </c>
      <c r="AO38" s="31">
        <f t="shared" si="6"/>
        <v>0</v>
      </c>
      <c r="AQ38" s="58">
        <f t="shared" si="7"/>
        <v>0</v>
      </c>
      <c r="AR38" s="59">
        <v>1</v>
      </c>
      <c r="AS38" s="59"/>
    </row>
    <row r="39" spans="1:45" s="27" customFormat="1" ht="34.5" customHeight="1">
      <c r="A39" s="23"/>
      <c r="B39" s="45">
        <f t="shared" si="8"/>
        <v>20</v>
      </c>
      <c r="C39" s="39"/>
      <c r="D39" s="36"/>
      <c r="E39" s="36"/>
      <c r="F39" s="36"/>
      <c r="G39" s="36"/>
      <c r="H39" s="40"/>
      <c r="I39" s="37"/>
      <c r="J39" s="40"/>
      <c r="K39" s="46" t="s">
        <v>46</v>
      </c>
      <c r="L39" s="48">
        <v>8</v>
      </c>
      <c r="M39" s="49">
        <f t="shared" si="9"/>
        <v>209</v>
      </c>
      <c r="N39" s="50">
        <f t="shared" si="10"/>
        <v>0</v>
      </c>
      <c r="O39" s="51">
        <f t="shared" si="0"/>
        <v>0</v>
      </c>
      <c r="P39" s="52"/>
      <c r="Q39" s="53">
        <f t="shared" si="1"/>
        <v>0</v>
      </c>
      <c r="R39" s="53">
        <f t="shared" si="11"/>
        <v>209</v>
      </c>
      <c r="S39" s="54"/>
      <c r="T39" s="54"/>
      <c r="U39" s="54"/>
      <c r="V39" s="54"/>
      <c r="W39" s="54"/>
      <c r="X39" s="54">
        <v>0</v>
      </c>
      <c r="Y39" s="54">
        <f t="shared" si="2"/>
        <v>0</v>
      </c>
      <c r="Z39" s="55"/>
      <c r="AA39" s="24" t="str">
        <f t="shared" si="12"/>
        <v>OK</v>
      </c>
      <c r="AB39" s="25">
        <f t="shared" si="13"/>
        <v>0</v>
      </c>
      <c r="AC39" s="56">
        <f t="shared" si="14"/>
        <v>0</v>
      </c>
      <c r="AD39" s="26" t="str">
        <f t="shared" si="15"/>
        <v>미준수</v>
      </c>
      <c r="AF39" s="57">
        <f t="shared" si="3"/>
        <v>0</v>
      </c>
      <c r="AG39" s="28">
        <f>IFERROR(ROUNDDOWN(IF(AF39&gt;87000000,1507400+31034600+(AF39-87000000)*0.45,IF(AF39&gt;45000000,1507400+13394600+(AF39-45000000)*0.42,IF(AF39&gt;30000000,1507400+7394600+(AF39-30000000)*0.4,IF(AF39&gt;28000000,1507400+6610600+(AF39-28000000)*0.98*0.4,IF(AF39&gt;14000000,1507400+1397000+(AF39-14000000)*0.98*0.38,IF(AF39&gt;10000000,1507400+25000+(AF39-10000000)*0.98*0.35,IF(AF39=10000000,1507400,VLOOKUP(AF39,간이세액표!$A$5:$M$651,(2+AR39),1)))))))),-1),0)-IF(AS39=0,0,IF(AS39=1,12500,IF(AQ24=2,29160,29160+(AS39-2)*25000)))</f>
        <v>0</v>
      </c>
      <c r="AH39" s="28">
        <f t="shared" si="4"/>
        <v>0</v>
      </c>
      <c r="AI39" s="29">
        <f t="shared" si="16"/>
        <v>0</v>
      </c>
      <c r="AJ39" s="28">
        <f t="shared" si="17"/>
        <v>0</v>
      </c>
      <c r="AK39" s="29">
        <f t="shared" si="18"/>
        <v>0</v>
      </c>
      <c r="AL39" s="29">
        <f t="shared" si="19"/>
        <v>0</v>
      </c>
      <c r="AM39" s="30"/>
      <c r="AN39" s="28">
        <f t="shared" si="5"/>
        <v>0</v>
      </c>
      <c r="AO39" s="31">
        <f t="shared" si="6"/>
        <v>0</v>
      </c>
      <c r="AQ39" s="58">
        <f t="shared" si="7"/>
        <v>0</v>
      </c>
      <c r="AR39" s="59">
        <v>1</v>
      </c>
      <c r="AS39" s="59"/>
    </row>
    <row r="40" spans="1:45" s="27" customFormat="1" ht="34.5" customHeight="1">
      <c r="A40" s="65"/>
      <c r="B40" s="45">
        <f t="shared" si="8"/>
        <v>21</v>
      </c>
      <c r="C40" s="39"/>
      <c r="D40" s="36"/>
      <c r="E40" s="36"/>
      <c r="F40" s="36"/>
      <c r="G40" s="36"/>
      <c r="H40" s="40"/>
      <c r="I40" s="37"/>
      <c r="J40" s="40"/>
      <c r="K40" s="46" t="s">
        <v>46</v>
      </c>
      <c r="L40" s="48">
        <v>8</v>
      </c>
      <c r="M40" s="49">
        <f t="shared" si="9"/>
        <v>209</v>
      </c>
      <c r="N40" s="50">
        <f t="shared" si="10"/>
        <v>0</v>
      </c>
      <c r="O40" s="51">
        <f t="shared" si="0"/>
        <v>0</v>
      </c>
      <c r="P40" s="52"/>
      <c r="Q40" s="53">
        <f t="shared" si="1"/>
        <v>0</v>
      </c>
      <c r="R40" s="53">
        <f t="shared" si="11"/>
        <v>209</v>
      </c>
      <c r="S40" s="54"/>
      <c r="T40" s="54"/>
      <c r="U40" s="54"/>
      <c r="V40" s="54"/>
      <c r="W40" s="54"/>
      <c r="X40" s="54">
        <v>0</v>
      </c>
      <c r="Y40" s="54">
        <f t="shared" si="2"/>
        <v>0</v>
      </c>
      <c r="Z40" s="55"/>
      <c r="AA40" s="24" t="str">
        <f t="shared" si="12"/>
        <v>OK</v>
      </c>
      <c r="AB40" s="25">
        <f t="shared" si="13"/>
        <v>0</v>
      </c>
      <c r="AC40" s="56">
        <f t="shared" si="14"/>
        <v>0</v>
      </c>
      <c r="AD40" s="26" t="str">
        <f t="shared" si="15"/>
        <v>미준수</v>
      </c>
      <c r="AF40" s="57">
        <f t="shared" si="3"/>
        <v>0</v>
      </c>
      <c r="AG40" s="28">
        <f>IFERROR(ROUNDDOWN(IF(AF40&gt;87000000,1507400+31034600+(AF40-87000000)*0.45,IF(AF40&gt;45000000,1507400+13394600+(AF40-45000000)*0.42,IF(AF40&gt;30000000,1507400+7394600+(AF40-30000000)*0.4,IF(AF40&gt;28000000,1507400+6610600+(AF40-28000000)*0.98*0.4,IF(AF40&gt;14000000,1507400+1397000+(AF40-14000000)*0.98*0.38,IF(AF40&gt;10000000,1507400+25000+(AF40-10000000)*0.98*0.35,IF(AF40=10000000,1507400,VLOOKUP(AF40,간이세액표!$A$5:$M$651,(2+AR40),1)))))))),-1),0)-IF(AS40=0,0,IF(AS40=1,12500,IF(AQ25=2,29160,29160+(AS40-2)*25000)))</f>
        <v>0</v>
      </c>
      <c r="AH40" s="28">
        <f t="shared" si="4"/>
        <v>0</v>
      </c>
      <c r="AI40" s="29">
        <f t="shared" si="16"/>
        <v>0</v>
      </c>
      <c r="AJ40" s="28">
        <f t="shared" si="17"/>
        <v>0</v>
      </c>
      <c r="AK40" s="29">
        <f t="shared" si="18"/>
        <v>0</v>
      </c>
      <c r="AL40" s="29">
        <f t="shared" si="19"/>
        <v>0</v>
      </c>
      <c r="AM40" s="30"/>
      <c r="AN40" s="28">
        <f t="shared" si="5"/>
        <v>0</v>
      </c>
      <c r="AO40" s="31">
        <f t="shared" si="6"/>
        <v>0</v>
      </c>
      <c r="AQ40" s="58">
        <f t="shared" si="7"/>
        <v>0</v>
      </c>
      <c r="AR40" s="59">
        <v>1</v>
      </c>
      <c r="AS40" s="59"/>
    </row>
    <row r="41" spans="1:45" s="27" customFormat="1" ht="34.5" customHeight="1">
      <c r="A41" s="65"/>
      <c r="B41" s="45">
        <f t="shared" si="8"/>
        <v>22</v>
      </c>
      <c r="C41" s="39"/>
      <c r="D41" s="36"/>
      <c r="E41" s="36"/>
      <c r="F41" s="36"/>
      <c r="G41" s="36"/>
      <c r="H41" s="40"/>
      <c r="I41" s="37"/>
      <c r="J41" s="40"/>
      <c r="K41" s="46" t="s">
        <v>46</v>
      </c>
      <c r="L41" s="48">
        <v>8</v>
      </c>
      <c r="M41" s="49">
        <f t="shared" si="9"/>
        <v>209</v>
      </c>
      <c r="N41" s="50">
        <f t="shared" si="10"/>
        <v>0</v>
      </c>
      <c r="O41" s="51">
        <f t="shared" si="0"/>
        <v>0</v>
      </c>
      <c r="P41" s="52"/>
      <c r="Q41" s="53">
        <f t="shared" si="1"/>
        <v>0</v>
      </c>
      <c r="R41" s="53">
        <f t="shared" si="11"/>
        <v>209</v>
      </c>
      <c r="S41" s="54"/>
      <c r="T41" s="54"/>
      <c r="U41" s="54"/>
      <c r="V41" s="54"/>
      <c r="W41" s="54"/>
      <c r="X41" s="54">
        <v>0</v>
      </c>
      <c r="Y41" s="54">
        <f t="shared" si="2"/>
        <v>0</v>
      </c>
      <c r="Z41" s="55"/>
      <c r="AA41" s="24" t="str">
        <f t="shared" si="12"/>
        <v>OK</v>
      </c>
      <c r="AB41" s="25">
        <f t="shared" si="13"/>
        <v>0</v>
      </c>
      <c r="AC41" s="56">
        <f t="shared" si="14"/>
        <v>0</v>
      </c>
      <c r="AD41" s="26" t="str">
        <f t="shared" si="15"/>
        <v>미준수</v>
      </c>
      <c r="AF41" s="57">
        <f t="shared" si="3"/>
        <v>0</v>
      </c>
      <c r="AG41" s="28">
        <f>IFERROR(ROUNDDOWN(IF(AF41&gt;87000000,1507400+31034600+(AF41-87000000)*0.45,IF(AF41&gt;45000000,1507400+13394600+(AF41-45000000)*0.42,IF(AF41&gt;30000000,1507400+7394600+(AF41-30000000)*0.4,IF(AF41&gt;28000000,1507400+6610600+(AF41-28000000)*0.98*0.4,IF(AF41&gt;14000000,1507400+1397000+(AF41-14000000)*0.98*0.38,IF(AF41&gt;10000000,1507400+25000+(AF41-10000000)*0.98*0.35,IF(AF41=10000000,1507400,VLOOKUP(AF41,간이세액표!$A$5:$M$651,(2+AR41),1)))))))),-1),0)-IF(AS41=0,0,IF(AS41=1,12500,IF(AQ26=2,29160,29160+(AS41-2)*25000)))</f>
        <v>0</v>
      </c>
      <c r="AH41" s="28">
        <f t="shared" si="4"/>
        <v>0</v>
      </c>
      <c r="AI41" s="29">
        <f t="shared" si="16"/>
        <v>0</v>
      </c>
      <c r="AJ41" s="28">
        <f t="shared" si="17"/>
        <v>0</v>
      </c>
      <c r="AK41" s="29">
        <f t="shared" si="18"/>
        <v>0</v>
      </c>
      <c r="AL41" s="29">
        <f t="shared" si="19"/>
        <v>0</v>
      </c>
      <c r="AM41" s="30"/>
      <c r="AN41" s="28">
        <f t="shared" si="5"/>
        <v>0</v>
      </c>
      <c r="AO41" s="31">
        <f t="shared" si="6"/>
        <v>0</v>
      </c>
      <c r="AQ41" s="58">
        <f t="shared" si="7"/>
        <v>0</v>
      </c>
      <c r="AR41" s="59">
        <v>1</v>
      </c>
      <c r="AS41" s="59"/>
    </row>
    <row r="42" spans="1:45" s="27" customFormat="1" ht="34.5" customHeight="1">
      <c r="A42" s="65"/>
      <c r="B42" s="45">
        <f t="shared" si="8"/>
        <v>23</v>
      </c>
      <c r="C42" s="39"/>
      <c r="D42" s="36"/>
      <c r="E42" s="36"/>
      <c r="F42" s="36"/>
      <c r="G42" s="36"/>
      <c r="H42" s="40"/>
      <c r="I42" s="37"/>
      <c r="J42" s="40"/>
      <c r="K42" s="46" t="s">
        <v>46</v>
      </c>
      <c r="L42" s="48">
        <v>8</v>
      </c>
      <c r="M42" s="49">
        <f t="shared" si="9"/>
        <v>209</v>
      </c>
      <c r="N42" s="50">
        <f t="shared" si="10"/>
        <v>0</v>
      </c>
      <c r="O42" s="51">
        <f t="shared" si="0"/>
        <v>0</v>
      </c>
      <c r="P42" s="52"/>
      <c r="Q42" s="53">
        <f t="shared" si="1"/>
        <v>0</v>
      </c>
      <c r="R42" s="53">
        <f t="shared" si="11"/>
        <v>209</v>
      </c>
      <c r="S42" s="54"/>
      <c r="T42" s="54"/>
      <c r="U42" s="54"/>
      <c r="V42" s="54"/>
      <c r="W42" s="54"/>
      <c r="X42" s="54">
        <v>0</v>
      </c>
      <c r="Y42" s="54">
        <f t="shared" si="2"/>
        <v>0</v>
      </c>
      <c r="Z42" s="55"/>
      <c r="AA42" s="24" t="str">
        <f t="shared" si="12"/>
        <v>OK</v>
      </c>
      <c r="AB42" s="25">
        <f t="shared" si="13"/>
        <v>0</v>
      </c>
      <c r="AC42" s="56">
        <f t="shared" si="14"/>
        <v>0</v>
      </c>
      <c r="AD42" s="26" t="str">
        <f t="shared" si="15"/>
        <v>미준수</v>
      </c>
      <c r="AF42" s="57">
        <f t="shared" si="3"/>
        <v>0</v>
      </c>
      <c r="AG42" s="28">
        <f>IFERROR(ROUNDDOWN(IF(AF42&gt;87000000,1507400+31034600+(AF42-87000000)*0.45,IF(AF42&gt;45000000,1507400+13394600+(AF42-45000000)*0.42,IF(AF42&gt;30000000,1507400+7394600+(AF42-30000000)*0.4,IF(AF42&gt;28000000,1507400+6610600+(AF42-28000000)*0.98*0.4,IF(AF42&gt;14000000,1507400+1397000+(AF42-14000000)*0.98*0.38,IF(AF42&gt;10000000,1507400+25000+(AF42-10000000)*0.98*0.35,IF(AF42=10000000,1507400,VLOOKUP(AF42,간이세액표!$A$5:$M$651,(2+AR42),1)))))))),-1),0)-IF(AS42=0,0,IF(AS42=1,12500,IF(AQ27=2,29160,29160+(AS42-2)*25000)))</f>
        <v>0</v>
      </c>
      <c r="AH42" s="28">
        <f t="shared" si="4"/>
        <v>0</v>
      </c>
      <c r="AI42" s="29">
        <f t="shared" si="16"/>
        <v>0</v>
      </c>
      <c r="AJ42" s="28">
        <f t="shared" si="17"/>
        <v>0</v>
      </c>
      <c r="AK42" s="29">
        <f t="shared" si="18"/>
        <v>0</v>
      </c>
      <c r="AL42" s="29">
        <f t="shared" si="19"/>
        <v>0</v>
      </c>
      <c r="AM42" s="30"/>
      <c r="AN42" s="28">
        <f t="shared" si="5"/>
        <v>0</v>
      </c>
      <c r="AO42" s="31">
        <f t="shared" si="6"/>
        <v>0</v>
      </c>
      <c r="AQ42" s="58">
        <f t="shared" si="7"/>
        <v>0</v>
      </c>
      <c r="AR42" s="59">
        <v>1</v>
      </c>
      <c r="AS42" s="59"/>
    </row>
    <row r="43" spans="1:45" s="27" customFormat="1" ht="34.5" customHeight="1">
      <c r="A43" s="23"/>
      <c r="B43" s="45">
        <f t="shared" si="8"/>
        <v>24</v>
      </c>
      <c r="C43" s="39"/>
      <c r="D43" s="36"/>
      <c r="E43" s="36"/>
      <c r="F43" s="36"/>
      <c r="G43" s="36"/>
      <c r="H43" s="40"/>
      <c r="I43" s="37"/>
      <c r="J43" s="40"/>
      <c r="K43" s="46" t="s">
        <v>46</v>
      </c>
      <c r="L43" s="48">
        <v>8</v>
      </c>
      <c r="M43" s="49">
        <f t="shared" si="9"/>
        <v>209</v>
      </c>
      <c r="N43" s="50">
        <f t="shared" si="10"/>
        <v>0</v>
      </c>
      <c r="O43" s="51">
        <f t="shared" si="0"/>
        <v>0</v>
      </c>
      <c r="P43" s="52"/>
      <c r="Q43" s="53">
        <f t="shared" si="1"/>
        <v>0</v>
      </c>
      <c r="R43" s="53">
        <f t="shared" si="11"/>
        <v>209</v>
      </c>
      <c r="S43" s="54"/>
      <c r="T43" s="54"/>
      <c r="U43" s="54"/>
      <c r="V43" s="54"/>
      <c r="W43" s="54"/>
      <c r="X43" s="54">
        <v>0</v>
      </c>
      <c r="Y43" s="54">
        <f t="shared" si="2"/>
        <v>0</v>
      </c>
      <c r="Z43" s="55"/>
      <c r="AA43" s="24" t="str">
        <f t="shared" si="12"/>
        <v>OK</v>
      </c>
      <c r="AB43" s="25">
        <f t="shared" si="13"/>
        <v>0</v>
      </c>
      <c r="AC43" s="56">
        <f t="shared" si="14"/>
        <v>0</v>
      </c>
      <c r="AD43" s="26" t="str">
        <f t="shared" si="15"/>
        <v>미준수</v>
      </c>
      <c r="AF43" s="57">
        <f t="shared" si="3"/>
        <v>0</v>
      </c>
      <c r="AG43" s="28">
        <f>IFERROR(ROUNDDOWN(IF(AF43&gt;87000000,1507400+31034600+(AF43-87000000)*0.45,IF(AF43&gt;45000000,1507400+13394600+(AF43-45000000)*0.42,IF(AF43&gt;30000000,1507400+7394600+(AF43-30000000)*0.4,IF(AF43&gt;28000000,1507400+6610600+(AF43-28000000)*0.98*0.4,IF(AF43&gt;14000000,1507400+1397000+(AF43-14000000)*0.98*0.38,IF(AF43&gt;10000000,1507400+25000+(AF43-10000000)*0.98*0.35,IF(AF43=10000000,1507400,VLOOKUP(AF43,간이세액표!$A$5:$M$651,(2+AR43),1)))))))),-1),0)-IF(AS43=0,0,IF(AS43=1,12500,IF(AQ28=2,29160,29160+(AS43-2)*25000)))</f>
        <v>0</v>
      </c>
      <c r="AH43" s="28">
        <f t="shared" si="4"/>
        <v>0</v>
      </c>
      <c r="AI43" s="29">
        <f t="shared" si="16"/>
        <v>0</v>
      </c>
      <c r="AJ43" s="28">
        <f t="shared" si="17"/>
        <v>0</v>
      </c>
      <c r="AK43" s="29">
        <f t="shared" si="18"/>
        <v>0</v>
      </c>
      <c r="AL43" s="29">
        <f t="shared" si="19"/>
        <v>0</v>
      </c>
      <c r="AM43" s="30"/>
      <c r="AN43" s="28">
        <f t="shared" si="5"/>
        <v>0</v>
      </c>
      <c r="AO43" s="31">
        <f t="shared" si="6"/>
        <v>0</v>
      </c>
      <c r="AQ43" s="58">
        <f t="shared" si="7"/>
        <v>0</v>
      </c>
      <c r="AR43" s="59">
        <v>1</v>
      </c>
      <c r="AS43" s="59"/>
    </row>
    <row r="44" spans="1:45" s="27" customFormat="1" ht="34.5" customHeight="1">
      <c r="A44" s="23"/>
      <c r="B44" s="45">
        <f t="shared" si="8"/>
        <v>25</v>
      </c>
      <c r="C44" s="39"/>
      <c r="D44" s="36"/>
      <c r="E44" s="36"/>
      <c r="F44" s="36"/>
      <c r="G44" s="36"/>
      <c r="H44" s="40"/>
      <c r="I44" s="37"/>
      <c r="J44" s="40"/>
      <c r="K44" s="46" t="s">
        <v>46</v>
      </c>
      <c r="L44" s="48">
        <v>8</v>
      </c>
      <c r="M44" s="49">
        <f t="shared" si="9"/>
        <v>209</v>
      </c>
      <c r="N44" s="50">
        <f t="shared" si="10"/>
        <v>0</v>
      </c>
      <c r="O44" s="51">
        <f t="shared" si="0"/>
        <v>0</v>
      </c>
      <c r="P44" s="52"/>
      <c r="Q44" s="53">
        <f t="shared" si="1"/>
        <v>0</v>
      </c>
      <c r="R44" s="53">
        <f t="shared" si="11"/>
        <v>209</v>
      </c>
      <c r="S44" s="54"/>
      <c r="T44" s="54"/>
      <c r="U44" s="54"/>
      <c r="V44" s="54"/>
      <c r="W44" s="54"/>
      <c r="X44" s="54">
        <v>0</v>
      </c>
      <c r="Y44" s="54">
        <f t="shared" si="2"/>
        <v>0</v>
      </c>
      <c r="Z44" s="55"/>
      <c r="AA44" s="24" t="str">
        <f t="shared" si="12"/>
        <v>OK</v>
      </c>
      <c r="AB44" s="25">
        <f t="shared" si="13"/>
        <v>0</v>
      </c>
      <c r="AC44" s="56">
        <f t="shared" si="14"/>
        <v>0</v>
      </c>
      <c r="AD44" s="26" t="str">
        <f t="shared" si="15"/>
        <v>미준수</v>
      </c>
      <c r="AF44" s="57">
        <f t="shared" si="3"/>
        <v>0</v>
      </c>
      <c r="AG44" s="28">
        <f>IFERROR(ROUNDDOWN(IF(AF44&gt;87000000,1507400+31034600+(AF44-87000000)*0.45,IF(AF44&gt;45000000,1507400+13394600+(AF44-45000000)*0.42,IF(AF44&gt;30000000,1507400+7394600+(AF44-30000000)*0.4,IF(AF44&gt;28000000,1507400+6610600+(AF44-28000000)*0.98*0.4,IF(AF44&gt;14000000,1507400+1397000+(AF44-14000000)*0.98*0.38,IF(AF44&gt;10000000,1507400+25000+(AF44-10000000)*0.98*0.35,IF(AF44=10000000,1507400,VLOOKUP(AF44,간이세액표!$A$5:$M$651,(2+AR44),1)))))))),-1),0)-IF(AS44=0,0,IF(AS44=1,12500,IF(AQ29=2,29160,29160+(AS44-2)*25000)))</f>
        <v>0</v>
      </c>
      <c r="AH44" s="28">
        <f t="shared" si="4"/>
        <v>0</v>
      </c>
      <c r="AI44" s="29">
        <f t="shared" si="16"/>
        <v>0</v>
      </c>
      <c r="AJ44" s="28">
        <f t="shared" si="17"/>
        <v>0</v>
      </c>
      <c r="AK44" s="29">
        <f t="shared" si="18"/>
        <v>0</v>
      </c>
      <c r="AL44" s="29">
        <f t="shared" si="19"/>
        <v>0</v>
      </c>
      <c r="AM44" s="30"/>
      <c r="AN44" s="28">
        <f t="shared" si="5"/>
        <v>0</v>
      </c>
      <c r="AO44" s="31">
        <f t="shared" si="6"/>
        <v>0</v>
      </c>
      <c r="AQ44" s="58">
        <f t="shared" si="7"/>
        <v>0</v>
      </c>
      <c r="AR44" s="59">
        <v>1</v>
      </c>
      <c r="AS44" s="59"/>
    </row>
    <row r="45" spans="1:45" s="27" customFormat="1" ht="34.5" customHeight="1">
      <c r="A45" s="23"/>
      <c r="B45" s="45">
        <f t="shared" si="8"/>
        <v>26</v>
      </c>
      <c r="C45" s="39"/>
      <c r="D45" s="36"/>
      <c r="E45" s="36"/>
      <c r="F45" s="36"/>
      <c r="G45" s="36"/>
      <c r="H45" s="40"/>
      <c r="I45" s="37"/>
      <c r="J45" s="40"/>
      <c r="K45" s="46" t="s">
        <v>46</v>
      </c>
      <c r="L45" s="48">
        <v>8</v>
      </c>
      <c r="M45" s="49">
        <f t="shared" si="9"/>
        <v>209</v>
      </c>
      <c r="N45" s="50">
        <f t="shared" si="10"/>
        <v>0</v>
      </c>
      <c r="O45" s="51">
        <f t="shared" si="0"/>
        <v>0</v>
      </c>
      <c r="P45" s="52"/>
      <c r="Q45" s="53">
        <f t="shared" si="1"/>
        <v>0</v>
      </c>
      <c r="R45" s="53">
        <f t="shared" si="11"/>
        <v>209</v>
      </c>
      <c r="S45" s="54"/>
      <c r="T45" s="54"/>
      <c r="U45" s="54"/>
      <c r="V45" s="54"/>
      <c r="W45" s="54"/>
      <c r="X45" s="54">
        <v>0</v>
      </c>
      <c r="Y45" s="54">
        <f t="shared" si="2"/>
        <v>0</v>
      </c>
      <c r="Z45" s="55"/>
      <c r="AA45" s="24" t="str">
        <f t="shared" si="12"/>
        <v>OK</v>
      </c>
      <c r="AB45" s="25">
        <f t="shared" si="13"/>
        <v>0</v>
      </c>
      <c r="AC45" s="56">
        <f t="shared" si="14"/>
        <v>0</v>
      </c>
      <c r="AD45" s="26" t="str">
        <f t="shared" si="15"/>
        <v>미준수</v>
      </c>
      <c r="AF45" s="57">
        <f t="shared" si="3"/>
        <v>0</v>
      </c>
      <c r="AG45" s="28">
        <f>IFERROR(ROUNDDOWN(IF(AF45&gt;87000000,1507400+31034600+(AF45-87000000)*0.45,IF(AF45&gt;45000000,1507400+13394600+(AF45-45000000)*0.42,IF(AF45&gt;30000000,1507400+7394600+(AF45-30000000)*0.4,IF(AF45&gt;28000000,1507400+6610600+(AF45-28000000)*0.98*0.4,IF(AF45&gt;14000000,1507400+1397000+(AF45-14000000)*0.98*0.38,IF(AF45&gt;10000000,1507400+25000+(AF45-10000000)*0.98*0.35,IF(AF45=10000000,1507400,VLOOKUP(AF45,간이세액표!$A$5:$M$651,(2+AR45),1)))))))),-1),0)-IF(AS45=0,0,IF(AS45=1,12500,IF(AQ30=2,29160,29160+(AS45-2)*25000)))</f>
        <v>0</v>
      </c>
      <c r="AH45" s="28">
        <f t="shared" si="4"/>
        <v>0</v>
      </c>
      <c r="AI45" s="29">
        <f t="shared" si="16"/>
        <v>0</v>
      </c>
      <c r="AJ45" s="28">
        <f t="shared" si="17"/>
        <v>0</v>
      </c>
      <c r="AK45" s="29">
        <f t="shared" si="18"/>
        <v>0</v>
      </c>
      <c r="AL45" s="29">
        <f t="shared" si="19"/>
        <v>0</v>
      </c>
      <c r="AM45" s="30"/>
      <c r="AN45" s="28">
        <f t="shared" si="5"/>
        <v>0</v>
      </c>
      <c r="AO45" s="31">
        <f t="shared" si="6"/>
        <v>0</v>
      </c>
      <c r="AQ45" s="58">
        <f t="shared" si="7"/>
        <v>0</v>
      </c>
      <c r="AR45" s="59">
        <v>1</v>
      </c>
      <c r="AS45" s="59"/>
    </row>
    <row r="46" spans="1:45" s="27" customFormat="1" ht="34.5" customHeight="1">
      <c r="A46" s="23"/>
      <c r="B46" s="45">
        <f t="shared" si="8"/>
        <v>27</v>
      </c>
      <c r="C46" s="39"/>
      <c r="D46" s="36"/>
      <c r="E46" s="36"/>
      <c r="F46" s="36"/>
      <c r="G46" s="36"/>
      <c r="H46" s="40"/>
      <c r="I46" s="37"/>
      <c r="J46" s="40"/>
      <c r="K46" s="46" t="s">
        <v>46</v>
      </c>
      <c r="L46" s="48">
        <v>8</v>
      </c>
      <c r="M46" s="49">
        <f t="shared" si="9"/>
        <v>209</v>
      </c>
      <c r="N46" s="50">
        <f t="shared" si="10"/>
        <v>0</v>
      </c>
      <c r="O46" s="51">
        <f t="shared" si="0"/>
        <v>0</v>
      </c>
      <c r="P46" s="52"/>
      <c r="Q46" s="53">
        <f t="shared" si="1"/>
        <v>0</v>
      </c>
      <c r="R46" s="53">
        <f t="shared" si="11"/>
        <v>209</v>
      </c>
      <c r="S46" s="54"/>
      <c r="T46" s="54"/>
      <c r="U46" s="54"/>
      <c r="V46" s="54"/>
      <c r="W46" s="54"/>
      <c r="X46" s="54">
        <v>0</v>
      </c>
      <c r="Y46" s="54">
        <f t="shared" si="2"/>
        <v>0</v>
      </c>
      <c r="Z46" s="55"/>
      <c r="AA46" s="24" t="str">
        <f t="shared" si="12"/>
        <v>OK</v>
      </c>
      <c r="AB46" s="25">
        <f t="shared" si="13"/>
        <v>0</v>
      </c>
      <c r="AC46" s="56">
        <f t="shared" si="14"/>
        <v>0</v>
      </c>
      <c r="AD46" s="26" t="str">
        <f t="shared" si="15"/>
        <v>미준수</v>
      </c>
      <c r="AF46" s="57">
        <f t="shared" si="3"/>
        <v>0</v>
      </c>
      <c r="AG46" s="28">
        <f>IFERROR(ROUNDDOWN(IF(AF46&gt;87000000,1507400+31034600+(AF46-87000000)*0.45,IF(AF46&gt;45000000,1507400+13394600+(AF46-45000000)*0.42,IF(AF46&gt;30000000,1507400+7394600+(AF46-30000000)*0.4,IF(AF46&gt;28000000,1507400+6610600+(AF46-28000000)*0.98*0.4,IF(AF46&gt;14000000,1507400+1397000+(AF46-14000000)*0.98*0.38,IF(AF46&gt;10000000,1507400+25000+(AF46-10000000)*0.98*0.35,IF(AF46=10000000,1507400,VLOOKUP(AF46,간이세액표!$A$5:$M$651,(2+AR46),1)))))))),-1),0)-IF(AS46=0,0,IF(AS46=1,12500,IF(AQ31=2,29160,29160+(AS46-2)*25000)))</f>
        <v>0</v>
      </c>
      <c r="AH46" s="28">
        <f t="shared" si="4"/>
        <v>0</v>
      </c>
      <c r="AI46" s="29">
        <f t="shared" si="16"/>
        <v>0</v>
      </c>
      <c r="AJ46" s="28">
        <f t="shared" si="17"/>
        <v>0</v>
      </c>
      <c r="AK46" s="29">
        <f t="shared" si="18"/>
        <v>0</v>
      </c>
      <c r="AL46" s="29">
        <f t="shared" si="19"/>
        <v>0</v>
      </c>
      <c r="AM46" s="30"/>
      <c r="AN46" s="28">
        <f t="shared" si="5"/>
        <v>0</v>
      </c>
      <c r="AO46" s="31">
        <f t="shared" si="6"/>
        <v>0</v>
      </c>
      <c r="AQ46" s="58">
        <f t="shared" si="7"/>
        <v>0</v>
      </c>
      <c r="AR46" s="59">
        <v>1</v>
      </c>
      <c r="AS46" s="59"/>
    </row>
    <row r="47" spans="1:45" s="1" customFormat="1" ht="17.25">
      <c r="A47"/>
      <c r="B47"/>
      <c r="C47" s="1">
        <v>1</v>
      </c>
      <c r="K47" s="1">
        <v>9</v>
      </c>
      <c r="L47" s="1">
        <v>10</v>
      </c>
      <c r="M47" s="49">
        <f t="shared" si="9"/>
        <v>261</v>
      </c>
      <c r="N47" s="1">
        <v>12</v>
      </c>
      <c r="O47" s="1">
        <v>13</v>
      </c>
      <c r="P47" s="1">
        <v>14</v>
      </c>
      <c r="Q47" s="1">
        <v>15</v>
      </c>
      <c r="R47" s="1">
        <v>16</v>
      </c>
      <c r="S47" s="1">
        <v>17</v>
      </c>
      <c r="T47" s="1">
        <v>18</v>
      </c>
      <c r="U47" s="1">
        <v>19</v>
      </c>
      <c r="V47" s="1">
        <v>20</v>
      </c>
      <c r="W47" s="1">
        <v>21</v>
      </c>
      <c r="X47" s="1">
        <v>22</v>
      </c>
      <c r="Y47" s="1">
        <v>23</v>
      </c>
      <c r="Z47" s="1">
        <v>24</v>
      </c>
      <c r="AA47" s="1">
        <v>25</v>
      </c>
      <c r="AB47" s="1">
        <v>26</v>
      </c>
      <c r="AC47" s="1">
        <v>27</v>
      </c>
      <c r="AD47" s="26" t="str">
        <f t="shared" si="15"/>
        <v>미준수</v>
      </c>
      <c r="AE47" s="33"/>
      <c r="AF47" s="33"/>
      <c r="AG47" s="33"/>
      <c r="AI47"/>
      <c r="AJ47"/>
      <c r="AK47"/>
      <c r="AL47"/>
      <c r="AM47"/>
      <c r="AN47"/>
      <c r="AO47"/>
      <c r="AP47"/>
      <c r="AQ47"/>
      <c r="AR47"/>
      <c r="AS47"/>
    </row>
    <row r="48" spans="1:45" s="1" customFormat="1">
      <c r="A48"/>
      <c r="B48"/>
      <c r="E48"/>
      <c r="F48"/>
      <c r="AA48" s="32"/>
      <c r="AB48" s="32"/>
      <c r="AC48" s="32"/>
      <c r="AD48" s="33"/>
      <c r="AE48" s="33"/>
      <c r="AF48" s="33"/>
      <c r="AG48" s="33"/>
      <c r="AI48"/>
      <c r="AJ48"/>
      <c r="AK48"/>
      <c r="AL48"/>
      <c r="AM48"/>
      <c r="AN48"/>
      <c r="AO48"/>
      <c r="AP48"/>
      <c r="AQ48"/>
      <c r="AR48"/>
      <c r="AS48"/>
    </row>
    <row r="49" spans="1:45" s="1" customFormat="1">
      <c r="A49"/>
      <c r="B49"/>
      <c r="E49"/>
      <c r="F49"/>
      <c r="I49"/>
      <c r="J49"/>
      <c r="K49"/>
      <c r="L49"/>
      <c r="M49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3"/>
      <c r="AE49" s="33"/>
      <c r="AF49" s="33"/>
      <c r="AG49" s="33"/>
      <c r="AI49"/>
      <c r="AJ49"/>
      <c r="AK49"/>
      <c r="AL49"/>
      <c r="AM49"/>
      <c r="AN49"/>
      <c r="AO49"/>
      <c r="AP49"/>
      <c r="AQ49"/>
      <c r="AR49"/>
      <c r="AS49"/>
    </row>
    <row r="50" spans="1:45" s="1" customFormat="1">
      <c r="A50"/>
      <c r="B50"/>
      <c r="E50"/>
      <c r="F50"/>
      <c r="I50"/>
      <c r="J50"/>
      <c r="K50"/>
      <c r="L50"/>
      <c r="M50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3"/>
      <c r="AE50" s="33"/>
      <c r="AF50" s="33"/>
      <c r="AG50" s="33"/>
      <c r="AI50"/>
      <c r="AJ50"/>
      <c r="AK50"/>
      <c r="AL50"/>
      <c r="AM50"/>
      <c r="AN50"/>
      <c r="AO50"/>
      <c r="AP50"/>
      <c r="AQ50"/>
      <c r="AR50"/>
      <c r="AS50"/>
    </row>
    <row r="51" spans="1:45" s="1" customFormat="1">
      <c r="A51"/>
      <c r="B51"/>
      <c r="E51"/>
      <c r="F51"/>
      <c r="I51"/>
      <c r="J51"/>
      <c r="K51"/>
      <c r="L51"/>
      <c r="M51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3"/>
      <c r="AE51" s="33"/>
      <c r="AF51" s="33"/>
      <c r="AG51" s="33"/>
      <c r="AI51"/>
      <c r="AJ51"/>
      <c r="AK51"/>
      <c r="AL51"/>
      <c r="AM51"/>
      <c r="AN51"/>
      <c r="AO51"/>
      <c r="AP51"/>
      <c r="AQ51"/>
      <c r="AR51"/>
      <c r="AS51"/>
    </row>
    <row r="52" spans="1:45" s="1" customFormat="1">
      <c r="A52"/>
      <c r="B52"/>
      <c r="E52"/>
      <c r="F52"/>
      <c r="I52"/>
      <c r="J52"/>
      <c r="K52"/>
      <c r="L52"/>
      <c r="M5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3"/>
      <c r="AE52" s="33"/>
      <c r="AF52" s="33"/>
      <c r="AG52" s="33"/>
      <c r="AI52"/>
      <c r="AJ52"/>
      <c r="AK52"/>
      <c r="AL52"/>
      <c r="AM52"/>
      <c r="AN52"/>
      <c r="AO52"/>
      <c r="AP52"/>
      <c r="AQ52"/>
      <c r="AR52"/>
      <c r="AS52"/>
    </row>
    <row r="53" spans="1:45" s="1" customFormat="1">
      <c r="A53"/>
      <c r="B53"/>
      <c r="E53"/>
      <c r="F53"/>
      <c r="I53"/>
      <c r="J53"/>
      <c r="K53"/>
      <c r="L53"/>
      <c r="M53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3"/>
      <c r="AE53" s="33"/>
      <c r="AF53" s="33"/>
      <c r="AG53" s="33"/>
      <c r="AI53"/>
      <c r="AJ53"/>
      <c r="AK53"/>
      <c r="AL53"/>
      <c r="AM53"/>
      <c r="AN53"/>
      <c r="AO53"/>
      <c r="AP53"/>
      <c r="AQ53"/>
      <c r="AR53"/>
      <c r="AS53"/>
    </row>
    <row r="54" spans="1:45" s="1" customFormat="1">
      <c r="A54"/>
      <c r="B54"/>
      <c r="E54"/>
      <c r="F54"/>
      <c r="I54"/>
      <c r="J54"/>
      <c r="K54"/>
      <c r="L54"/>
      <c r="M54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3"/>
      <c r="AE54" s="33"/>
      <c r="AF54" s="33"/>
      <c r="AG54" s="33"/>
      <c r="AI54"/>
      <c r="AJ54"/>
      <c r="AK54"/>
      <c r="AL54"/>
      <c r="AM54"/>
      <c r="AN54"/>
      <c r="AO54"/>
      <c r="AP54"/>
      <c r="AQ54"/>
      <c r="AR54"/>
      <c r="AS54"/>
    </row>
    <row r="55" spans="1:45" s="1" customFormat="1">
      <c r="A55"/>
      <c r="B55"/>
      <c r="E55"/>
      <c r="F55"/>
      <c r="I55"/>
      <c r="J55"/>
      <c r="K55"/>
      <c r="L55"/>
      <c r="M55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3"/>
      <c r="AE55" s="33"/>
      <c r="AF55" s="33"/>
      <c r="AG55" s="33"/>
      <c r="AI55"/>
      <c r="AJ55"/>
      <c r="AK55"/>
      <c r="AL55"/>
      <c r="AM55"/>
      <c r="AN55"/>
      <c r="AO55"/>
      <c r="AP55"/>
      <c r="AQ55"/>
      <c r="AR55"/>
      <c r="AS55"/>
    </row>
    <row r="56" spans="1:45" s="1" customFormat="1">
      <c r="A56"/>
      <c r="B56"/>
      <c r="E56"/>
      <c r="F56"/>
      <c r="I56"/>
      <c r="J56"/>
      <c r="K56"/>
      <c r="L56"/>
      <c r="M56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3"/>
      <c r="AE56" s="33"/>
      <c r="AF56" s="33"/>
      <c r="AG56" s="33"/>
      <c r="AI56"/>
      <c r="AJ56"/>
      <c r="AK56"/>
      <c r="AL56"/>
      <c r="AM56"/>
      <c r="AN56"/>
      <c r="AO56"/>
      <c r="AP56"/>
      <c r="AQ56"/>
      <c r="AR56"/>
      <c r="AS56"/>
    </row>
    <row r="57" spans="1:45" s="1" customFormat="1">
      <c r="A57"/>
      <c r="B57"/>
      <c r="E57"/>
      <c r="F57"/>
      <c r="I57"/>
      <c r="J57"/>
      <c r="K57"/>
      <c r="L57"/>
      <c r="M57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3"/>
      <c r="AE57" s="33"/>
      <c r="AF57" s="33"/>
      <c r="AG57" s="33"/>
      <c r="AI57"/>
      <c r="AJ57"/>
      <c r="AK57"/>
      <c r="AL57"/>
      <c r="AM57"/>
      <c r="AN57"/>
      <c r="AO57"/>
      <c r="AP57"/>
      <c r="AQ57"/>
      <c r="AR57"/>
      <c r="AS57"/>
    </row>
    <row r="58" spans="1:45" s="1" customFormat="1">
      <c r="A58"/>
      <c r="B58"/>
      <c r="E58"/>
      <c r="F58"/>
      <c r="I58"/>
      <c r="J58"/>
      <c r="K58"/>
      <c r="L58"/>
      <c r="M58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3"/>
      <c r="AE58" s="33"/>
      <c r="AF58" s="33"/>
      <c r="AG58" s="33"/>
      <c r="AI58"/>
      <c r="AJ58"/>
      <c r="AK58"/>
      <c r="AL58"/>
      <c r="AM58"/>
      <c r="AN58"/>
      <c r="AO58"/>
      <c r="AP58"/>
      <c r="AQ58"/>
      <c r="AR58"/>
      <c r="AS58"/>
    </row>
    <row r="59" spans="1:45" s="1" customFormat="1">
      <c r="A59"/>
      <c r="B59"/>
      <c r="E59"/>
      <c r="F59"/>
      <c r="I59"/>
      <c r="J59"/>
      <c r="K59"/>
      <c r="L59"/>
      <c r="M59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3"/>
      <c r="AE59" s="33"/>
      <c r="AF59" s="33"/>
      <c r="AG59" s="33"/>
      <c r="AI59"/>
      <c r="AJ59"/>
      <c r="AK59"/>
      <c r="AL59"/>
      <c r="AM59"/>
      <c r="AN59"/>
      <c r="AO59"/>
      <c r="AP59"/>
      <c r="AQ59"/>
      <c r="AR59"/>
      <c r="AS59"/>
    </row>
    <row r="60" spans="1:45" s="1" customFormat="1">
      <c r="A60"/>
      <c r="B60"/>
      <c r="E60"/>
      <c r="F60"/>
      <c r="I60"/>
      <c r="J60"/>
      <c r="K60"/>
      <c r="L60"/>
      <c r="M60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3"/>
      <c r="AE60" s="33"/>
      <c r="AF60" s="33"/>
      <c r="AG60" s="33"/>
      <c r="AI60"/>
      <c r="AJ60"/>
      <c r="AK60"/>
      <c r="AL60"/>
      <c r="AM60"/>
      <c r="AN60"/>
      <c r="AO60"/>
      <c r="AP60"/>
      <c r="AQ60"/>
      <c r="AR60"/>
      <c r="AS60"/>
    </row>
    <row r="61" spans="1:45" s="1" customFormat="1">
      <c r="A61"/>
      <c r="B61"/>
      <c r="E61"/>
      <c r="F61"/>
      <c r="I61"/>
      <c r="J61"/>
      <c r="K61"/>
      <c r="L61"/>
      <c r="M61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3"/>
      <c r="AE61" s="33"/>
      <c r="AF61" s="33"/>
      <c r="AG61" s="33"/>
      <c r="AI61"/>
      <c r="AJ61"/>
      <c r="AK61"/>
      <c r="AL61"/>
      <c r="AM61"/>
      <c r="AN61"/>
      <c r="AO61"/>
      <c r="AP61"/>
      <c r="AQ61"/>
      <c r="AR61"/>
      <c r="AS61"/>
    </row>
    <row r="62" spans="1:45" s="1" customFormat="1">
      <c r="A62"/>
      <c r="B62"/>
      <c r="E62"/>
      <c r="F62"/>
      <c r="I62"/>
      <c r="J62"/>
      <c r="K62"/>
      <c r="L62"/>
      <c r="M6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3"/>
      <c r="AE62" s="33"/>
      <c r="AF62" s="33"/>
      <c r="AG62" s="33"/>
      <c r="AI62"/>
      <c r="AJ62"/>
      <c r="AK62"/>
      <c r="AL62"/>
      <c r="AM62"/>
      <c r="AN62"/>
      <c r="AO62"/>
      <c r="AP62"/>
      <c r="AQ62"/>
      <c r="AR62"/>
      <c r="AS62"/>
    </row>
    <row r="63" spans="1:45" s="1" customFormat="1">
      <c r="A63"/>
      <c r="B63"/>
      <c r="E63"/>
      <c r="F63"/>
      <c r="I63"/>
      <c r="J63"/>
      <c r="K63"/>
      <c r="L63"/>
      <c r="M63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3"/>
      <c r="AE63" s="33"/>
      <c r="AF63" s="33"/>
      <c r="AG63" s="33"/>
      <c r="AI63"/>
      <c r="AJ63"/>
      <c r="AK63"/>
      <c r="AL63"/>
      <c r="AM63"/>
      <c r="AN63"/>
      <c r="AO63"/>
      <c r="AP63"/>
      <c r="AQ63"/>
      <c r="AR63"/>
      <c r="AS63"/>
    </row>
    <row r="64" spans="1:45" s="1" customFormat="1">
      <c r="A64"/>
      <c r="B64"/>
      <c r="E64"/>
      <c r="F64"/>
      <c r="I64"/>
      <c r="J64"/>
      <c r="K64"/>
      <c r="L64"/>
      <c r="M64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3"/>
      <c r="AE64" s="33"/>
      <c r="AF64" s="33"/>
      <c r="AG64" s="33"/>
      <c r="AI64"/>
      <c r="AJ64"/>
      <c r="AK64"/>
      <c r="AL64"/>
      <c r="AM64"/>
      <c r="AN64"/>
      <c r="AO64"/>
      <c r="AP64"/>
      <c r="AQ64"/>
      <c r="AR64"/>
      <c r="AS64"/>
    </row>
    <row r="65" spans="1:45" s="1" customFormat="1">
      <c r="A65"/>
      <c r="B65"/>
      <c r="E65"/>
      <c r="F65"/>
      <c r="I65"/>
      <c r="J65"/>
      <c r="K65"/>
      <c r="L65"/>
      <c r="M65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3"/>
      <c r="AE65" s="33"/>
      <c r="AF65" s="33"/>
      <c r="AG65" s="33"/>
      <c r="AI65"/>
      <c r="AJ65"/>
      <c r="AK65"/>
      <c r="AL65"/>
      <c r="AM65"/>
      <c r="AN65"/>
      <c r="AO65"/>
      <c r="AP65"/>
      <c r="AQ65"/>
      <c r="AR65"/>
      <c r="AS65"/>
    </row>
    <row r="66" spans="1:45" s="1" customFormat="1">
      <c r="A66"/>
      <c r="B66"/>
      <c r="E66"/>
      <c r="F66"/>
      <c r="I66"/>
      <c r="J66"/>
      <c r="K66"/>
      <c r="L66"/>
      <c r="M66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3"/>
      <c r="AE66" s="33"/>
      <c r="AF66" s="33"/>
      <c r="AG66" s="33"/>
      <c r="AI66"/>
      <c r="AJ66"/>
      <c r="AK66"/>
      <c r="AL66"/>
      <c r="AM66"/>
      <c r="AN66"/>
      <c r="AO66"/>
      <c r="AP66"/>
      <c r="AQ66"/>
      <c r="AR66"/>
      <c r="AS66"/>
    </row>
    <row r="67" spans="1:45" s="1" customFormat="1">
      <c r="A67"/>
      <c r="B67"/>
      <c r="E67"/>
      <c r="F67"/>
      <c r="I67"/>
      <c r="J67"/>
      <c r="K67"/>
      <c r="L67"/>
      <c r="M67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3"/>
      <c r="AE67" s="33"/>
      <c r="AF67" s="33"/>
      <c r="AG67" s="33"/>
      <c r="AI67"/>
      <c r="AJ67"/>
      <c r="AK67"/>
      <c r="AL67"/>
      <c r="AM67"/>
      <c r="AN67"/>
      <c r="AO67"/>
      <c r="AP67"/>
      <c r="AQ67"/>
      <c r="AR67"/>
      <c r="AS67"/>
    </row>
    <row r="68" spans="1:45" s="1" customFormat="1">
      <c r="A68"/>
      <c r="B68"/>
      <c r="E68"/>
      <c r="F68"/>
      <c r="I68"/>
      <c r="J68"/>
      <c r="K68"/>
      <c r="L68"/>
      <c r="M68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3"/>
      <c r="AE68" s="33"/>
      <c r="AF68" s="33"/>
      <c r="AG68" s="33"/>
      <c r="AI68"/>
      <c r="AJ68"/>
      <c r="AK68"/>
      <c r="AL68"/>
      <c r="AM68"/>
      <c r="AN68"/>
      <c r="AO68"/>
      <c r="AP68"/>
      <c r="AQ68"/>
      <c r="AR68"/>
      <c r="AS68"/>
    </row>
    <row r="69" spans="1:45" s="1" customFormat="1">
      <c r="A69"/>
      <c r="B69"/>
      <c r="E69"/>
      <c r="F69"/>
      <c r="I69"/>
      <c r="J69"/>
      <c r="K69"/>
      <c r="L69"/>
      <c r="M69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3"/>
      <c r="AE69" s="33"/>
      <c r="AF69" s="33"/>
      <c r="AG69" s="33"/>
      <c r="AI69"/>
      <c r="AJ69"/>
      <c r="AK69"/>
      <c r="AL69"/>
      <c r="AM69"/>
      <c r="AN69"/>
      <c r="AO69"/>
      <c r="AP69"/>
      <c r="AQ69"/>
      <c r="AR69"/>
      <c r="AS69"/>
    </row>
    <row r="70" spans="1:45" s="1" customFormat="1">
      <c r="A70"/>
      <c r="B70"/>
      <c r="E70"/>
      <c r="F70"/>
      <c r="I70"/>
      <c r="J70"/>
      <c r="K70"/>
      <c r="L70"/>
      <c r="M70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3"/>
      <c r="AE70" s="33"/>
      <c r="AF70" s="33"/>
      <c r="AG70" s="33"/>
      <c r="AI70"/>
      <c r="AJ70"/>
      <c r="AK70"/>
      <c r="AL70"/>
      <c r="AM70"/>
      <c r="AN70"/>
      <c r="AO70"/>
      <c r="AP70"/>
      <c r="AQ70"/>
      <c r="AR70"/>
      <c r="AS70"/>
    </row>
    <row r="71" spans="1:45" s="1" customFormat="1">
      <c r="A71"/>
      <c r="B71"/>
      <c r="E71"/>
      <c r="F71"/>
      <c r="I71"/>
      <c r="J71"/>
      <c r="K71"/>
      <c r="L71"/>
      <c r="M71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3"/>
      <c r="AE71" s="33"/>
      <c r="AF71" s="33"/>
      <c r="AG71" s="33"/>
      <c r="AI71"/>
      <c r="AJ71"/>
      <c r="AK71"/>
      <c r="AL71"/>
      <c r="AM71"/>
      <c r="AN71"/>
      <c r="AO71"/>
      <c r="AP71"/>
      <c r="AQ71"/>
      <c r="AR71"/>
      <c r="AS71"/>
    </row>
    <row r="72" spans="1:45" s="1" customFormat="1">
      <c r="A72"/>
      <c r="B72"/>
      <c r="E72"/>
      <c r="F72"/>
      <c r="I72"/>
      <c r="J72"/>
      <c r="K72"/>
      <c r="L72"/>
      <c r="M7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3"/>
      <c r="AE72" s="33"/>
      <c r="AF72" s="33"/>
      <c r="AG72" s="33"/>
      <c r="AI72"/>
      <c r="AJ72"/>
      <c r="AK72"/>
      <c r="AL72"/>
      <c r="AM72"/>
      <c r="AN72"/>
      <c r="AO72"/>
      <c r="AP72"/>
      <c r="AQ72"/>
      <c r="AR72"/>
      <c r="AS72"/>
    </row>
    <row r="73" spans="1:45" s="1" customFormat="1">
      <c r="A73"/>
      <c r="B73"/>
      <c r="E73"/>
      <c r="F73"/>
      <c r="I73"/>
      <c r="J73"/>
      <c r="K73"/>
      <c r="L73"/>
      <c r="M73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3"/>
      <c r="AE73" s="33"/>
      <c r="AF73" s="33"/>
      <c r="AG73" s="33"/>
      <c r="AI73"/>
      <c r="AJ73"/>
      <c r="AK73"/>
      <c r="AL73"/>
      <c r="AM73"/>
      <c r="AN73"/>
      <c r="AO73"/>
      <c r="AP73"/>
      <c r="AQ73"/>
      <c r="AR73"/>
      <c r="AS73"/>
    </row>
    <row r="74" spans="1:45" s="1" customFormat="1">
      <c r="A74"/>
      <c r="B74"/>
      <c r="E74"/>
      <c r="F74"/>
      <c r="I74"/>
      <c r="J74"/>
      <c r="K74"/>
      <c r="L74"/>
      <c r="M74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3"/>
      <c r="AE74" s="33"/>
      <c r="AF74" s="33"/>
      <c r="AG74" s="33"/>
      <c r="AI74"/>
      <c r="AJ74"/>
      <c r="AK74"/>
      <c r="AL74"/>
      <c r="AM74"/>
      <c r="AN74"/>
      <c r="AO74"/>
      <c r="AP74"/>
      <c r="AQ74"/>
      <c r="AR74"/>
      <c r="AS74"/>
    </row>
    <row r="75" spans="1:45" s="1" customFormat="1">
      <c r="A75"/>
      <c r="B75"/>
      <c r="E75"/>
      <c r="F75"/>
      <c r="I75"/>
      <c r="J75"/>
      <c r="K75"/>
      <c r="L75"/>
      <c r="M75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3"/>
      <c r="AE75" s="33"/>
      <c r="AF75" s="33"/>
      <c r="AG75" s="33"/>
      <c r="AI75"/>
      <c r="AJ75"/>
      <c r="AK75"/>
      <c r="AL75"/>
      <c r="AM75"/>
      <c r="AN75"/>
      <c r="AO75"/>
      <c r="AP75"/>
      <c r="AQ75"/>
      <c r="AR75"/>
      <c r="AS75"/>
    </row>
    <row r="76" spans="1:45" s="1" customFormat="1">
      <c r="A76"/>
      <c r="B76"/>
      <c r="E76"/>
      <c r="F76"/>
      <c r="I76"/>
      <c r="J76"/>
      <c r="K76"/>
      <c r="L76"/>
      <c r="M76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3"/>
      <c r="AE76" s="33"/>
      <c r="AF76" s="33"/>
      <c r="AG76" s="33"/>
      <c r="AI76"/>
      <c r="AJ76"/>
      <c r="AK76"/>
      <c r="AL76"/>
      <c r="AM76"/>
      <c r="AN76"/>
      <c r="AO76"/>
      <c r="AP76"/>
      <c r="AQ76"/>
      <c r="AR76"/>
      <c r="AS76"/>
    </row>
    <row r="77" spans="1:45" s="1" customFormat="1">
      <c r="A77"/>
      <c r="B77"/>
      <c r="E77"/>
      <c r="F77"/>
      <c r="I77"/>
      <c r="J77"/>
      <c r="K77"/>
      <c r="L77"/>
      <c r="M77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3"/>
      <c r="AE77" s="33"/>
      <c r="AF77" s="33"/>
      <c r="AG77" s="33"/>
      <c r="AI77"/>
      <c r="AJ77"/>
      <c r="AK77"/>
      <c r="AL77"/>
      <c r="AM77"/>
      <c r="AN77"/>
      <c r="AO77"/>
      <c r="AP77"/>
      <c r="AQ77"/>
      <c r="AR77"/>
      <c r="AS77"/>
    </row>
    <row r="78" spans="1:45" s="1" customFormat="1">
      <c r="A78"/>
      <c r="B78"/>
      <c r="E78"/>
      <c r="F78"/>
      <c r="I78"/>
      <c r="J78"/>
      <c r="K78"/>
      <c r="L78"/>
      <c r="M78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3"/>
      <c r="AE78" s="33"/>
      <c r="AF78" s="33"/>
      <c r="AG78" s="33"/>
      <c r="AI78"/>
      <c r="AJ78"/>
      <c r="AK78"/>
      <c r="AL78"/>
      <c r="AM78"/>
      <c r="AN78"/>
      <c r="AO78"/>
      <c r="AP78"/>
      <c r="AQ78"/>
      <c r="AR78"/>
      <c r="AS78"/>
    </row>
    <row r="79" spans="1:45" s="1" customFormat="1">
      <c r="A79"/>
      <c r="B79"/>
      <c r="E79"/>
      <c r="F79"/>
      <c r="I79"/>
      <c r="J79"/>
      <c r="K79"/>
      <c r="L79"/>
      <c r="M79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3"/>
      <c r="AE79" s="33"/>
      <c r="AF79" s="33"/>
      <c r="AG79" s="33"/>
      <c r="AI79"/>
      <c r="AJ79"/>
      <c r="AK79"/>
      <c r="AL79"/>
      <c r="AM79"/>
      <c r="AN79"/>
      <c r="AO79"/>
      <c r="AP79"/>
      <c r="AQ79"/>
      <c r="AR79"/>
      <c r="AS79"/>
    </row>
    <row r="80" spans="1:45" s="1" customFormat="1">
      <c r="A80"/>
      <c r="B80"/>
      <c r="E80"/>
      <c r="F80"/>
      <c r="I80"/>
      <c r="J80"/>
      <c r="K80"/>
      <c r="L80"/>
      <c r="M80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3"/>
      <c r="AE80" s="33"/>
      <c r="AF80" s="33"/>
      <c r="AG80" s="33"/>
      <c r="AI80"/>
      <c r="AJ80"/>
      <c r="AK80"/>
      <c r="AL80"/>
      <c r="AM80"/>
      <c r="AN80"/>
      <c r="AO80"/>
      <c r="AP80"/>
      <c r="AQ80"/>
      <c r="AR80"/>
      <c r="AS80"/>
    </row>
    <row r="81" spans="1:45" s="1" customFormat="1">
      <c r="A81"/>
      <c r="B81"/>
      <c r="E81"/>
      <c r="F81"/>
      <c r="I81"/>
      <c r="J81"/>
      <c r="K81"/>
      <c r="L81"/>
      <c r="M81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3"/>
      <c r="AE81" s="33"/>
      <c r="AF81" s="33"/>
      <c r="AG81" s="33"/>
      <c r="AI81"/>
      <c r="AJ81"/>
      <c r="AK81"/>
      <c r="AL81"/>
      <c r="AM81"/>
      <c r="AN81"/>
      <c r="AO81"/>
      <c r="AP81"/>
      <c r="AQ81"/>
      <c r="AR81"/>
      <c r="AS81"/>
    </row>
    <row r="82" spans="1:45" s="1" customFormat="1">
      <c r="A82"/>
      <c r="B82"/>
      <c r="E82"/>
      <c r="F82"/>
      <c r="I82"/>
      <c r="J82"/>
      <c r="K82"/>
      <c r="L82"/>
      <c r="M8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3"/>
      <c r="AE82" s="33"/>
      <c r="AF82" s="33"/>
      <c r="AG82" s="33"/>
      <c r="AI82"/>
      <c r="AJ82"/>
      <c r="AK82"/>
      <c r="AL82"/>
      <c r="AM82"/>
      <c r="AN82"/>
      <c r="AO82"/>
      <c r="AP82"/>
      <c r="AQ82"/>
      <c r="AR82"/>
      <c r="AS82"/>
    </row>
    <row r="83" spans="1:45" s="1" customFormat="1">
      <c r="A83"/>
      <c r="B83"/>
      <c r="E83"/>
      <c r="F83"/>
      <c r="I83"/>
      <c r="J83"/>
      <c r="K83"/>
      <c r="L83"/>
      <c r="M83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3"/>
      <c r="AE83" s="33"/>
      <c r="AF83" s="33"/>
      <c r="AG83" s="33"/>
      <c r="AI83"/>
      <c r="AJ83"/>
      <c r="AK83"/>
      <c r="AL83"/>
      <c r="AM83"/>
      <c r="AN83"/>
      <c r="AO83"/>
      <c r="AP83"/>
      <c r="AQ83"/>
      <c r="AR83"/>
      <c r="AS83"/>
    </row>
    <row r="84" spans="1:45" s="1" customFormat="1">
      <c r="A84"/>
      <c r="B84"/>
      <c r="E84"/>
      <c r="F84"/>
      <c r="I84"/>
      <c r="J84"/>
      <c r="K84"/>
      <c r="L84"/>
      <c r="M84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3"/>
      <c r="AE84" s="33"/>
      <c r="AF84" s="33"/>
      <c r="AG84" s="33"/>
      <c r="AI84"/>
      <c r="AJ84"/>
      <c r="AK84"/>
      <c r="AL84"/>
      <c r="AM84"/>
      <c r="AN84"/>
      <c r="AO84"/>
      <c r="AP84"/>
      <c r="AQ84"/>
      <c r="AR84"/>
      <c r="AS84"/>
    </row>
    <row r="85" spans="1:45" s="1" customFormat="1">
      <c r="A85"/>
      <c r="B85"/>
      <c r="E85"/>
      <c r="F85"/>
      <c r="I85"/>
      <c r="J85"/>
      <c r="K85"/>
      <c r="L85"/>
      <c r="M85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3"/>
      <c r="AE85" s="33"/>
      <c r="AF85" s="33"/>
      <c r="AG85" s="33"/>
      <c r="AI85"/>
      <c r="AJ85"/>
      <c r="AK85"/>
      <c r="AL85"/>
      <c r="AM85"/>
      <c r="AN85"/>
      <c r="AO85"/>
      <c r="AP85"/>
      <c r="AQ85"/>
      <c r="AR85"/>
      <c r="AS85"/>
    </row>
    <row r="86" spans="1:45" s="1" customFormat="1">
      <c r="A86"/>
      <c r="B86"/>
      <c r="E86"/>
      <c r="F86"/>
      <c r="I86"/>
      <c r="J86"/>
      <c r="K86"/>
      <c r="L86"/>
      <c r="M86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3"/>
      <c r="AE86" s="33"/>
      <c r="AF86" s="33"/>
      <c r="AG86" s="33"/>
      <c r="AI86"/>
      <c r="AJ86"/>
      <c r="AK86"/>
      <c r="AL86"/>
      <c r="AM86"/>
      <c r="AN86"/>
      <c r="AO86"/>
      <c r="AP86"/>
      <c r="AQ86"/>
      <c r="AR86"/>
      <c r="AS86"/>
    </row>
    <row r="87" spans="1:45" s="1" customFormat="1">
      <c r="A87"/>
      <c r="B87"/>
      <c r="E87"/>
      <c r="F87"/>
      <c r="I87"/>
      <c r="J87"/>
      <c r="K87"/>
      <c r="L87"/>
      <c r="M87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3"/>
      <c r="AE87" s="33"/>
      <c r="AF87" s="33"/>
      <c r="AG87" s="33"/>
      <c r="AI87"/>
      <c r="AJ87"/>
      <c r="AK87"/>
      <c r="AL87"/>
      <c r="AM87"/>
      <c r="AN87"/>
      <c r="AO87"/>
      <c r="AP87"/>
      <c r="AQ87"/>
      <c r="AR87"/>
      <c r="AS87"/>
    </row>
    <row r="88" spans="1:45" s="1" customFormat="1">
      <c r="A88"/>
      <c r="B88"/>
      <c r="E88"/>
      <c r="F88"/>
      <c r="I88"/>
      <c r="J88"/>
      <c r="K88"/>
      <c r="L88"/>
      <c r="M88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3"/>
      <c r="AE88" s="33"/>
      <c r="AF88" s="33"/>
      <c r="AG88" s="33"/>
      <c r="AI88"/>
      <c r="AJ88"/>
      <c r="AK88"/>
      <c r="AL88"/>
      <c r="AM88"/>
      <c r="AN88"/>
      <c r="AO88"/>
      <c r="AP88"/>
      <c r="AQ88"/>
      <c r="AR88"/>
      <c r="AS88"/>
    </row>
    <row r="89" spans="1:45" s="1" customFormat="1">
      <c r="A89"/>
      <c r="B89"/>
      <c r="E89"/>
      <c r="F89"/>
      <c r="I89"/>
      <c r="J89"/>
      <c r="K89"/>
      <c r="L89"/>
      <c r="M89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3"/>
      <c r="AE89" s="33"/>
      <c r="AF89" s="33"/>
      <c r="AG89" s="33"/>
      <c r="AI89"/>
      <c r="AJ89"/>
      <c r="AK89"/>
      <c r="AL89"/>
      <c r="AM89"/>
      <c r="AN89"/>
      <c r="AO89"/>
      <c r="AP89"/>
      <c r="AQ89"/>
      <c r="AR89"/>
      <c r="AS89"/>
    </row>
    <row r="90" spans="1:45" s="1" customFormat="1">
      <c r="A90"/>
      <c r="B90"/>
      <c r="E90"/>
      <c r="F90"/>
      <c r="I90"/>
      <c r="J90"/>
      <c r="K90"/>
      <c r="L90"/>
      <c r="M90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3"/>
      <c r="AE90" s="33"/>
      <c r="AF90" s="33"/>
      <c r="AG90" s="33"/>
      <c r="AI90"/>
      <c r="AJ90"/>
      <c r="AK90"/>
      <c r="AL90"/>
      <c r="AM90"/>
      <c r="AN90"/>
      <c r="AO90"/>
      <c r="AP90"/>
      <c r="AQ90"/>
      <c r="AR90"/>
      <c r="AS90"/>
    </row>
    <row r="91" spans="1:45" s="1" customFormat="1">
      <c r="A91"/>
      <c r="B91"/>
      <c r="E91"/>
      <c r="F91"/>
      <c r="I91"/>
      <c r="J91"/>
      <c r="K91"/>
      <c r="L91"/>
      <c r="M91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3"/>
      <c r="AE91" s="33"/>
      <c r="AF91" s="33"/>
      <c r="AG91" s="33"/>
      <c r="AI91"/>
      <c r="AJ91"/>
      <c r="AK91"/>
      <c r="AL91"/>
      <c r="AM91"/>
      <c r="AN91"/>
      <c r="AO91"/>
      <c r="AP91"/>
      <c r="AQ91"/>
      <c r="AR91"/>
      <c r="AS91"/>
    </row>
    <row r="92" spans="1:45" s="1" customFormat="1">
      <c r="A92"/>
      <c r="B92"/>
      <c r="E92"/>
      <c r="F92"/>
      <c r="I92"/>
      <c r="J92"/>
      <c r="K92"/>
      <c r="L92"/>
      <c r="M9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3"/>
      <c r="AE92" s="33"/>
      <c r="AF92" s="33"/>
      <c r="AG92" s="33"/>
      <c r="AI92"/>
      <c r="AJ92"/>
      <c r="AK92"/>
      <c r="AL92"/>
      <c r="AM92"/>
      <c r="AN92"/>
      <c r="AO92"/>
      <c r="AP92"/>
      <c r="AQ92"/>
      <c r="AR92"/>
      <c r="AS92"/>
    </row>
    <row r="93" spans="1:45" s="1" customFormat="1">
      <c r="A93"/>
      <c r="B93"/>
      <c r="E93"/>
      <c r="F93"/>
      <c r="I93"/>
      <c r="J93"/>
      <c r="K93"/>
      <c r="L93"/>
      <c r="M93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3"/>
      <c r="AE93" s="33"/>
      <c r="AF93" s="33"/>
      <c r="AG93" s="33"/>
      <c r="AI93"/>
      <c r="AJ93"/>
      <c r="AK93"/>
      <c r="AL93"/>
      <c r="AM93"/>
      <c r="AN93"/>
      <c r="AO93"/>
      <c r="AP93"/>
      <c r="AQ93"/>
      <c r="AR93"/>
      <c r="AS93"/>
    </row>
    <row r="94" spans="1:45" s="1" customFormat="1">
      <c r="A94"/>
      <c r="B94"/>
      <c r="E94"/>
      <c r="F94"/>
      <c r="I94"/>
      <c r="J94"/>
      <c r="K94"/>
      <c r="L94"/>
      <c r="M94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3"/>
      <c r="AE94" s="33"/>
      <c r="AF94" s="33"/>
      <c r="AG94" s="33"/>
      <c r="AI94"/>
      <c r="AJ94"/>
      <c r="AK94"/>
      <c r="AL94"/>
      <c r="AM94"/>
      <c r="AN94"/>
      <c r="AO94"/>
      <c r="AP94"/>
      <c r="AQ94"/>
      <c r="AR94"/>
      <c r="AS94"/>
    </row>
    <row r="95" spans="1:45" s="1" customFormat="1">
      <c r="A95"/>
      <c r="B95"/>
      <c r="E95"/>
      <c r="F95"/>
      <c r="I95"/>
      <c r="J95"/>
      <c r="K95"/>
      <c r="L95"/>
      <c r="M95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3"/>
      <c r="AE95" s="33"/>
      <c r="AF95" s="33"/>
      <c r="AG95" s="33"/>
      <c r="AI95"/>
      <c r="AJ95"/>
      <c r="AK95"/>
      <c r="AL95"/>
      <c r="AM95"/>
      <c r="AN95"/>
      <c r="AO95"/>
      <c r="AP95"/>
      <c r="AQ95"/>
      <c r="AR95"/>
      <c r="AS95"/>
    </row>
    <row r="96" spans="1:45" s="1" customFormat="1">
      <c r="A96"/>
      <c r="B96"/>
      <c r="E96"/>
      <c r="F96"/>
      <c r="I96"/>
      <c r="J96"/>
      <c r="K96"/>
      <c r="L96"/>
      <c r="M96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3"/>
      <c r="AE96" s="33"/>
      <c r="AF96" s="33"/>
      <c r="AG96" s="33"/>
      <c r="AI96"/>
      <c r="AJ96"/>
      <c r="AK96"/>
      <c r="AL96"/>
      <c r="AM96"/>
      <c r="AN96"/>
      <c r="AO96"/>
      <c r="AP96"/>
      <c r="AQ96"/>
      <c r="AR96"/>
      <c r="AS96"/>
    </row>
    <row r="97" spans="1:45" s="1" customFormat="1">
      <c r="A97"/>
      <c r="B97"/>
      <c r="E97"/>
      <c r="F97"/>
      <c r="I97"/>
      <c r="J97"/>
      <c r="K97"/>
      <c r="L97"/>
      <c r="M97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3"/>
      <c r="AE97" s="33"/>
      <c r="AF97" s="33"/>
      <c r="AG97" s="33"/>
      <c r="AI97"/>
      <c r="AJ97"/>
      <c r="AK97"/>
      <c r="AL97"/>
      <c r="AM97"/>
      <c r="AN97"/>
      <c r="AO97"/>
      <c r="AP97"/>
      <c r="AQ97"/>
      <c r="AR97"/>
      <c r="AS97"/>
    </row>
    <row r="98" spans="1:45" s="1" customFormat="1">
      <c r="A98"/>
      <c r="B98"/>
      <c r="E98"/>
      <c r="F98"/>
      <c r="I98"/>
      <c r="J98"/>
      <c r="K98"/>
      <c r="L98"/>
      <c r="M98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3"/>
      <c r="AE98" s="33"/>
      <c r="AF98" s="33"/>
      <c r="AG98" s="33"/>
      <c r="AI98"/>
      <c r="AJ98"/>
      <c r="AK98"/>
      <c r="AL98"/>
      <c r="AM98"/>
      <c r="AN98"/>
      <c r="AO98"/>
      <c r="AP98"/>
      <c r="AQ98"/>
      <c r="AR98"/>
      <c r="AS98"/>
    </row>
    <row r="99" spans="1:45" s="1" customFormat="1">
      <c r="A99"/>
      <c r="B99"/>
      <c r="E99"/>
      <c r="F99"/>
      <c r="I99"/>
      <c r="J99"/>
      <c r="K99"/>
      <c r="L99"/>
      <c r="M99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3"/>
      <c r="AE99" s="33"/>
      <c r="AF99" s="33"/>
      <c r="AG99" s="33"/>
      <c r="AI99"/>
      <c r="AJ99"/>
      <c r="AK99"/>
      <c r="AL99"/>
      <c r="AM99"/>
      <c r="AN99"/>
      <c r="AO99"/>
      <c r="AP99"/>
      <c r="AQ99"/>
      <c r="AR99"/>
      <c r="AS99"/>
    </row>
    <row r="100" spans="1:45" s="1" customFormat="1">
      <c r="A100"/>
      <c r="B100"/>
      <c r="E100"/>
      <c r="F100"/>
      <c r="I100"/>
      <c r="J100"/>
      <c r="K100"/>
      <c r="L100"/>
      <c r="M100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3"/>
      <c r="AE100" s="33"/>
      <c r="AF100" s="33"/>
      <c r="AG100" s="33"/>
      <c r="AI100"/>
      <c r="AJ100"/>
      <c r="AK100"/>
      <c r="AL100"/>
      <c r="AM100"/>
      <c r="AN100"/>
      <c r="AO100"/>
      <c r="AP100"/>
      <c r="AQ100"/>
      <c r="AR100"/>
      <c r="AS100"/>
    </row>
    <row r="101" spans="1:45" s="1" customFormat="1">
      <c r="A101"/>
      <c r="B101"/>
      <c r="E101"/>
      <c r="F101"/>
      <c r="I101"/>
      <c r="J101"/>
      <c r="K101"/>
      <c r="L101"/>
      <c r="M101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3"/>
      <c r="AE101" s="33"/>
      <c r="AF101" s="33"/>
      <c r="AG101" s="33"/>
      <c r="AI101"/>
      <c r="AJ101"/>
      <c r="AK101"/>
      <c r="AL101"/>
      <c r="AM101"/>
      <c r="AN101"/>
      <c r="AO101"/>
      <c r="AP101"/>
      <c r="AQ101"/>
      <c r="AR101"/>
      <c r="AS101"/>
    </row>
    <row r="102" spans="1:45" s="1" customFormat="1">
      <c r="A102"/>
      <c r="B102"/>
      <c r="E102"/>
      <c r="F102"/>
      <c r="I102"/>
      <c r="J102"/>
      <c r="K102"/>
      <c r="L102"/>
      <c r="M10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3"/>
      <c r="AE102" s="33"/>
      <c r="AF102" s="33"/>
      <c r="AG102" s="33"/>
      <c r="AI102"/>
      <c r="AJ102"/>
      <c r="AK102"/>
      <c r="AL102"/>
      <c r="AM102"/>
      <c r="AN102"/>
      <c r="AO102"/>
      <c r="AP102"/>
      <c r="AQ102"/>
      <c r="AR102"/>
      <c r="AS102"/>
    </row>
    <row r="103" spans="1:45" s="1" customFormat="1">
      <c r="A103"/>
      <c r="B103"/>
      <c r="E103"/>
      <c r="F103"/>
      <c r="I103"/>
      <c r="J103"/>
      <c r="K103"/>
      <c r="L103"/>
      <c r="M103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3"/>
      <c r="AE103" s="33"/>
      <c r="AF103" s="33"/>
      <c r="AG103" s="33"/>
      <c r="AI103"/>
      <c r="AJ103"/>
      <c r="AK103"/>
      <c r="AL103"/>
      <c r="AM103"/>
      <c r="AN103"/>
      <c r="AO103"/>
      <c r="AP103"/>
      <c r="AQ103"/>
      <c r="AR103"/>
      <c r="AS103"/>
    </row>
    <row r="104" spans="1:45" s="1" customFormat="1">
      <c r="A104"/>
      <c r="B104"/>
      <c r="E104"/>
      <c r="F104"/>
      <c r="I104"/>
      <c r="J104"/>
      <c r="K104"/>
      <c r="L104"/>
      <c r="M104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3"/>
      <c r="AE104" s="33"/>
      <c r="AF104" s="33"/>
      <c r="AG104" s="33"/>
      <c r="AI104"/>
      <c r="AJ104"/>
      <c r="AK104"/>
      <c r="AL104"/>
      <c r="AM104"/>
      <c r="AN104"/>
      <c r="AO104"/>
      <c r="AP104"/>
      <c r="AQ104"/>
      <c r="AR104"/>
      <c r="AS104"/>
    </row>
    <row r="105" spans="1:45" s="1" customFormat="1">
      <c r="A105"/>
      <c r="B105"/>
      <c r="E105"/>
      <c r="F105"/>
      <c r="I105"/>
      <c r="J105"/>
      <c r="K105"/>
      <c r="L105"/>
      <c r="M105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3"/>
      <c r="AE105" s="33"/>
      <c r="AF105" s="33"/>
      <c r="AG105" s="33"/>
      <c r="AI105"/>
      <c r="AJ105"/>
      <c r="AK105"/>
      <c r="AL105"/>
      <c r="AM105"/>
      <c r="AN105"/>
      <c r="AO105"/>
      <c r="AP105"/>
      <c r="AQ105"/>
      <c r="AR105"/>
      <c r="AS105"/>
    </row>
    <row r="106" spans="1:45" s="1" customFormat="1">
      <c r="A106"/>
      <c r="B106"/>
      <c r="E106"/>
      <c r="F106"/>
      <c r="I106"/>
      <c r="J106"/>
      <c r="K106"/>
      <c r="L106"/>
      <c r="M106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3"/>
      <c r="AE106" s="33"/>
      <c r="AF106" s="33"/>
      <c r="AG106" s="33"/>
      <c r="AI106"/>
      <c r="AJ106"/>
      <c r="AK106"/>
      <c r="AL106"/>
      <c r="AM106"/>
      <c r="AN106"/>
      <c r="AO106"/>
      <c r="AP106"/>
      <c r="AQ106"/>
      <c r="AR106"/>
      <c r="AS106"/>
    </row>
    <row r="107" spans="1:45" s="1" customFormat="1">
      <c r="A107"/>
      <c r="B107"/>
      <c r="E107"/>
      <c r="F107"/>
      <c r="I107"/>
      <c r="J107"/>
      <c r="K107"/>
      <c r="L107"/>
      <c r="M107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3"/>
      <c r="AE107" s="33"/>
      <c r="AF107" s="33"/>
      <c r="AG107" s="33"/>
      <c r="AI107"/>
      <c r="AJ107"/>
      <c r="AK107"/>
      <c r="AL107"/>
      <c r="AM107"/>
      <c r="AN107"/>
      <c r="AO107"/>
      <c r="AP107"/>
      <c r="AQ107"/>
      <c r="AR107"/>
      <c r="AS107"/>
    </row>
    <row r="108" spans="1:45" s="1" customFormat="1">
      <c r="A108"/>
      <c r="B108"/>
      <c r="E108"/>
      <c r="F108"/>
      <c r="I108"/>
      <c r="J108"/>
      <c r="K108"/>
      <c r="L108"/>
      <c r="M108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3"/>
      <c r="AE108" s="33"/>
      <c r="AF108" s="33"/>
      <c r="AG108" s="33"/>
      <c r="AI108"/>
      <c r="AJ108"/>
      <c r="AK108"/>
      <c r="AL108"/>
      <c r="AM108"/>
      <c r="AN108"/>
      <c r="AO108"/>
      <c r="AP108"/>
      <c r="AQ108"/>
      <c r="AR108"/>
      <c r="AS108"/>
    </row>
    <row r="109" spans="1:45" s="1" customFormat="1">
      <c r="A109"/>
      <c r="B109"/>
      <c r="E109"/>
      <c r="F109"/>
      <c r="I109"/>
      <c r="J109"/>
      <c r="K109"/>
      <c r="L109"/>
      <c r="M109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3"/>
      <c r="AE109" s="33"/>
      <c r="AF109" s="33"/>
      <c r="AG109" s="33"/>
      <c r="AI109"/>
      <c r="AJ109"/>
      <c r="AK109"/>
      <c r="AL109"/>
      <c r="AM109"/>
      <c r="AN109"/>
      <c r="AO109"/>
      <c r="AP109"/>
      <c r="AQ109"/>
      <c r="AR109"/>
      <c r="AS109"/>
    </row>
    <row r="110" spans="1:45" s="1" customFormat="1">
      <c r="A110"/>
      <c r="B110"/>
      <c r="E110"/>
      <c r="F110"/>
      <c r="I110"/>
      <c r="J110"/>
      <c r="K110"/>
      <c r="L110"/>
      <c r="M110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3"/>
      <c r="AE110" s="33"/>
      <c r="AF110" s="33"/>
      <c r="AG110" s="33"/>
      <c r="AI110"/>
      <c r="AJ110"/>
      <c r="AK110"/>
      <c r="AL110"/>
      <c r="AM110"/>
      <c r="AN110"/>
      <c r="AO110"/>
      <c r="AP110"/>
      <c r="AQ110"/>
      <c r="AR110"/>
      <c r="AS110"/>
    </row>
    <row r="111" spans="1:45" s="1" customFormat="1">
      <c r="A111"/>
      <c r="B111"/>
      <c r="E111"/>
      <c r="F111"/>
      <c r="I111"/>
      <c r="J111"/>
      <c r="K111"/>
      <c r="L111"/>
      <c r="M111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3"/>
      <c r="AE111" s="33"/>
      <c r="AF111" s="33"/>
      <c r="AG111" s="33"/>
      <c r="AI111"/>
      <c r="AJ111"/>
      <c r="AK111"/>
      <c r="AL111"/>
      <c r="AM111"/>
      <c r="AN111"/>
      <c r="AO111"/>
      <c r="AP111"/>
      <c r="AQ111"/>
      <c r="AR111"/>
      <c r="AS111"/>
    </row>
    <row r="112" spans="1:45" s="1" customFormat="1">
      <c r="A112"/>
      <c r="B112"/>
      <c r="E112"/>
      <c r="F112"/>
      <c r="I112"/>
      <c r="J112"/>
      <c r="K112"/>
      <c r="L112"/>
      <c r="M11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3"/>
      <c r="AE112" s="33"/>
      <c r="AF112" s="33"/>
      <c r="AG112" s="33"/>
      <c r="AI112"/>
      <c r="AJ112"/>
      <c r="AK112"/>
      <c r="AL112"/>
      <c r="AM112"/>
      <c r="AN112"/>
      <c r="AO112"/>
      <c r="AP112"/>
      <c r="AQ112"/>
      <c r="AR112"/>
      <c r="AS112"/>
    </row>
    <row r="113" spans="1:45" s="1" customFormat="1">
      <c r="A113"/>
      <c r="B113"/>
      <c r="E113"/>
      <c r="F113"/>
      <c r="I113"/>
      <c r="J113"/>
      <c r="K113"/>
      <c r="L113"/>
      <c r="M113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3"/>
      <c r="AE113" s="33"/>
      <c r="AF113" s="33"/>
      <c r="AG113" s="33"/>
      <c r="AI113"/>
      <c r="AJ113"/>
      <c r="AK113"/>
      <c r="AL113"/>
      <c r="AM113"/>
      <c r="AN113"/>
      <c r="AO113"/>
      <c r="AP113"/>
      <c r="AQ113"/>
      <c r="AR113"/>
      <c r="AS113"/>
    </row>
    <row r="114" spans="1:45" s="1" customFormat="1">
      <c r="A114"/>
      <c r="B114"/>
      <c r="E114"/>
      <c r="F114"/>
      <c r="I114"/>
      <c r="J114"/>
      <c r="K114"/>
      <c r="L114"/>
      <c r="M114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3"/>
      <c r="AE114" s="33"/>
      <c r="AF114" s="33"/>
      <c r="AG114" s="33"/>
      <c r="AI114"/>
      <c r="AJ114"/>
      <c r="AK114"/>
      <c r="AL114"/>
      <c r="AM114"/>
      <c r="AN114"/>
      <c r="AO114"/>
      <c r="AP114"/>
      <c r="AQ114"/>
      <c r="AR114"/>
      <c r="AS114"/>
    </row>
    <row r="115" spans="1:45" s="1" customFormat="1">
      <c r="A115"/>
      <c r="B115"/>
      <c r="E115"/>
      <c r="F115"/>
      <c r="I115"/>
      <c r="J115"/>
      <c r="K115"/>
      <c r="L115"/>
      <c r="M115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3"/>
      <c r="AE115" s="33"/>
      <c r="AF115" s="33"/>
      <c r="AG115" s="33"/>
      <c r="AI115"/>
      <c r="AJ115"/>
      <c r="AK115"/>
      <c r="AL115"/>
      <c r="AM115"/>
      <c r="AN115"/>
      <c r="AO115"/>
      <c r="AP115"/>
      <c r="AQ115"/>
      <c r="AR115"/>
      <c r="AS115"/>
    </row>
    <row r="116" spans="1:45" s="1" customFormat="1">
      <c r="A116"/>
      <c r="B116"/>
      <c r="E116"/>
      <c r="F116"/>
      <c r="I116"/>
      <c r="J116"/>
      <c r="K116"/>
      <c r="L116"/>
      <c r="M116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3"/>
      <c r="AE116" s="33"/>
      <c r="AF116" s="33"/>
      <c r="AG116" s="33"/>
      <c r="AI116"/>
      <c r="AJ116"/>
      <c r="AK116"/>
      <c r="AL116"/>
      <c r="AM116"/>
      <c r="AN116"/>
      <c r="AO116"/>
      <c r="AP116"/>
      <c r="AQ116"/>
      <c r="AR116"/>
      <c r="AS116"/>
    </row>
    <row r="117" spans="1:45" s="1" customFormat="1">
      <c r="A117"/>
      <c r="B117"/>
      <c r="E117"/>
      <c r="F117"/>
      <c r="I117"/>
      <c r="J117"/>
      <c r="K117"/>
      <c r="L117"/>
      <c r="M117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3"/>
      <c r="AE117" s="33"/>
      <c r="AF117" s="33"/>
      <c r="AG117" s="33"/>
      <c r="AI117"/>
      <c r="AJ117"/>
      <c r="AK117"/>
      <c r="AL117"/>
      <c r="AM117"/>
      <c r="AN117"/>
      <c r="AO117"/>
      <c r="AP117"/>
      <c r="AQ117"/>
      <c r="AR117"/>
      <c r="AS117"/>
    </row>
    <row r="118" spans="1:45" s="1" customFormat="1">
      <c r="A118"/>
      <c r="B118"/>
      <c r="E118"/>
      <c r="F118"/>
      <c r="I118"/>
      <c r="J118"/>
      <c r="K118"/>
      <c r="L118"/>
      <c r="M118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3"/>
      <c r="AE118" s="33"/>
      <c r="AF118" s="33"/>
      <c r="AG118" s="33"/>
      <c r="AI118"/>
      <c r="AJ118"/>
      <c r="AK118"/>
      <c r="AL118"/>
      <c r="AM118"/>
      <c r="AN118"/>
      <c r="AO118"/>
      <c r="AP118"/>
      <c r="AQ118"/>
      <c r="AR118"/>
      <c r="AS118"/>
    </row>
    <row r="119" spans="1:45" s="1" customFormat="1">
      <c r="A119"/>
      <c r="B119"/>
      <c r="E119"/>
      <c r="F119"/>
      <c r="I119"/>
      <c r="J119"/>
      <c r="K119"/>
      <c r="L119"/>
      <c r="M119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3"/>
      <c r="AE119" s="33"/>
      <c r="AF119" s="33"/>
      <c r="AG119" s="33"/>
      <c r="AI119"/>
      <c r="AJ119"/>
      <c r="AK119"/>
      <c r="AL119"/>
      <c r="AM119"/>
      <c r="AN119"/>
      <c r="AO119"/>
      <c r="AP119"/>
      <c r="AQ119"/>
      <c r="AR119"/>
      <c r="AS119"/>
    </row>
    <row r="120" spans="1:45" s="1" customFormat="1">
      <c r="A120"/>
      <c r="B120"/>
      <c r="E120"/>
      <c r="F120"/>
      <c r="I120"/>
      <c r="J120"/>
      <c r="K120"/>
      <c r="L120"/>
      <c r="M120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3"/>
      <c r="AE120" s="33"/>
      <c r="AF120" s="33"/>
      <c r="AG120" s="33"/>
      <c r="AI120"/>
      <c r="AJ120"/>
      <c r="AK120"/>
      <c r="AL120"/>
      <c r="AM120"/>
      <c r="AN120"/>
      <c r="AO120"/>
      <c r="AP120"/>
      <c r="AQ120"/>
      <c r="AR120"/>
      <c r="AS120"/>
    </row>
    <row r="121" spans="1:45" s="1" customFormat="1">
      <c r="A121"/>
      <c r="B121"/>
      <c r="E121"/>
      <c r="F121"/>
      <c r="I121"/>
      <c r="J121"/>
      <c r="K121"/>
      <c r="L121"/>
      <c r="M121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3"/>
      <c r="AE121" s="33"/>
      <c r="AF121" s="33"/>
      <c r="AG121" s="33"/>
      <c r="AI121"/>
      <c r="AJ121"/>
      <c r="AK121"/>
      <c r="AL121"/>
      <c r="AM121"/>
      <c r="AN121"/>
      <c r="AO121"/>
      <c r="AP121"/>
      <c r="AQ121"/>
      <c r="AR121"/>
      <c r="AS121"/>
    </row>
    <row r="122" spans="1:45" s="1" customFormat="1">
      <c r="A122"/>
      <c r="B122"/>
      <c r="E122"/>
      <c r="F122"/>
      <c r="I122"/>
      <c r="J122"/>
      <c r="K122"/>
      <c r="L122"/>
      <c r="M12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3"/>
      <c r="AE122" s="33"/>
      <c r="AF122" s="33"/>
      <c r="AG122" s="33"/>
      <c r="AI122"/>
      <c r="AJ122"/>
      <c r="AK122"/>
      <c r="AL122"/>
      <c r="AM122"/>
      <c r="AN122"/>
      <c r="AO122"/>
      <c r="AP122"/>
      <c r="AQ122"/>
      <c r="AR122"/>
      <c r="AS122"/>
    </row>
    <row r="123" spans="1:45" s="1" customFormat="1">
      <c r="A123"/>
      <c r="B123"/>
      <c r="E123"/>
      <c r="F123"/>
      <c r="I123"/>
      <c r="J123"/>
      <c r="K123"/>
      <c r="L123"/>
      <c r="M123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3"/>
      <c r="AE123" s="33"/>
      <c r="AF123" s="33"/>
      <c r="AG123" s="33"/>
      <c r="AI123"/>
      <c r="AJ123"/>
      <c r="AK123"/>
      <c r="AL123"/>
      <c r="AM123"/>
      <c r="AN123"/>
      <c r="AO123"/>
      <c r="AP123"/>
      <c r="AQ123"/>
      <c r="AR123"/>
      <c r="AS123"/>
    </row>
    <row r="124" spans="1:45" s="1" customFormat="1">
      <c r="A124"/>
      <c r="B124"/>
      <c r="E124"/>
      <c r="F124"/>
      <c r="I124"/>
      <c r="J124"/>
      <c r="K124"/>
      <c r="L124"/>
      <c r="M124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3"/>
      <c r="AE124" s="33"/>
      <c r="AF124" s="33"/>
      <c r="AG124" s="33"/>
      <c r="AI124"/>
      <c r="AJ124"/>
      <c r="AK124"/>
      <c r="AL124"/>
      <c r="AM124"/>
      <c r="AN124"/>
      <c r="AO124"/>
      <c r="AP124"/>
      <c r="AQ124"/>
      <c r="AR124"/>
      <c r="AS124"/>
    </row>
    <row r="125" spans="1:45" s="1" customFormat="1">
      <c r="A125"/>
      <c r="B125"/>
      <c r="E125"/>
      <c r="F125"/>
      <c r="I125"/>
      <c r="J125"/>
      <c r="K125"/>
      <c r="L125"/>
      <c r="M125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3"/>
      <c r="AE125" s="33"/>
      <c r="AF125" s="33"/>
      <c r="AG125" s="33"/>
      <c r="AI125"/>
      <c r="AJ125"/>
      <c r="AK125"/>
      <c r="AL125"/>
      <c r="AM125"/>
      <c r="AN125"/>
      <c r="AO125"/>
      <c r="AP125"/>
      <c r="AQ125"/>
      <c r="AR125"/>
      <c r="AS125"/>
    </row>
    <row r="126" spans="1:45" s="1" customFormat="1">
      <c r="A126"/>
      <c r="B126"/>
      <c r="E126"/>
      <c r="F126"/>
      <c r="I126"/>
      <c r="J126"/>
      <c r="K126"/>
      <c r="L126"/>
      <c r="M126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3"/>
      <c r="AE126" s="33"/>
      <c r="AF126" s="33"/>
      <c r="AG126" s="33"/>
      <c r="AI126"/>
      <c r="AJ126"/>
      <c r="AK126"/>
      <c r="AL126"/>
      <c r="AM126"/>
      <c r="AN126"/>
      <c r="AO126"/>
      <c r="AP126"/>
      <c r="AQ126"/>
      <c r="AR126"/>
      <c r="AS126"/>
    </row>
    <row r="127" spans="1:45" s="1" customFormat="1">
      <c r="A127"/>
      <c r="B127"/>
      <c r="E127"/>
      <c r="F127"/>
      <c r="I127"/>
      <c r="J127"/>
      <c r="K127"/>
      <c r="L127"/>
      <c r="M127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3"/>
      <c r="AE127" s="33"/>
      <c r="AF127" s="33"/>
      <c r="AG127" s="33"/>
      <c r="AI127"/>
      <c r="AJ127"/>
      <c r="AK127"/>
      <c r="AL127"/>
      <c r="AM127"/>
      <c r="AN127"/>
      <c r="AO127"/>
      <c r="AP127"/>
      <c r="AQ127"/>
      <c r="AR127"/>
      <c r="AS127"/>
    </row>
    <row r="128" spans="1:45" s="1" customFormat="1">
      <c r="A128"/>
      <c r="B128"/>
      <c r="E128"/>
      <c r="F128"/>
      <c r="I128"/>
      <c r="J128"/>
      <c r="K128"/>
      <c r="L128"/>
      <c r="M128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3"/>
      <c r="AE128" s="33"/>
      <c r="AF128" s="33"/>
      <c r="AG128" s="33"/>
      <c r="AI128"/>
      <c r="AJ128"/>
      <c r="AK128"/>
      <c r="AL128"/>
      <c r="AM128"/>
      <c r="AN128"/>
      <c r="AO128"/>
      <c r="AP128"/>
      <c r="AQ128"/>
      <c r="AR128"/>
      <c r="AS128"/>
    </row>
    <row r="129" spans="1:45" s="1" customFormat="1">
      <c r="A129"/>
      <c r="B129"/>
      <c r="E129"/>
      <c r="F129"/>
      <c r="I129"/>
      <c r="J129"/>
      <c r="K129"/>
      <c r="L129"/>
      <c r="M129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3"/>
      <c r="AE129" s="33"/>
      <c r="AF129" s="33"/>
      <c r="AG129" s="33"/>
      <c r="AI129"/>
      <c r="AJ129"/>
      <c r="AK129"/>
      <c r="AL129"/>
      <c r="AM129"/>
      <c r="AN129"/>
      <c r="AO129"/>
      <c r="AP129"/>
      <c r="AQ129"/>
      <c r="AR129"/>
      <c r="AS129"/>
    </row>
    <row r="130" spans="1:45" s="1" customFormat="1">
      <c r="A130"/>
      <c r="B130"/>
      <c r="E130"/>
      <c r="F130"/>
      <c r="I130"/>
      <c r="J130"/>
      <c r="K130"/>
      <c r="L130"/>
      <c r="M130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3"/>
      <c r="AE130" s="33"/>
      <c r="AF130" s="33"/>
      <c r="AG130" s="33"/>
      <c r="AI130"/>
      <c r="AJ130"/>
      <c r="AK130"/>
      <c r="AL130"/>
      <c r="AM130"/>
      <c r="AN130"/>
      <c r="AO130"/>
      <c r="AP130"/>
      <c r="AQ130"/>
      <c r="AR130"/>
      <c r="AS130"/>
    </row>
    <row r="131" spans="1:45" s="1" customFormat="1">
      <c r="A131"/>
      <c r="B131"/>
      <c r="E131"/>
      <c r="F131"/>
      <c r="I131"/>
      <c r="J131"/>
      <c r="K131"/>
      <c r="L131"/>
      <c r="M131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3"/>
      <c r="AE131" s="33"/>
      <c r="AF131" s="33"/>
      <c r="AG131" s="33"/>
      <c r="AI131"/>
      <c r="AJ131"/>
      <c r="AK131"/>
      <c r="AL131"/>
      <c r="AM131"/>
      <c r="AN131"/>
      <c r="AO131"/>
      <c r="AP131"/>
      <c r="AQ131"/>
      <c r="AR131"/>
      <c r="AS131"/>
    </row>
    <row r="132" spans="1:45" s="1" customFormat="1">
      <c r="A132"/>
      <c r="B132"/>
      <c r="E132"/>
      <c r="F132"/>
      <c r="I132"/>
      <c r="J132"/>
      <c r="K132"/>
      <c r="L132"/>
      <c r="M1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3"/>
      <c r="AE132" s="33"/>
      <c r="AF132" s="33"/>
      <c r="AG132" s="33"/>
      <c r="AI132"/>
      <c r="AJ132"/>
      <c r="AK132"/>
      <c r="AL132"/>
      <c r="AM132"/>
      <c r="AN132"/>
      <c r="AO132"/>
      <c r="AP132"/>
      <c r="AQ132"/>
      <c r="AR132"/>
      <c r="AS132"/>
    </row>
    <row r="133" spans="1:45" s="1" customFormat="1">
      <c r="A133"/>
      <c r="B133"/>
      <c r="E133"/>
      <c r="F133"/>
      <c r="I133"/>
      <c r="J133"/>
      <c r="K133"/>
      <c r="L133"/>
      <c r="M133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3"/>
      <c r="AE133" s="33"/>
      <c r="AF133" s="33"/>
      <c r="AG133" s="33"/>
      <c r="AI133"/>
      <c r="AJ133"/>
      <c r="AK133"/>
      <c r="AL133"/>
      <c r="AM133"/>
      <c r="AN133"/>
      <c r="AO133"/>
      <c r="AP133"/>
      <c r="AQ133"/>
      <c r="AR133"/>
      <c r="AS133"/>
    </row>
    <row r="134" spans="1:45" s="1" customFormat="1">
      <c r="A134"/>
      <c r="B134"/>
      <c r="E134"/>
      <c r="F134"/>
      <c r="I134"/>
      <c r="J134"/>
      <c r="K134"/>
      <c r="L134"/>
      <c r="M134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3"/>
      <c r="AE134" s="33"/>
      <c r="AF134" s="33"/>
      <c r="AG134" s="33"/>
      <c r="AI134"/>
      <c r="AJ134"/>
      <c r="AK134"/>
      <c r="AL134"/>
      <c r="AM134"/>
      <c r="AN134"/>
      <c r="AO134"/>
      <c r="AP134"/>
      <c r="AQ134"/>
      <c r="AR134"/>
      <c r="AS134"/>
    </row>
    <row r="135" spans="1:45" s="1" customFormat="1">
      <c r="A135"/>
      <c r="B135"/>
      <c r="E135"/>
      <c r="F135"/>
      <c r="I135"/>
      <c r="J135"/>
      <c r="K135"/>
      <c r="L135"/>
      <c r="M135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3"/>
      <c r="AE135" s="33"/>
      <c r="AF135" s="33"/>
      <c r="AG135" s="33"/>
      <c r="AI135"/>
      <c r="AJ135"/>
      <c r="AK135"/>
      <c r="AL135"/>
      <c r="AM135"/>
      <c r="AN135"/>
      <c r="AO135"/>
      <c r="AP135"/>
      <c r="AQ135"/>
      <c r="AR135"/>
      <c r="AS135"/>
    </row>
    <row r="136" spans="1:45" s="1" customFormat="1">
      <c r="A136"/>
      <c r="B136"/>
      <c r="E136"/>
      <c r="F136"/>
      <c r="I136"/>
      <c r="J136"/>
      <c r="K136"/>
      <c r="L136"/>
      <c r="M136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3"/>
      <c r="AE136" s="33"/>
      <c r="AF136" s="33"/>
      <c r="AG136" s="33"/>
      <c r="AI136"/>
      <c r="AJ136"/>
      <c r="AK136"/>
      <c r="AL136"/>
      <c r="AM136"/>
      <c r="AN136"/>
      <c r="AO136"/>
      <c r="AP136"/>
      <c r="AQ136"/>
      <c r="AR136"/>
      <c r="AS136"/>
    </row>
    <row r="137" spans="1:45" s="1" customFormat="1">
      <c r="A137"/>
      <c r="B137"/>
      <c r="E137"/>
      <c r="F137"/>
      <c r="I137"/>
      <c r="J137"/>
      <c r="K137"/>
      <c r="L137"/>
      <c r="M137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3"/>
      <c r="AE137" s="33"/>
      <c r="AF137" s="33"/>
      <c r="AG137" s="33"/>
      <c r="AI137"/>
      <c r="AJ137"/>
      <c r="AK137"/>
      <c r="AL137"/>
      <c r="AM137"/>
      <c r="AN137"/>
      <c r="AO137"/>
      <c r="AP137"/>
      <c r="AQ137"/>
      <c r="AR137"/>
      <c r="AS137"/>
    </row>
    <row r="138" spans="1:45" s="1" customFormat="1">
      <c r="A138"/>
      <c r="B138"/>
      <c r="E138"/>
      <c r="F138"/>
      <c r="I138"/>
      <c r="J138"/>
      <c r="K138"/>
      <c r="L138"/>
      <c r="M138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3"/>
      <c r="AE138" s="33"/>
      <c r="AF138" s="33"/>
      <c r="AG138" s="33"/>
      <c r="AI138"/>
      <c r="AJ138"/>
      <c r="AK138"/>
      <c r="AL138"/>
      <c r="AM138"/>
      <c r="AN138"/>
      <c r="AO138"/>
      <c r="AP138"/>
      <c r="AQ138"/>
      <c r="AR138"/>
      <c r="AS138"/>
    </row>
    <row r="139" spans="1:45" s="1" customFormat="1">
      <c r="A139"/>
      <c r="B139"/>
      <c r="E139"/>
      <c r="F139"/>
      <c r="I139"/>
      <c r="J139"/>
      <c r="K139"/>
      <c r="L139"/>
      <c r="M139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3"/>
      <c r="AE139" s="33"/>
      <c r="AF139" s="33"/>
      <c r="AG139" s="33"/>
      <c r="AI139"/>
      <c r="AJ139"/>
      <c r="AK139"/>
      <c r="AL139"/>
      <c r="AM139"/>
      <c r="AN139"/>
      <c r="AO139"/>
      <c r="AP139"/>
      <c r="AQ139"/>
      <c r="AR139"/>
      <c r="AS139"/>
    </row>
    <row r="140" spans="1:45" s="1" customFormat="1">
      <c r="A140"/>
      <c r="B140"/>
      <c r="E140"/>
      <c r="F140"/>
      <c r="I140"/>
      <c r="J140"/>
      <c r="K140"/>
      <c r="L140"/>
      <c r="M140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3"/>
      <c r="AE140" s="33"/>
      <c r="AF140" s="33"/>
      <c r="AG140" s="33"/>
      <c r="AI140"/>
      <c r="AJ140"/>
      <c r="AK140"/>
      <c r="AL140"/>
      <c r="AM140"/>
      <c r="AN140"/>
      <c r="AO140"/>
      <c r="AP140"/>
      <c r="AQ140"/>
      <c r="AR140"/>
      <c r="AS140"/>
    </row>
    <row r="141" spans="1:45" s="1" customFormat="1">
      <c r="A141"/>
      <c r="B141"/>
      <c r="E141"/>
      <c r="F141"/>
      <c r="I141"/>
      <c r="J141"/>
      <c r="K141"/>
      <c r="L141"/>
      <c r="M141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3"/>
      <c r="AE141" s="33"/>
      <c r="AF141" s="33"/>
      <c r="AG141" s="33"/>
      <c r="AI141"/>
      <c r="AJ141"/>
      <c r="AK141"/>
      <c r="AL141"/>
      <c r="AM141"/>
      <c r="AN141"/>
      <c r="AO141"/>
      <c r="AP141"/>
      <c r="AQ141"/>
      <c r="AR141"/>
      <c r="AS141"/>
    </row>
    <row r="142" spans="1:45" s="1" customFormat="1">
      <c r="A142"/>
      <c r="B142"/>
      <c r="E142"/>
      <c r="F142"/>
      <c r="I142"/>
      <c r="J142"/>
      <c r="K142"/>
      <c r="L142"/>
      <c r="M14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3"/>
      <c r="AE142" s="33"/>
      <c r="AF142" s="33"/>
      <c r="AG142" s="33"/>
      <c r="AI142"/>
      <c r="AJ142"/>
      <c r="AK142"/>
      <c r="AL142"/>
      <c r="AM142"/>
      <c r="AN142"/>
      <c r="AO142"/>
      <c r="AP142"/>
      <c r="AQ142"/>
      <c r="AR142"/>
      <c r="AS142"/>
    </row>
    <row r="143" spans="1:45" s="1" customFormat="1">
      <c r="A143"/>
      <c r="B143"/>
      <c r="E143"/>
      <c r="F143"/>
      <c r="I143"/>
      <c r="J143"/>
      <c r="K143"/>
      <c r="L143"/>
      <c r="M143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3"/>
      <c r="AE143" s="33"/>
      <c r="AF143" s="33"/>
      <c r="AG143" s="33"/>
      <c r="AI143"/>
      <c r="AJ143"/>
      <c r="AK143"/>
      <c r="AL143"/>
      <c r="AM143"/>
      <c r="AN143"/>
      <c r="AO143"/>
      <c r="AP143"/>
      <c r="AQ143"/>
      <c r="AR143"/>
      <c r="AS143"/>
    </row>
    <row r="144" spans="1:45" s="1" customFormat="1">
      <c r="A144"/>
      <c r="B144"/>
      <c r="E144"/>
      <c r="F144"/>
      <c r="I144"/>
      <c r="J144"/>
      <c r="K144"/>
      <c r="L144"/>
      <c r="M144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3"/>
      <c r="AE144" s="33"/>
      <c r="AF144" s="33"/>
      <c r="AG144" s="33"/>
      <c r="AI144"/>
      <c r="AJ144"/>
      <c r="AK144"/>
      <c r="AL144"/>
      <c r="AM144"/>
      <c r="AN144"/>
      <c r="AO144"/>
      <c r="AP144"/>
      <c r="AQ144"/>
      <c r="AR144"/>
      <c r="AS144"/>
    </row>
    <row r="145" spans="1:45" s="1" customFormat="1">
      <c r="A145"/>
      <c r="B145"/>
      <c r="E145"/>
      <c r="F145"/>
      <c r="I145"/>
      <c r="J145"/>
      <c r="K145"/>
      <c r="L145"/>
      <c r="M145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3"/>
      <c r="AE145" s="33"/>
      <c r="AF145" s="33"/>
      <c r="AG145" s="33"/>
      <c r="AI145"/>
      <c r="AJ145"/>
      <c r="AK145"/>
      <c r="AL145"/>
      <c r="AM145"/>
      <c r="AN145"/>
      <c r="AO145"/>
      <c r="AP145"/>
      <c r="AQ145"/>
      <c r="AR145"/>
      <c r="AS145"/>
    </row>
    <row r="146" spans="1:45" s="1" customFormat="1">
      <c r="A146"/>
      <c r="B146"/>
      <c r="E146"/>
      <c r="F146"/>
      <c r="I146"/>
      <c r="J146"/>
      <c r="K146"/>
      <c r="L146"/>
      <c r="M146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3"/>
      <c r="AE146" s="33"/>
      <c r="AF146" s="33"/>
      <c r="AG146" s="33"/>
      <c r="AI146"/>
      <c r="AJ146"/>
      <c r="AK146"/>
      <c r="AL146"/>
      <c r="AM146"/>
      <c r="AN146"/>
      <c r="AO146"/>
      <c r="AP146"/>
      <c r="AQ146"/>
      <c r="AR146"/>
      <c r="AS146"/>
    </row>
    <row r="147" spans="1:45" s="1" customFormat="1">
      <c r="A147"/>
      <c r="B147"/>
      <c r="E147"/>
      <c r="F147"/>
      <c r="I147"/>
      <c r="J147"/>
      <c r="K147"/>
      <c r="L147"/>
      <c r="M147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3"/>
      <c r="AE147" s="33"/>
      <c r="AF147" s="33"/>
      <c r="AG147" s="33"/>
      <c r="AI147"/>
      <c r="AJ147"/>
      <c r="AK147"/>
      <c r="AL147"/>
      <c r="AM147"/>
      <c r="AN147"/>
      <c r="AO147"/>
      <c r="AP147"/>
      <c r="AQ147"/>
      <c r="AR147"/>
      <c r="AS147"/>
    </row>
    <row r="148" spans="1:45" s="1" customFormat="1">
      <c r="A148"/>
      <c r="B148"/>
      <c r="E148"/>
      <c r="F148"/>
      <c r="I148"/>
      <c r="J148"/>
      <c r="K148"/>
      <c r="L148"/>
      <c r="M148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3"/>
      <c r="AE148" s="33"/>
      <c r="AF148" s="33"/>
      <c r="AG148" s="33"/>
      <c r="AI148"/>
      <c r="AJ148"/>
      <c r="AK148"/>
      <c r="AL148"/>
      <c r="AM148"/>
      <c r="AN148"/>
      <c r="AO148"/>
      <c r="AP148"/>
      <c r="AQ148"/>
      <c r="AR148"/>
      <c r="AS148"/>
    </row>
    <row r="149" spans="1:45" s="1" customFormat="1">
      <c r="A149"/>
      <c r="B149"/>
      <c r="E149"/>
      <c r="F149"/>
      <c r="I149"/>
      <c r="J149"/>
      <c r="K149"/>
      <c r="L149"/>
      <c r="M149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3"/>
      <c r="AE149" s="33"/>
      <c r="AF149" s="33"/>
      <c r="AG149" s="33"/>
      <c r="AI149"/>
      <c r="AJ149"/>
      <c r="AK149"/>
      <c r="AL149"/>
      <c r="AM149"/>
      <c r="AN149"/>
      <c r="AO149"/>
      <c r="AP149"/>
      <c r="AQ149"/>
      <c r="AR149"/>
      <c r="AS149"/>
    </row>
    <row r="150" spans="1:45" s="1" customFormat="1">
      <c r="A150"/>
      <c r="B150"/>
      <c r="E150"/>
      <c r="F150"/>
      <c r="I150"/>
      <c r="J150"/>
      <c r="K150"/>
      <c r="L150"/>
      <c r="M150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3"/>
      <c r="AE150" s="33"/>
      <c r="AF150" s="33"/>
      <c r="AG150" s="33"/>
      <c r="AI150"/>
      <c r="AJ150"/>
      <c r="AK150"/>
      <c r="AL150"/>
      <c r="AM150"/>
      <c r="AN150"/>
      <c r="AO150"/>
      <c r="AP150"/>
      <c r="AQ150"/>
      <c r="AR150"/>
      <c r="AS150"/>
    </row>
    <row r="151" spans="1:45" s="1" customFormat="1">
      <c r="A151"/>
      <c r="B151"/>
      <c r="E151"/>
      <c r="F151"/>
      <c r="I151"/>
      <c r="J151"/>
      <c r="K151"/>
      <c r="L151"/>
      <c r="M151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3"/>
      <c r="AE151" s="33"/>
      <c r="AF151" s="33"/>
      <c r="AG151" s="33"/>
      <c r="AI151"/>
      <c r="AJ151"/>
      <c r="AK151"/>
      <c r="AL151"/>
      <c r="AM151"/>
      <c r="AN151"/>
      <c r="AO151"/>
      <c r="AP151"/>
      <c r="AQ151"/>
      <c r="AR151"/>
      <c r="AS151"/>
    </row>
    <row r="152" spans="1:45" s="1" customFormat="1">
      <c r="A152"/>
      <c r="B152"/>
      <c r="E152"/>
      <c r="F152"/>
      <c r="I152"/>
      <c r="J152"/>
      <c r="K152"/>
      <c r="L152"/>
      <c r="M15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3"/>
      <c r="AE152" s="33"/>
      <c r="AF152" s="33"/>
      <c r="AG152" s="33"/>
      <c r="AI152"/>
      <c r="AJ152"/>
      <c r="AK152"/>
      <c r="AL152"/>
      <c r="AM152"/>
      <c r="AN152"/>
      <c r="AO152"/>
      <c r="AP152"/>
      <c r="AQ152"/>
      <c r="AR152"/>
      <c r="AS152"/>
    </row>
    <row r="153" spans="1:45" s="1" customFormat="1">
      <c r="A153"/>
      <c r="B153"/>
      <c r="E153"/>
      <c r="F153"/>
      <c r="I153"/>
      <c r="J153"/>
      <c r="K153"/>
      <c r="L153"/>
      <c r="M153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3"/>
      <c r="AE153" s="33"/>
      <c r="AF153" s="33"/>
      <c r="AG153" s="33"/>
      <c r="AI153"/>
      <c r="AJ153"/>
      <c r="AK153"/>
      <c r="AL153"/>
      <c r="AM153"/>
      <c r="AN153"/>
      <c r="AO153"/>
      <c r="AP153"/>
      <c r="AQ153"/>
      <c r="AR153"/>
      <c r="AS153"/>
    </row>
    <row r="154" spans="1:45" s="1" customFormat="1">
      <c r="A154"/>
      <c r="B154"/>
      <c r="E154"/>
      <c r="F154"/>
      <c r="I154"/>
      <c r="J154"/>
      <c r="K154"/>
      <c r="L154"/>
      <c r="M154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3"/>
      <c r="AE154" s="33"/>
      <c r="AF154" s="33"/>
      <c r="AG154" s="33"/>
      <c r="AI154"/>
      <c r="AJ154"/>
      <c r="AK154"/>
      <c r="AL154"/>
      <c r="AM154"/>
      <c r="AN154"/>
      <c r="AO154"/>
      <c r="AP154"/>
      <c r="AQ154"/>
      <c r="AR154"/>
      <c r="AS154"/>
    </row>
    <row r="155" spans="1:45" s="1" customFormat="1">
      <c r="A155"/>
      <c r="B155"/>
      <c r="E155"/>
      <c r="F155"/>
      <c r="I155"/>
      <c r="J155"/>
      <c r="K155"/>
      <c r="L155"/>
      <c r="M155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3"/>
      <c r="AE155" s="33"/>
      <c r="AF155" s="33"/>
      <c r="AG155" s="33"/>
      <c r="AI155"/>
      <c r="AJ155"/>
      <c r="AK155"/>
      <c r="AL155"/>
      <c r="AM155"/>
      <c r="AN155"/>
      <c r="AO155"/>
      <c r="AP155"/>
      <c r="AQ155"/>
      <c r="AR155"/>
      <c r="AS155"/>
    </row>
    <row r="156" spans="1:45" s="1" customFormat="1">
      <c r="A156"/>
      <c r="B156"/>
      <c r="E156"/>
      <c r="F156"/>
      <c r="I156"/>
      <c r="J156"/>
      <c r="K156"/>
      <c r="L156"/>
      <c r="M156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3"/>
      <c r="AE156" s="33"/>
      <c r="AF156" s="33"/>
      <c r="AG156" s="33"/>
      <c r="AI156"/>
      <c r="AJ156"/>
      <c r="AK156"/>
      <c r="AL156"/>
      <c r="AM156"/>
      <c r="AN156"/>
      <c r="AO156"/>
      <c r="AP156"/>
      <c r="AQ156"/>
      <c r="AR156"/>
      <c r="AS156"/>
    </row>
    <row r="157" spans="1:45" s="1" customFormat="1">
      <c r="A157"/>
      <c r="B157"/>
      <c r="E157"/>
      <c r="F157"/>
      <c r="I157"/>
      <c r="J157"/>
      <c r="K157"/>
      <c r="L157"/>
      <c r="M157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3"/>
      <c r="AE157" s="33"/>
      <c r="AF157" s="33"/>
      <c r="AG157" s="33"/>
      <c r="AI157"/>
      <c r="AJ157"/>
      <c r="AK157"/>
      <c r="AL157"/>
      <c r="AM157"/>
      <c r="AN157"/>
      <c r="AO157"/>
      <c r="AP157"/>
      <c r="AQ157"/>
      <c r="AR157"/>
      <c r="AS157"/>
    </row>
    <row r="158" spans="1:45" s="1" customFormat="1">
      <c r="A158"/>
      <c r="B158"/>
      <c r="E158"/>
      <c r="F158"/>
      <c r="I158"/>
      <c r="J158"/>
      <c r="K158"/>
      <c r="L158"/>
      <c r="M158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3"/>
      <c r="AE158" s="33"/>
      <c r="AF158" s="33"/>
      <c r="AG158" s="33"/>
      <c r="AI158"/>
      <c r="AJ158"/>
      <c r="AK158"/>
      <c r="AL158"/>
      <c r="AM158"/>
      <c r="AN158"/>
      <c r="AO158"/>
      <c r="AP158"/>
      <c r="AQ158"/>
      <c r="AR158"/>
      <c r="AS158"/>
    </row>
    <row r="159" spans="1:45" s="1" customFormat="1">
      <c r="A159"/>
      <c r="B159"/>
      <c r="E159"/>
      <c r="F159"/>
      <c r="I159"/>
      <c r="J159"/>
      <c r="K159"/>
      <c r="L159"/>
      <c r="M159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3"/>
      <c r="AE159" s="33"/>
      <c r="AF159" s="33"/>
      <c r="AG159" s="33"/>
      <c r="AI159"/>
      <c r="AJ159"/>
      <c r="AK159"/>
      <c r="AL159"/>
      <c r="AM159"/>
      <c r="AN159"/>
      <c r="AO159"/>
      <c r="AP159"/>
      <c r="AQ159"/>
      <c r="AR159"/>
      <c r="AS159"/>
    </row>
    <row r="160" spans="1:45" s="1" customFormat="1">
      <c r="A160"/>
      <c r="B160"/>
      <c r="E160"/>
      <c r="F160"/>
      <c r="I160"/>
      <c r="J160"/>
      <c r="K160"/>
      <c r="L160"/>
      <c r="M160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3"/>
      <c r="AE160" s="33"/>
      <c r="AF160" s="33"/>
      <c r="AG160" s="33"/>
      <c r="AI160"/>
      <c r="AJ160"/>
      <c r="AK160"/>
      <c r="AL160"/>
      <c r="AM160"/>
      <c r="AN160"/>
      <c r="AO160"/>
      <c r="AP160"/>
      <c r="AQ160"/>
      <c r="AR160"/>
      <c r="AS160"/>
    </row>
    <row r="161" spans="1:45" s="1" customFormat="1">
      <c r="A161"/>
      <c r="B161"/>
      <c r="E161"/>
      <c r="F161"/>
      <c r="I161"/>
      <c r="J161"/>
      <c r="K161"/>
      <c r="L161"/>
      <c r="M161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3"/>
      <c r="AE161" s="33"/>
      <c r="AF161" s="33"/>
      <c r="AG161" s="33"/>
      <c r="AI161"/>
      <c r="AJ161"/>
      <c r="AK161"/>
      <c r="AL161"/>
      <c r="AM161"/>
      <c r="AN161"/>
      <c r="AO161"/>
      <c r="AP161"/>
      <c r="AQ161"/>
      <c r="AR161"/>
      <c r="AS161"/>
    </row>
    <row r="162" spans="1:45" s="1" customFormat="1">
      <c r="A162"/>
      <c r="B162"/>
      <c r="E162"/>
      <c r="F162"/>
      <c r="I162"/>
      <c r="J162"/>
      <c r="K162"/>
      <c r="L162"/>
      <c r="M16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3"/>
      <c r="AE162" s="33"/>
      <c r="AF162" s="33"/>
      <c r="AG162" s="33"/>
      <c r="AI162"/>
      <c r="AJ162"/>
      <c r="AK162"/>
      <c r="AL162"/>
      <c r="AM162"/>
      <c r="AN162"/>
      <c r="AO162"/>
      <c r="AP162"/>
      <c r="AQ162"/>
      <c r="AR162"/>
      <c r="AS162"/>
    </row>
    <row r="163" spans="1:45" s="1" customFormat="1">
      <c r="A163"/>
      <c r="B163"/>
      <c r="E163"/>
      <c r="F163"/>
      <c r="I163"/>
      <c r="J163"/>
      <c r="K163"/>
      <c r="L163"/>
      <c r="M163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3"/>
      <c r="AE163" s="33"/>
      <c r="AF163" s="33"/>
      <c r="AG163" s="33"/>
      <c r="AI163"/>
      <c r="AJ163"/>
      <c r="AK163"/>
      <c r="AL163"/>
      <c r="AM163"/>
      <c r="AN163"/>
      <c r="AO163"/>
      <c r="AP163"/>
      <c r="AQ163"/>
      <c r="AR163"/>
      <c r="AS163"/>
    </row>
    <row r="164" spans="1:45" s="1" customFormat="1">
      <c r="A164"/>
      <c r="B164"/>
      <c r="E164"/>
      <c r="F164"/>
      <c r="I164"/>
      <c r="J164"/>
      <c r="K164"/>
      <c r="L164"/>
      <c r="M164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3"/>
      <c r="AE164" s="33"/>
      <c r="AF164" s="33"/>
      <c r="AG164" s="33"/>
      <c r="AI164"/>
      <c r="AJ164"/>
      <c r="AK164"/>
      <c r="AL164"/>
      <c r="AM164"/>
      <c r="AN164"/>
      <c r="AO164"/>
      <c r="AP164"/>
      <c r="AQ164"/>
      <c r="AR164"/>
      <c r="AS164"/>
    </row>
    <row r="165" spans="1:45" s="1" customFormat="1">
      <c r="A165"/>
      <c r="B165"/>
      <c r="E165"/>
      <c r="F165"/>
      <c r="I165"/>
      <c r="J165"/>
      <c r="K165"/>
      <c r="L165"/>
      <c r="M165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3"/>
      <c r="AE165" s="33"/>
      <c r="AF165" s="33"/>
      <c r="AG165" s="33"/>
      <c r="AI165"/>
      <c r="AJ165"/>
      <c r="AK165"/>
      <c r="AL165"/>
      <c r="AM165"/>
      <c r="AN165"/>
      <c r="AO165"/>
      <c r="AP165"/>
      <c r="AQ165"/>
      <c r="AR165"/>
      <c r="AS165"/>
    </row>
    <row r="166" spans="1:45" s="1" customFormat="1">
      <c r="A166"/>
      <c r="B166"/>
      <c r="E166"/>
      <c r="F166"/>
      <c r="I166"/>
      <c r="J166"/>
      <c r="K166"/>
      <c r="L166"/>
      <c r="M166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3"/>
      <c r="AE166" s="33"/>
      <c r="AF166" s="33"/>
      <c r="AG166" s="33"/>
      <c r="AI166"/>
      <c r="AJ166"/>
      <c r="AK166"/>
      <c r="AL166"/>
      <c r="AM166"/>
      <c r="AN166"/>
      <c r="AO166"/>
      <c r="AP166"/>
      <c r="AQ166"/>
      <c r="AR166"/>
      <c r="AS166"/>
    </row>
    <row r="167" spans="1:45" s="1" customFormat="1">
      <c r="A167"/>
      <c r="B167"/>
      <c r="E167"/>
      <c r="F167"/>
      <c r="I167"/>
      <c r="J167"/>
      <c r="K167"/>
      <c r="L167"/>
      <c r="M167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3"/>
      <c r="AE167" s="33"/>
      <c r="AF167" s="33"/>
      <c r="AG167" s="33"/>
      <c r="AI167"/>
      <c r="AJ167"/>
      <c r="AK167"/>
      <c r="AL167"/>
      <c r="AM167"/>
      <c r="AN167"/>
      <c r="AO167"/>
      <c r="AP167"/>
      <c r="AQ167"/>
      <c r="AR167"/>
      <c r="AS167"/>
    </row>
    <row r="168" spans="1:45" s="1" customFormat="1">
      <c r="A168"/>
      <c r="B168"/>
      <c r="E168"/>
      <c r="F168"/>
      <c r="I168"/>
      <c r="J168"/>
      <c r="K168"/>
      <c r="L168"/>
      <c r="M168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3"/>
      <c r="AE168" s="33"/>
      <c r="AF168" s="33"/>
      <c r="AG168" s="33"/>
      <c r="AI168"/>
      <c r="AJ168"/>
      <c r="AK168"/>
      <c r="AL168"/>
      <c r="AM168"/>
      <c r="AN168"/>
      <c r="AO168"/>
      <c r="AP168"/>
      <c r="AQ168"/>
      <c r="AR168"/>
      <c r="AS168"/>
    </row>
    <row r="169" spans="1:45" s="1" customFormat="1">
      <c r="A169"/>
      <c r="B169"/>
      <c r="E169"/>
      <c r="F169"/>
      <c r="I169"/>
      <c r="J169"/>
      <c r="K169"/>
      <c r="L169"/>
      <c r="M169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3"/>
      <c r="AE169" s="33"/>
      <c r="AF169" s="33"/>
      <c r="AG169" s="33"/>
      <c r="AI169"/>
      <c r="AJ169"/>
      <c r="AK169"/>
      <c r="AL169"/>
      <c r="AM169"/>
      <c r="AN169"/>
      <c r="AO169"/>
      <c r="AP169"/>
      <c r="AQ169"/>
      <c r="AR169"/>
      <c r="AS169"/>
    </row>
    <row r="170" spans="1:45" s="1" customFormat="1">
      <c r="A170"/>
      <c r="B170"/>
      <c r="E170"/>
      <c r="F170"/>
      <c r="I170"/>
      <c r="J170"/>
      <c r="K170"/>
      <c r="L170"/>
      <c r="M170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3"/>
      <c r="AE170" s="33"/>
      <c r="AF170" s="33"/>
      <c r="AG170" s="33"/>
      <c r="AI170"/>
      <c r="AJ170"/>
      <c r="AK170"/>
      <c r="AL170"/>
      <c r="AM170"/>
      <c r="AN170"/>
      <c r="AO170"/>
      <c r="AP170"/>
      <c r="AQ170"/>
      <c r="AR170"/>
      <c r="AS170"/>
    </row>
    <row r="171" spans="1:45" s="1" customFormat="1">
      <c r="A171"/>
      <c r="B171"/>
      <c r="E171"/>
      <c r="F171"/>
      <c r="I171"/>
      <c r="J171"/>
      <c r="K171"/>
      <c r="L171"/>
      <c r="M171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3"/>
      <c r="AE171" s="33"/>
      <c r="AF171" s="33"/>
      <c r="AG171" s="33"/>
      <c r="AI171"/>
      <c r="AJ171"/>
      <c r="AK171"/>
      <c r="AL171"/>
      <c r="AM171"/>
      <c r="AN171"/>
      <c r="AO171"/>
      <c r="AP171"/>
      <c r="AQ171"/>
      <c r="AR171"/>
      <c r="AS171"/>
    </row>
    <row r="172" spans="1:45" s="1" customFormat="1">
      <c r="A172"/>
      <c r="B172"/>
      <c r="E172"/>
      <c r="F172"/>
      <c r="I172"/>
      <c r="J172"/>
      <c r="K172"/>
      <c r="L172"/>
      <c r="M17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3"/>
      <c r="AE172" s="33"/>
      <c r="AF172" s="33"/>
      <c r="AG172" s="33"/>
      <c r="AI172"/>
      <c r="AJ172"/>
      <c r="AK172"/>
      <c r="AL172"/>
      <c r="AM172"/>
      <c r="AN172"/>
      <c r="AO172"/>
      <c r="AP172"/>
      <c r="AQ172"/>
      <c r="AR172"/>
      <c r="AS172"/>
    </row>
    <row r="173" spans="1:45" s="1" customFormat="1">
      <c r="A173"/>
      <c r="B173"/>
      <c r="E173"/>
      <c r="F173"/>
      <c r="I173"/>
      <c r="J173"/>
      <c r="K173"/>
      <c r="L173"/>
      <c r="M173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3"/>
      <c r="AE173" s="33"/>
      <c r="AF173" s="33"/>
      <c r="AG173" s="33"/>
      <c r="AI173"/>
      <c r="AJ173"/>
      <c r="AK173"/>
      <c r="AL173"/>
      <c r="AM173"/>
      <c r="AN173"/>
      <c r="AO173"/>
      <c r="AP173"/>
      <c r="AQ173"/>
      <c r="AR173"/>
      <c r="AS173"/>
    </row>
    <row r="174" spans="1:45" s="1" customFormat="1">
      <c r="A174"/>
      <c r="B174"/>
      <c r="E174"/>
      <c r="F174"/>
      <c r="I174"/>
      <c r="J174"/>
      <c r="K174"/>
      <c r="L174"/>
      <c r="M174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3"/>
      <c r="AE174" s="33"/>
      <c r="AF174" s="33"/>
      <c r="AG174" s="33"/>
      <c r="AI174"/>
      <c r="AJ174"/>
      <c r="AK174"/>
      <c r="AL174"/>
      <c r="AM174"/>
      <c r="AN174"/>
      <c r="AO174"/>
      <c r="AP174"/>
      <c r="AQ174"/>
      <c r="AR174"/>
      <c r="AS174"/>
    </row>
    <row r="175" spans="1:45" s="1" customFormat="1">
      <c r="A175"/>
      <c r="B175"/>
      <c r="E175"/>
      <c r="F175"/>
      <c r="I175"/>
      <c r="J175"/>
      <c r="K175"/>
      <c r="L175"/>
      <c r="M175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3"/>
      <c r="AE175" s="33"/>
      <c r="AF175" s="33"/>
      <c r="AG175" s="33"/>
      <c r="AI175"/>
      <c r="AJ175"/>
      <c r="AK175"/>
      <c r="AL175"/>
      <c r="AM175"/>
      <c r="AN175"/>
      <c r="AO175"/>
      <c r="AP175"/>
      <c r="AQ175"/>
      <c r="AR175"/>
      <c r="AS175"/>
    </row>
    <row r="176" spans="1:45" s="1" customFormat="1">
      <c r="A176"/>
      <c r="B176"/>
      <c r="E176"/>
      <c r="F176"/>
      <c r="I176"/>
      <c r="J176"/>
      <c r="K176"/>
      <c r="L176"/>
      <c r="M176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3"/>
      <c r="AE176" s="33"/>
      <c r="AF176" s="33"/>
      <c r="AG176" s="33"/>
      <c r="AI176"/>
      <c r="AJ176"/>
      <c r="AK176"/>
      <c r="AL176"/>
      <c r="AM176"/>
      <c r="AN176"/>
      <c r="AO176"/>
      <c r="AP176"/>
      <c r="AQ176"/>
      <c r="AR176"/>
      <c r="AS176"/>
    </row>
    <row r="177" spans="1:45" s="1" customFormat="1">
      <c r="A177"/>
      <c r="B177"/>
      <c r="E177"/>
      <c r="F177"/>
      <c r="I177"/>
      <c r="J177"/>
      <c r="K177"/>
      <c r="L177"/>
      <c r="M177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3"/>
      <c r="AE177" s="33"/>
      <c r="AF177" s="33"/>
      <c r="AG177" s="33"/>
      <c r="AI177"/>
      <c r="AJ177"/>
      <c r="AK177"/>
      <c r="AL177"/>
      <c r="AM177"/>
      <c r="AN177"/>
      <c r="AO177"/>
      <c r="AP177"/>
      <c r="AQ177"/>
      <c r="AR177"/>
      <c r="AS177"/>
    </row>
    <row r="178" spans="1:45" s="1" customFormat="1">
      <c r="A178"/>
      <c r="B178"/>
      <c r="E178"/>
      <c r="F178"/>
      <c r="I178"/>
      <c r="J178"/>
      <c r="K178"/>
      <c r="L178"/>
      <c r="M178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3"/>
      <c r="AE178" s="33"/>
      <c r="AF178" s="33"/>
      <c r="AG178" s="33"/>
      <c r="AI178"/>
      <c r="AJ178"/>
      <c r="AK178"/>
      <c r="AL178"/>
      <c r="AM178"/>
      <c r="AN178"/>
      <c r="AO178"/>
      <c r="AP178"/>
      <c r="AQ178"/>
      <c r="AR178"/>
      <c r="AS178"/>
    </row>
    <row r="179" spans="1:45" s="1" customFormat="1">
      <c r="A179"/>
      <c r="B179"/>
      <c r="E179"/>
      <c r="F179"/>
      <c r="I179"/>
      <c r="J179"/>
      <c r="K179"/>
      <c r="L179"/>
      <c r="M179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3"/>
      <c r="AE179" s="33"/>
      <c r="AF179" s="33"/>
      <c r="AG179" s="33"/>
      <c r="AI179"/>
      <c r="AJ179"/>
      <c r="AK179"/>
      <c r="AL179"/>
      <c r="AM179"/>
      <c r="AN179"/>
      <c r="AO179"/>
      <c r="AP179"/>
      <c r="AQ179"/>
      <c r="AR179"/>
      <c r="AS179"/>
    </row>
    <row r="180" spans="1:45" s="1" customFormat="1">
      <c r="A180"/>
      <c r="B180"/>
      <c r="E180"/>
      <c r="F180"/>
      <c r="I180"/>
      <c r="J180"/>
      <c r="K180"/>
      <c r="L180"/>
      <c r="M180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3"/>
      <c r="AE180" s="33"/>
      <c r="AF180" s="33"/>
      <c r="AG180" s="33"/>
      <c r="AI180"/>
      <c r="AJ180"/>
      <c r="AK180"/>
      <c r="AL180"/>
      <c r="AM180"/>
      <c r="AN180"/>
      <c r="AO180"/>
      <c r="AP180"/>
      <c r="AQ180"/>
      <c r="AR180"/>
      <c r="AS180"/>
    </row>
    <row r="181" spans="1:45" s="1" customFormat="1">
      <c r="A181"/>
      <c r="B181"/>
      <c r="E181"/>
      <c r="F181"/>
      <c r="I181"/>
      <c r="J181"/>
      <c r="K181"/>
      <c r="L181"/>
      <c r="M181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3"/>
      <c r="AE181" s="33"/>
      <c r="AF181" s="33"/>
      <c r="AG181" s="33"/>
      <c r="AI181"/>
      <c r="AJ181"/>
      <c r="AK181"/>
      <c r="AL181"/>
      <c r="AM181"/>
      <c r="AN181"/>
      <c r="AO181"/>
      <c r="AP181"/>
      <c r="AQ181"/>
      <c r="AR181"/>
      <c r="AS181"/>
    </row>
    <row r="182" spans="1:45" s="1" customFormat="1">
      <c r="A182"/>
      <c r="B182"/>
      <c r="E182"/>
      <c r="F182"/>
      <c r="I182"/>
      <c r="J182"/>
      <c r="K182"/>
      <c r="L182"/>
      <c r="M18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3"/>
      <c r="AE182" s="33"/>
      <c r="AF182" s="33"/>
      <c r="AG182" s="33"/>
      <c r="AI182"/>
      <c r="AJ182"/>
      <c r="AK182"/>
      <c r="AL182"/>
      <c r="AM182"/>
      <c r="AN182"/>
      <c r="AO182"/>
      <c r="AP182"/>
      <c r="AQ182"/>
      <c r="AR182"/>
      <c r="AS182"/>
    </row>
    <row r="183" spans="1:45" s="1" customFormat="1">
      <c r="A183"/>
      <c r="B183"/>
      <c r="E183"/>
      <c r="F183"/>
      <c r="I183"/>
      <c r="J183"/>
      <c r="K183"/>
      <c r="L183"/>
      <c r="M183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3"/>
      <c r="AE183" s="33"/>
      <c r="AF183" s="33"/>
      <c r="AG183" s="33"/>
      <c r="AI183"/>
      <c r="AJ183"/>
      <c r="AK183"/>
      <c r="AL183"/>
      <c r="AM183"/>
      <c r="AN183"/>
      <c r="AO183"/>
      <c r="AP183"/>
      <c r="AQ183"/>
      <c r="AR183"/>
      <c r="AS183"/>
    </row>
    <row r="184" spans="1:45" s="1" customFormat="1">
      <c r="A184"/>
      <c r="B184"/>
      <c r="E184"/>
      <c r="F184"/>
      <c r="I184"/>
      <c r="J184"/>
      <c r="K184"/>
      <c r="L184"/>
      <c r="M184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3"/>
      <c r="AE184" s="33"/>
      <c r="AF184" s="33"/>
      <c r="AG184" s="33"/>
      <c r="AI184"/>
      <c r="AJ184"/>
      <c r="AK184"/>
      <c r="AL184"/>
      <c r="AM184"/>
      <c r="AN184"/>
      <c r="AO184"/>
      <c r="AP184"/>
      <c r="AQ184"/>
      <c r="AR184"/>
      <c r="AS184"/>
    </row>
    <row r="185" spans="1:45" s="1" customFormat="1">
      <c r="A185"/>
      <c r="B185"/>
      <c r="E185"/>
      <c r="F185"/>
      <c r="I185"/>
      <c r="J185"/>
      <c r="K185"/>
      <c r="L185"/>
      <c r="M185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3"/>
      <c r="AE185" s="33"/>
      <c r="AF185" s="33"/>
      <c r="AG185" s="33"/>
      <c r="AI185"/>
      <c r="AJ185"/>
      <c r="AK185"/>
      <c r="AL185"/>
      <c r="AM185"/>
      <c r="AN185"/>
      <c r="AO185"/>
      <c r="AP185"/>
      <c r="AQ185"/>
      <c r="AR185"/>
      <c r="AS185"/>
    </row>
    <row r="186" spans="1:45" s="1" customFormat="1">
      <c r="A186"/>
      <c r="B186"/>
      <c r="E186"/>
      <c r="F186"/>
      <c r="I186"/>
      <c r="J186"/>
      <c r="K186"/>
      <c r="L186"/>
      <c r="M186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3"/>
      <c r="AE186" s="33"/>
      <c r="AF186" s="33"/>
      <c r="AG186" s="33"/>
      <c r="AI186"/>
      <c r="AJ186"/>
      <c r="AK186"/>
      <c r="AL186"/>
      <c r="AM186"/>
      <c r="AN186"/>
      <c r="AO186"/>
      <c r="AP186"/>
      <c r="AQ186"/>
      <c r="AR186"/>
      <c r="AS186"/>
    </row>
    <row r="187" spans="1:45" s="1" customFormat="1">
      <c r="A187"/>
      <c r="B187"/>
      <c r="E187"/>
      <c r="F187"/>
      <c r="I187"/>
      <c r="J187"/>
      <c r="K187"/>
      <c r="L187"/>
      <c r="M187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3"/>
      <c r="AE187" s="33"/>
      <c r="AF187" s="33"/>
      <c r="AG187" s="33"/>
      <c r="AI187"/>
      <c r="AJ187"/>
      <c r="AK187"/>
      <c r="AL187"/>
      <c r="AM187"/>
      <c r="AN187"/>
      <c r="AO187"/>
      <c r="AP187"/>
      <c r="AQ187"/>
      <c r="AR187"/>
      <c r="AS187"/>
    </row>
    <row r="188" spans="1:45" s="1" customFormat="1">
      <c r="A188"/>
      <c r="B188"/>
      <c r="E188"/>
      <c r="F188"/>
      <c r="I188"/>
      <c r="J188"/>
      <c r="K188"/>
      <c r="L188"/>
      <c r="M188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3"/>
      <c r="AE188" s="33"/>
      <c r="AF188" s="33"/>
      <c r="AG188" s="33"/>
      <c r="AI188"/>
      <c r="AJ188"/>
      <c r="AK188"/>
      <c r="AL188"/>
      <c r="AM188"/>
      <c r="AN188"/>
      <c r="AO188"/>
      <c r="AP188"/>
      <c r="AQ188"/>
      <c r="AR188"/>
      <c r="AS188"/>
    </row>
    <row r="189" spans="1:45" s="1" customFormat="1">
      <c r="A189"/>
      <c r="B189"/>
      <c r="E189"/>
      <c r="F189"/>
      <c r="I189"/>
      <c r="J189"/>
      <c r="K189"/>
      <c r="L189"/>
      <c r="M189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3"/>
      <c r="AE189" s="33"/>
      <c r="AF189" s="33"/>
      <c r="AG189" s="33"/>
      <c r="AI189"/>
      <c r="AJ189"/>
      <c r="AK189"/>
      <c r="AL189"/>
      <c r="AM189"/>
      <c r="AN189"/>
      <c r="AO189"/>
      <c r="AP189"/>
      <c r="AQ189"/>
      <c r="AR189"/>
      <c r="AS189"/>
    </row>
    <row r="190" spans="1:45" s="1" customFormat="1">
      <c r="A190"/>
      <c r="B190"/>
      <c r="E190"/>
      <c r="F190"/>
      <c r="I190"/>
      <c r="J190"/>
      <c r="K190"/>
      <c r="L190"/>
      <c r="M190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3"/>
      <c r="AE190" s="33"/>
      <c r="AF190" s="33"/>
      <c r="AG190" s="33"/>
      <c r="AI190"/>
      <c r="AJ190"/>
      <c r="AK190"/>
      <c r="AL190"/>
      <c r="AM190"/>
      <c r="AN190"/>
      <c r="AO190"/>
      <c r="AP190"/>
      <c r="AQ190"/>
      <c r="AR190"/>
      <c r="AS190"/>
    </row>
    <row r="191" spans="1:45" s="1" customFormat="1">
      <c r="A191"/>
      <c r="B191"/>
      <c r="E191"/>
      <c r="F191"/>
      <c r="I191"/>
      <c r="J191"/>
      <c r="K191"/>
      <c r="L191"/>
      <c r="M191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3"/>
      <c r="AE191" s="33"/>
      <c r="AF191" s="33"/>
      <c r="AG191" s="33"/>
      <c r="AI191"/>
      <c r="AJ191"/>
      <c r="AK191"/>
      <c r="AL191"/>
      <c r="AM191"/>
      <c r="AN191"/>
      <c r="AO191"/>
      <c r="AP191"/>
      <c r="AQ191"/>
      <c r="AR191"/>
      <c r="AS191"/>
    </row>
    <row r="192" spans="1:45" s="1" customFormat="1">
      <c r="A192"/>
      <c r="B192"/>
      <c r="E192"/>
      <c r="F192"/>
      <c r="I192"/>
      <c r="J192"/>
      <c r="K192"/>
      <c r="L192"/>
      <c r="M19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3"/>
      <c r="AE192" s="33"/>
      <c r="AF192" s="33"/>
      <c r="AG192" s="33"/>
      <c r="AI192"/>
      <c r="AJ192"/>
      <c r="AK192"/>
      <c r="AL192"/>
      <c r="AM192"/>
      <c r="AN192"/>
      <c r="AO192"/>
      <c r="AP192"/>
      <c r="AQ192"/>
      <c r="AR192"/>
      <c r="AS192"/>
    </row>
    <row r="193" spans="1:45" s="1" customFormat="1">
      <c r="A193"/>
      <c r="B193"/>
      <c r="E193"/>
      <c r="F193"/>
      <c r="I193"/>
      <c r="J193"/>
      <c r="K193"/>
      <c r="L193"/>
      <c r="M193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3"/>
      <c r="AE193" s="33"/>
      <c r="AF193" s="33"/>
      <c r="AG193" s="33"/>
      <c r="AI193"/>
      <c r="AJ193"/>
      <c r="AK193"/>
      <c r="AL193"/>
      <c r="AM193"/>
      <c r="AN193"/>
      <c r="AO193"/>
      <c r="AP193"/>
      <c r="AQ193"/>
      <c r="AR193"/>
      <c r="AS193"/>
    </row>
    <row r="194" spans="1:45" s="1" customFormat="1">
      <c r="A194"/>
      <c r="B194"/>
      <c r="E194"/>
      <c r="F194"/>
      <c r="I194"/>
      <c r="J194"/>
      <c r="K194"/>
      <c r="L194"/>
      <c r="M194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3"/>
      <c r="AE194" s="33"/>
      <c r="AF194" s="33"/>
      <c r="AG194" s="33"/>
      <c r="AI194"/>
      <c r="AJ194"/>
      <c r="AK194"/>
      <c r="AL194"/>
      <c r="AM194"/>
      <c r="AN194"/>
      <c r="AO194"/>
      <c r="AP194"/>
      <c r="AQ194"/>
      <c r="AR194"/>
      <c r="AS194"/>
    </row>
    <row r="195" spans="1:45" s="1" customFormat="1">
      <c r="A195"/>
      <c r="B195"/>
      <c r="E195"/>
      <c r="F195"/>
      <c r="I195"/>
      <c r="J195"/>
      <c r="K195"/>
      <c r="L195"/>
      <c r="M195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3"/>
      <c r="AE195" s="33"/>
      <c r="AF195" s="33"/>
      <c r="AG195" s="33"/>
      <c r="AI195"/>
      <c r="AJ195"/>
      <c r="AK195"/>
      <c r="AL195"/>
      <c r="AM195"/>
      <c r="AN195"/>
      <c r="AO195"/>
      <c r="AP195"/>
      <c r="AQ195"/>
      <c r="AR195"/>
      <c r="AS195"/>
    </row>
    <row r="196" spans="1:45" s="1" customFormat="1">
      <c r="A196"/>
      <c r="B196"/>
      <c r="E196"/>
      <c r="F196"/>
      <c r="I196"/>
      <c r="J196"/>
      <c r="K196"/>
      <c r="L196"/>
      <c r="M196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3"/>
      <c r="AE196" s="33"/>
      <c r="AF196" s="33"/>
      <c r="AG196" s="33"/>
      <c r="AI196"/>
      <c r="AJ196"/>
      <c r="AK196"/>
      <c r="AL196"/>
      <c r="AM196"/>
      <c r="AN196"/>
      <c r="AO196"/>
      <c r="AP196"/>
      <c r="AQ196"/>
      <c r="AR196"/>
      <c r="AS196"/>
    </row>
    <row r="197" spans="1:45" s="1" customFormat="1">
      <c r="A197"/>
      <c r="B197"/>
      <c r="E197"/>
      <c r="F197"/>
      <c r="I197"/>
      <c r="J197"/>
      <c r="K197"/>
      <c r="L197"/>
      <c r="M197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3"/>
      <c r="AE197" s="33"/>
      <c r="AF197" s="33"/>
      <c r="AG197" s="33"/>
      <c r="AI197"/>
      <c r="AJ197"/>
      <c r="AK197"/>
      <c r="AL197"/>
      <c r="AM197"/>
      <c r="AN197"/>
      <c r="AO197"/>
      <c r="AP197"/>
      <c r="AQ197"/>
      <c r="AR197"/>
      <c r="AS197"/>
    </row>
    <row r="198" spans="1:45" s="1" customFormat="1">
      <c r="A198"/>
      <c r="B198"/>
      <c r="E198"/>
      <c r="F198"/>
      <c r="I198"/>
      <c r="J198"/>
      <c r="K198"/>
      <c r="L198"/>
      <c r="M198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3"/>
      <c r="AE198" s="33"/>
      <c r="AF198" s="33"/>
      <c r="AG198" s="33"/>
      <c r="AI198"/>
      <c r="AJ198"/>
      <c r="AK198"/>
      <c r="AL198"/>
      <c r="AM198"/>
      <c r="AN198"/>
      <c r="AO198"/>
      <c r="AP198"/>
      <c r="AQ198"/>
      <c r="AR198"/>
      <c r="AS198"/>
    </row>
    <row r="199" spans="1:45" s="1" customFormat="1">
      <c r="A199"/>
      <c r="B199"/>
      <c r="E199"/>
      <c r="F199"/>
      <c r="I199"/>
      <c r="J199"/>
      <c r="K199"/>
      <c r="L199"/>
      <c r="M199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3"/>
      <c r="AE199" s="33"/>
      <c r="AF199" s="33"/>
      <c r="AG199" s="33"/>
      <c r="AI199"/>
      <c r="AJ199"/>
      <c r="AK199"/>
      <c r="AL199"/>
      <c r="AM199"/>
      <c r="AN199"/>
      <c r="AO199"/>
      <c r="AP199"/>
      <c r="AQ199"/>
      <c r="AR199"/>
      <c r="AS199"/>
    </row>
    <row r="200" spans="1:45" s="1" customFormat="1">
      <c r="A200"/>
      <c r="B200"/>
      <c r="E200"/>
      <c r="F200"/>
      <c r="I200"/>
      <c r="J200"/>
      <c r="K200"/>
      <c r="L200"/>
      <c r="M200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3"/>
      <c r="AE200" s="33"/>
      <c r="AF200" s="33"/>
      <c r="AG200" s="33"/>
      <c r="AI200"/>
      <c r="AJ200"/>
      <c r="AK200"/>
      <c r="AL200"/>
      <c r="AM200"/>
      <c r="AN200"/>
      <c r="AO200"/>
      <c r="AP200"/>
      <c r="AQ200"/>
      <c r="AR200"/>
      <c r="AS200"/>
    </row>
    <row r="201" spans="1:45" s="1" customFormat="1">
      <c r="A201"/>
      <c r="B201"/>
      <c r="E201"/>
      <c r="F201"/>
      <c r="I201"/>
      <c r="J201"/>
      <c r="K201"/>
      <c r="L201"/>
      <c r="M201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3"/>
      <c r="AE201" s="33"/>
      <c r="AF201" s="33"/>
      <c r="AG201" s="33"/>
      <c r="AI201"/>
      <c r="AJ201"/>
      <c r="AK201"/>
      <c r="AL201"/>
      <c r="AM201"/>
      <c r="AN201"/>
      <c r="AO201"/>
      <c r="AP201"/>
      <c r="AQ201"/>
      <c r="AR201"/>
      <c r="AS201"/>
    </row>
    <row r="202" spans="1:45" s="1" customFormat="1">
      <c r="A202"/>
      <c r="B202"/>
      <c r="E202"/>
      <c r="F202"/>
      <c r="I202"/>
      <c r="J202"/>
      <c r="K202"/>
      <c r="L202"/>
      <c r="M20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3"/>
      <c r="AE202" s="33"/>
      <c r="AF202" s="33"/>
      <c r="AG202" s="33"/>
      <c r="AI202"/>
      <c r="AJ202"/>
      <c r="AK202"/>
      <c r="AL202"/>
      <c r="AM202"/>
      <c r="AN202"/>
      <c r="AO202"/>
      <c r="AP202"/>
      <c r="AQ202"/>
      <c r="AR202"/>
      <c r="AS202"/>
    </row>
    <row r="203" spans="1:45" s="1" customFormat="1">
      <c r="A203"/>
      <c r="B203"/>
      <c r="E203"/>
      <c r="F203"/>
      <c r="I203"/>
      <c r="J203"/>
      <c r="K203"/>
      <c r="L203"/>
      <c r="M203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3"/>
      <c r="AE203" s="33"/>
      <c r="AF203" s="33"/>
      <c r="AG203" s="33"/>
      <c r="AI203"/>
      <c r="AJ203"/>
      <c r="AK203"/>
      <c r="AL203"/>
      <c r="AM203"/>
      <c r="AN203"/>
      <c r="AO203"/>
      <c r="AP203"/>
      <c r="AQ203"/>
      <c r="AR203"/>
      <c r="AS203"/>
    </row>
    <row r="204" spans="1:45" s="1" customFormat="1">
      <c r="A204"/>
      <c r="B204"/>
      <c r="E204"/>
      <c r="F204"/>
      <c r="I204"/>
      <c r="J204"/>
      <c r="K204"/>
      <c r="L204"/>
      <c r="M204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3"/>
      <c r="AE204" s="33"/>
      <c r="AF204" s="33"/>
      <c r="AG204" s="33"/>
      <c r="AI204"/>
      <c r="AJ204"/>
      <c r="AK204"/>
      <c r="AL204"/>
      <c r="AM204"/>
      <c r="AN204"/>
      <c r="AO204"/>
      <c r="AP204"/>
      <c r="AQ204"/>
      <c r="AR204"/>
      <c r="AS204"/>
    </row>
    <row r="205" spans="1:45" s="1" customFormat="1">
      <c r="A205"/>
      <c r="B205"/>
      <c r="E205"/>
      <c r="F205"/>
      <c r="I205"/>
      <c r="J205"/>
      <c r="K205"/>
      <c r="L205"/>
      <c r="M205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3"/>
      <c r="AE205" s="33"/>
      <c r="AF205" s="33"/>
      <c r="AG205" s="33"/>
      <c r="AI205"/>
      <c r="AJ205"/>
      <c r="AK205"/>
      <c r="AL205"/>
      <c r="AM205"/>
      <c r="AN205"/>
      <c r="AO205"/>
      <c r="AP205"/>
      <c r="AQ205"/>
      <c r="AR205"/>
      <c r="AS205"/>
    </row>
    <row r="206" spans="1:45" s="1" customFormat="1">
      <c r="A206"/>
      <c r="B206"/>
      <c r="E206"/>
      <c r="F206"/>
      <c r="I206"/>
      <c r="J206"/>
      <c r="K206"/>
      <c r="L206"/>
      <c r="M206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3"/>
      <c r="AE206" s="33"/>
      <c r="AF206" s="33"/>
      <c r="AG206" s="33"/>
      <c r="AI206"/>
      <c r="AJ206"/>
      <c r="AK206"/>
      <c r="AL206"/>
      <c r="AM206"/>
      <c r="AN206"/>
      <c r="AO206"/>
      <c r="AP206"/>
      <c r="AQ206"/>
      <c r="AR206"/>
      <c r="AS206"/>
    </row>
    <row r="207" spans="1:45" s="1" customFormat="1">
      <c r="A207"/>
      <c r="B207"/>
      <c r="E207"/>
      <c r="F207"/>
      <c r="I207"/>
      <c r="J207"/>
      <c r="K207"/>
      <c r="L207"/>
      <c r="M207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3"/>
      <c r="AE207" s="33"/>
      <c r="AF207" s="33"/>
      <c r="AG207" s="33"/>
      <c r="AI207"/>
      <c r="AJ207"/>
      <c r="AK207"/>
      <c r="AL207"/>
      <c r="AM207"/>
      <c r="AN207"/>
      <c r="AO207"/>
      <c r="AP207"/>
      <c r="AQ207"/>
      <c r="AR207"/>
      <c r="AS207"/>
    </row>
    <row r="208" spans="1:45" s="1" customFormat="1">
      <c r="A208"/>
      <c r="B208"/>
      <c r="E208"/>
      <c r="F208"/>
      <c r="I208"/>
      <c r="J208"/>
      <c r="K208"/>
      <c r="L208"/>
      <c r="M208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3"/>
      <c r="AE208" s="33"/>
      <c r="AF208" s="33"/>
      <c r="AG208" s="33"/>
      <c r="AI208"/>
      <c r="AJ208"/>
      <c r="AK208"/>
      <c r="AL208"/>
      <c r="AM208"/>
      <c r="AN208"/>
      <c r="AO208"/>
      <c r="AP208"/>
      <c r="AQ208"/>
      <c r="AR208"/>
      <c r="AS208"/>
    </row>
    <row r="209" spans="1:45" s="1" customFormat="1">
      <c r="A209"/>
      <c r="B209"/>
      <c r="E209"/>
      <c r="F209"/>
      <c r="I209"/>
      <c r="J209"/>
      <c r="K209"/>
      <c r="L209"/>
      <c r="M209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3"/>
      <c r="AE209" s="33"/>
      <c r="AF209" s="33"/>
      <c r="AG209" s="33"/>
      <c r="AI209"/>
      <c r="AJ209"/>
      <c r="AK209"/>
      <c r="AL209"/>
      <c r="AM209"/>
      <c r="AN209"/>
      <c r="AO209"/>
      <c r="AP209"/>
      <c r="AQ209"/>
      <c r="AR209"/>
      <c r="AS209"/>
    </row>
    <row r="210" spans="1:45" s="1" customFormat="1">
      <c r="A210"/>
      <c r="B210"/>
      <c r="E210"/>
      <c r="F210"/>
      <c r="I210"/>
      <c r="J210"/>
      <c r="K210"/>
      <c r="L210"/>
      <c r="M210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3"/>
      <c r="AE210" s="33"/>
      <c r="AF210" s="33"/>
      <c r="AG210" s="33"/>
      <c r="AI210"/>
      <c r="AJ210"/>
      <c r="AK210"/>
      <c r="AL210"/>
      <c r="AM210"/>
      <c r="AN210"/>
      <c r="AO210"/>
      <c r="AP210"/>
      <c r="AQ210"/>
      <c r="AR210"/>
      <c r="AS210"/>
    </row>
    <row r="211" spans="1:45" s="1" customFormat="1">
      <c r="A211"/>
      <c r="B211"/>
      <c r="E211"/>
      <c r="F211"/>
      <c r="I211"/>
      <c r="J211"/>
      <c r="K211"/>
      <c r="L211"/>
      <c r="M211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3"/>
      <c r="AE211" s="33"/>
      <c r="AF211" s="33"/>
      <c r="AG211" s="33"/>
      <c r="AI211"/>
      <c r="AJ211"/>
      <c r="AK211"/>
      <c r="AL211"/>
      <c r="AM211"/>
      <c r="AN211"/>
      <c r="AO211"/>
      <c r="AP211"/>
      <c r="AQ211"/>
      <c r="AR211"/>
      <c r="AS211"/>
    </row>
    <row r="212" spans="1:45" s="1" customFormat="1">
      <c r="A212"/>
      <c r="B212"/>
      <c r="E212"/>
      <c r="F212"/>
      <c r="I212"/>
      <c r="J212"/>
      <c r="K212"/>
      <c r="L212"/>
      <c r="M21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3"/>
      <c r="AE212" s="33"/>
      <c r="AF212" s="33"/>
      <c r="AG212" s="33"/>
      <c r="AI212"/>
      <c r="AJ212"/>
      <c r="AK212"/>
      <c r="AL212"/>
      <c r="AM212"/>
      <c r="AN212"/>
      <c r="AO212"/>
      <c r="AP212"/>
      <c r="AQ212"/>
      <c r="AR212"/>
      <c r="AS212"/>
    </row>
    <row r="213" spans="1:45" s="1" customFormat="1">
      <c r="A213"/>
      <c r="B213"/>
      <c r="E213"/>
      <c r="F213"/>
      <c r="I213"/>
      <c r="J213"/>
      <c r="K213"/>
      <c r="L213"/>
      <c r="M213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3"/>
      <c r="AE213" s="33"/>
      <c r="AF213" s="33"/>
      <c r="AG213" s="33"/>
      <c r="AI213"/>
      <c r="AJ213"/>
      <c r="AK213"/>
      <c r="AL213"/>
      <c r="AM213"/>
      <c r="AN213"/>
      <c r="AO213"/>
      <c r="AP213"/>
      <c r="AQ213"/>
      <c r="AR213"/>
      <c r="AS213"/>
    </row>
    <row r="214" spans="1:45" s="1" customFormat="1">
      <c r="A214"/>
      <c r="B214"/>
      <c r="E214"/>
      <c r="F214"/>
      <c r="I214"/>
      <c r="J214"/>
      <c r="K214"/>
      <c r="L214"/>
      <c r="M214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3"/>
      <c r="AE214" s="33"/>
      <c r="AF214" s="33"/>
      <c r="AG214" s="33"/>
      <c r="AI214"/>
      <c r="AJ214"/>
      <c r="AK214"/>
      <c r="AL214"/>
      <c r="AM214"/>
      <c r="AN214"/>
      <c r="AO214"/>
      <c r="AP214"/>
      <c r="AQ214"/>
      <c r="AR214"/>
      <c r="AS214"/>
    </row>
    <row r="215" spans="1:45" s="1" customFormat="1">
      <c r="A215"/>
      <c r="B215"/>
      <c r="E215"/>
      <c r="F215"/>
      <c r="I215"/>
      <c r="J215"/>
      <c r="K215"/>
      <c r="L215"/>
      <c r="M215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3"/>
      <c r="AE215" s="33"/>
      <c r="AF215" s="33"/>
      <c r="AG215" s="33"/>
      <c r="AI215"/>
      <c r="AJ215"/>
      <c r="AK215"/>
      <c r="AL215"/>
      <c r="AM215"/>
      <c r="AN215"/>
      <c r="AO215"/>
      <c r="AP215"/>
      <c r="AQ215"/>
      <c r="AR215"/>
      <c r="AS215"/>
    </row>
    <row r="216" spans="1:45" s="1" customFormat="1">
      <c r="A216"/>
      <c r="B216"/>
      <c r="E216"/>
      <c r="F216"/>
      <c r="I216"/>
      <c r="J216"/>
      <c r="K216"/>
      <c r="L216"/>
      <c r="M216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3"/>
      <c r="AE216" s="33"/>
      <c r="AF216" s="33"/>
      <c r="AG216" s="33"/>
      <c r="AI216"/>
      <c r="AJ216"/>
      <c r="AK216"/>
      <c r="AL216"/>
      <c r="AM216"/>
      <c r="AN216"/>
      <c r="AO216"/>
      <c r="AP216"/>
      <c r="AQ216"/>
      <c r="AR216"/>
      <c r="AS216"/>
    </row>
    <row r="217" spans="1:45" s="1" customFormat="1">
      <c r="A217"/>
      <c r="B217"/>
      <c r="E217"/>
      <c r="F217"/>
      <c r="I217"/>
      <c r="J217"/>
      <c r="K217"/>
      <c r="L217"/>
      <c r="M217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3"/>
      <c r="AE217" s="33"/>
      <c r="AF217" s="33"/>
      <c r="AG217" s="33"/>
      <c r="AI217"/>
      <c r="AJ217"/>
      <c r="AK217"/>
      <c r="AL217"/>
      <c r="AM217"/>
      <c r="AN217"/>
      <c r="AO217"/>
      <c r="AP217"/>
      <c r="AQ217"/>
      <c r="AR217"/>
      <c r="AS217"/>
    </row>
    <row r="218" spans="1:45" s="1" customFormat="1">
      <c r="A218"/>
      <c r="B218"/>
      <c r="E218"/>
      <c r="F218"/>
      <c r="I218"/>
      <c r="J218"/>
      <c r="K218"/>
      <c r="L218"/>
      <c r="M218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3"/>
      <c r="AE218" s="33"/>
      <c r="AF218" s="33"/>
      <c r="AG218" s="33"/>
      <c r="AI218"/>
      <c r="AJ218"/>
      <c r="AK218"/>
      <c r="AL218"/>
      <c r="AM218"/>
      <c r="AN218"/>
      <c r="AO218"/>
      <c r="AP218"/>
      <c r="AQ218"/>
      <c r="AR218"/>
      <c r="AS218"/>
    </row>
    <row r="219" spans="1:45" s="1" customFormat="1">
      <c r="A219"/>
      <c r="B219"/>
      <c r="E219"/>
      <c r="F219"/>
      <c r="I219"/>
      <c r="J219"/>
      <c r="K219"/>
      <c r="L219"/>
      <c r="M219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3"/>
      <c r="AE219" s="33"/>
      <c r="AF219" s="33"/>
      <c r="AG219" s="33"/>
      <c r="AI219"/>
      <c r="AJ219"/>
      <c r="AK219"/>
      <c r="AL219"/>
      <c r="AM219"/>
      <c r="AN219"/>
      <c r="AO219"/>
      <c r="AP219"/>
      <c r="AQ219"/>
      <c r="AR219"/>
      <c r="AS219"/>
    </row>
    <row r="220" spans="1:45" s="1" customFormat="1">
      <c r="A220"/>
      <c r="B220"/>
      <c r="E220"/>
      <c r="F220"/>
      <c r="I220"/>
      <c r="J220"/>
      <c r="K220"/>
      <c r="L220"/>
      <c r="M220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3"/>
      <c r="AE220" s="33"/>
      <c r="AF220" s="33"/>
      <c r="AG220" s="33"/>
      <c r="AI220"/>
      <c r="AJ220"/>
      <c r="AK220"/>
      <c r="AL220"/>
      <c r="AM220"/>
      <c r="AN220"/>
      <c r="AO220"/>
      <c r="AP220"/>
      <c r="AQ220"/>
      <c r="AR220"/>
      <c r="AS220"/>
    </row>
    <row r="221" spans="1:45" s="1" customFormat="1">
      <c r="A221"/>
      <c r="B221"/>
      <c r="E221"/>
      <c r="F221"/>
      <c r="I221"/>
      <c r="J221"/>
      <c r="K221"/>
      <c r="L221"/>
      <c r="M221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3"/>
      <c r="AE221" s="33"/>
      <c r="AF221" s="33"/>
      <c r="AG221" s="33"/>
      <c r="AI221"/>
      <c r="AJ221"/>
      <c r="AK221"/>
      <c r="AL221"/>
      <c r="AM221"/>
      <c r="AN221"/>
      <c r="AO221"/>
      <c r="AP221"/>
      <c r="AQ221"/>
      <c r="AR221"/>
      <c r="AS221"/>
    </row>
    <row r="222" spans="1:45" s="1" customFormat="1">
      <c r="A222"/>
      <c r="B222"/>
      <c r="E222"/>
      <c r="F222"/>
      <c r="I222"/>
      <c r="J222"/>
      <c r="K222"/>
      <c r="L222"/>
      <c r="M22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3"/>
      <c r="AE222" s="33"/>
      <c r="AF222" s="33"/>
      <c r="AG222" s="33"/>
      <c r="AI222"/>
      <c r="AJ222"/>
      <c r="AK222"/>
      <c r="AL222"/>
      <c r="AM222"/>
      <c r="AN222"/>
      <c r="AO222"/>
      <c r="AP222"/>
      <c r="AQ222"/>
      <c r="AR222"/>
      <c r="AS222"/>
    </row>
    <row r="223" spans="1:45" s="1" customFormat="1">
      <c r="A223"/>
      <c r="B223"/>
      <c r="E223"/>
      <c r="F223"/>
      <c r="I223"/>
      <c r="J223"/>
      <c r="K223"/>
      <c r="L223"/>
      <c r="M223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3"/>
      <c r="AE223" s="33"/>
      <c r="AF223" s="33"/>
      <c r="AG223" s="33"/>
      <c r="AI223"/>
      <c r="AJ223"/>
      <c r="AK223"/>
      <c r="AL223"/>
      <c r="AM223"/>
      <c r="AN223"/>
      <c r="AO223"/>
      <c r="AP223"/>
      <c r="AQ223"/>
      <c r="AR223"/>
      <c r="AS223"/>
    </row>
    <row r="224" spans="1:45" s="1" customFormat="1">
      <c r="A224"/>
      <c r="B224"/>
      <c r="E224"/>
      <c r="F224"/>
      <c r="I224"/>
      <c r="J224"/>
      <c r="K224"/>
      <c r="L224"/>
      <c r="M224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3"/>
      <c r="AE224" s="33"/>
      <c r="AF224" s="33"/>
      <c r="AG224" s="33"/>
      <c r="AI224"/>
      <c r="AJ224"/>
      <c r="AK224"/>
      <c r="AL224"/>
      <c r="AM224"/>
      <c r="AN224"/>
      <c r="AO224"/>
      <c r="AP224"/>
      <c r="AQ224"/>
      <c r="AR224"/>
      <c r="AS224"/>
    </row>
    <row r="225" spans="1:45" s="1" customFormat="1">
      <c r="A225"/>
      <c r="B225"/>
      <c r="E225"/>
      <c r="F225"/>
      <c r="I225"/>
      <c r="J225"/>
      <c r="K225"/>
      <c r="L225"/>
      <c r="M225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3"/>
      <c r="AE225" s="33"/>
      <c r="AF225" s="33"/>
      <c r="AG225" s="33"/>
      <c r="AI225"/>
      <c r="AJ225"/>
      <c r="AK225"/>
      <c r="AL225"/>
      <c r="AM225"/>
      <c r="AN225"/>
      <c r="AO225"/>
      <c r="AP225"/>
      <c r="AQ225"/>
      <c r="AR225"/>
      <c r="AS225"/>
    </row>
    <row r="226" spans="1:45" s="1" customFormat="1">
      <c r="A226"/>
      <c r="B226"/>
      <c r="E226"/>
      <c r="F226"/>
      <c r="I226"/>
      <c r="J226"/>
      <c r="K226"/>
      <c r="L226"/>
      <c r="M226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3"/>
      <c r="AE226" s="33"/>
      <c r="AF226" s="33"/>
      <c r="AG226" s="33"/>
      <c r="AI226"/>
      <c r="AJ226"/>
      <c r="AK226"/>
      <c r="AL226"/>
      <c r="AM226"/>
      <c r="AN226"/>
      <c r="AO226"/>
      <c r="AP226"/>
      <c r="AQ226"/>
      <c r="AR226"/>
      <c r="AS226"/>
    </row>
    <row r="227" spans="1:45" s="1" customFormat="1">
      <c r="A227"/>
      <c r="B227"/>
      <c r="E227"/>
      <c r="F227"/>
      <c r="I227"/>
      <c r="J227"/>
      <c r="K227"/>
      <c r="L227"/>
      <c r="M227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3"/>
      <c r="AE227" s="33"/>
      <c r="AF227" s="33"/>
      <c r="AG227" s="33"/>
      <c r="AI227"/>
      <c r="AJ227"/>
      <c r="AK227"/>
      <c r="AL227"/>
      <c r="AM227"/>
      <c r="AN227"/>
      <c r="AO227"/>
      <c r="AP227"/>
      <c r="AQ227"/>
      <c r="AR227"/>
      <c r="AS227"/>
    </row>
    <row r="228" spans="1:45" s="1" customFormat="1">
      <c r="A228"/>
      <c r="B228"/>
      <c r="E228"/>
      <c r="F228"/>
      <c r="I228"/>
      <c r="J228"/>
      <c r="K228"/>
      <c r="L228"/>
      <c r="M228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3"/>
      <c r="AE228" s="33"/>
      <c r="AF228" s="33"/>
      <c r="AG228" s="33"/>
      <c r="AI228"/>
      <c r="AJ228"/>
      <c r="AK228"/>
      <c r="AL228"/>
      <c r="AM228"/>
      <c r="AN228"/>
      <c r="AO228"/>
      <c r="AP228"/>
      <c r="AQ228"/>
      <c r="AR228"/>
      <c r="AS228"/>
    </row>
    <row r="229" spans="1:45" s="1" customFormat="1">
      <c r="A229"/>
      <c r="B229"/>
      <c r="E229"/>
      <c r="F229"/>
      <c r="I229"/>
      <c r="J229"/>
      <c r="K229"/>
      <c r="L229"/>
      <c r="M229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3"/>
      <c r="AE229" s="33"/>
      <c r="AF229" s="33"/>
      <c r="AG229" s="33"/>
      <c r="AI229"/>
      <c r="AJ229"/>
      <c r="AK229"/>
      <c r="AL229"/>
      <c r="AM229"/>
      <c r="AN229"/>
      <c r="AO229"/>
      <c r="AP229"/>
      <c r="AQ229"/>
      <c r="AR229"/>
      <c r="AS229"/>
    </row>
    <row r="230" spans="1:45" s="1" customFormat="1">
      <c r="A230"/>
      <c r="B230"/>
      <c r="E230"/>
      <c r="F230"/>
      <c r="I230"/>
      <c r="J230"/>
      <c r="K230"/>
      <c r="L230"/>
      <c r="M230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3"/>
      <c r="AE230" s="33"/>
      <c r="AF230" s="33"/>
      <c r="AG230" s="33"/>
      <c r="AI230"/>
      <c r="AJ230"/>
      <c r="AK230"/>
      <c r="AL230"/>
      <c r="AM230"/>
      <c r="AN230"/>
      <c r="AO230"/>
      <c r="AP230"/>
      <c r="AQ230"/>
      <c r="AR230"/>
      <c r="AS230"/>
    </row>
    <row r="231" spans="1:45" s="1" customFormat="1">
      <c r="A231"/>
      <c r="B231"/>
      <c r="E231"/>
      <c r="F231"/>
      <c r="I231"/>
      <c r="J231"/>
      <c r="K231"/>
      <c r="L231"/>
      <c r="M231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3"/>
      <c r="AE231" s="33"/>
      <c r="AF231" s="33"/>
      <c r="AG231" s="33"/>
      <c r="AI231"/>
      <c r="AJ231"/>
      <c r="AK231"/>
      <c r="AL231"/>
      <c r="AM231"/>
      <c r="AN231"/>
      <c r="AO231"/>
      <c r="AP231"/>
      <c r="AQ231"/>
      <c r="AR231"/>
      <c r="AS231"/>
    </row>
    <row r="232" spans="1:45" s="1" customFormat="1">
      <c r="A232"/>
      <c r="B232"/>
      <c r="E232"/>
      <c r="F232"/>
      <c r="I232"/>
      <c r="J232"/>
      <c r="K232"/>
      <c r="L232"/>
      <c r="M2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3"/>
      <c r="AE232" s="33"/>
      <c r="AF232" s="33"/>
      <c r="AG232" s="33"/>
      <c r="AI232"/>
      <c r="AJ232"/>
      <c r="AK232"/>
      <c r="AL232"/>
      <c r="AM232"/>
      <c r="AN232"/>
      <c r="AO232"/>
      <c r="AP232"/>
      <c r="AQ232"/>
      <c r="AR232"/>
      <c r="AS232"/>
    </row>
    <row r="233" spans="1:45" s="1" customFormat="1">
      <c r="A233"/>
      <c r="B233"/>
      <c r="E233"/>
      <c r="F233"/>
      <c r="I233"/>
      <c r="J233"/>
      <c r="K233"/>
      <c r="L233"/>
      <c r="M233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3"/>
      <c r="AE233" s="33"/>
      <c r="AF233" s="33"/>
      <c r="AG233" s="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1" customFormat="1">
      <c r="A234"/>
      <c r="B234"/>
      <c r="E234"/>
      <c r="F234"/>
      <c r="I234"/>
      <c r="J234"/>
      <c r="K234"/>
      <c r="L234"/>
      <c r="M234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3"/>
      <c r="AE234" s="33"/>
      <c r="AF234" s="33"/>
      <c r="AG234" s="33"/>
      <c r="AI234"/>
      <c r="AJ234"/>
      <c r="AK234"/>
      <c r="AL234"/>
      <c r="AM234"/>
      <c r="AN234"/>
      <c r="AO234"/>
      <c r="AP234"/>
      <c r="AQ234"/>
      <c r="AR234"/>
      <c r="AS234"/>
    </row>
    <row r="235" spans="1:45" s="1" customFormat="1">
      <c r="A235"/>
      <c r="B235"/>
      <c r="E235"/>
      <c r="F235"/>
      <c r="I235"/>
      <c r="J235"/>
      <c r="K235"/>
      <c r="L235"/>
      <c r="M235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3"/>
      <c r="AE235" s="33"/>
      <c r="AF235" s="33"/>
      <c r="AG235" s="33"/>
      <c r="AI235"/>
      <c r="AJ235"/>
      <c r="AK235"/>
      <c r="AL235"/>
      <c r="AM235"/>
      <c r="AN235"/>
      <c r="AO235"/>
      <c r="AP235"/>
      <c r="AQ235"/>
      <c r="AR235"/>
      <c r="AS235"/>
    </row>
    <row r="236" spans="1:45" s="1" customFormat="1">
      <c r="A236"/>
      <c r="B236"/>
      <c r="E236"/>
      <c r="F236"/>
      <c r="I236"/>
      <c r="J236"/>
      <c r="K236"/>
      <c r="L236"/>
      <c r="M236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3"/>
      <c r="AE236" s="33"/>
      <c r="AF236" s="33"/>
      <c r="AG236" s="33"/>
      <c r="AI236"/>
      <c r="AJ236"/>
      <c r="AK236"/>
      <c r="AL236"/>
      <c r="AM236"/>
      <c r="AN236"/>
      <c r="AO236"/>
      <c r="AP236"/>
      <c r="AQ236"/>
      <c r="AR236"/>
      <c r="AS236"/>
    </row>
    <row r="237" spans="1:45" s="1" customFormat="1">
      <c r="A237"/>
      <c r="B237"/>
      <c r="E237"/>
      <c r="F237"/>
      <c r="I237"/>
      <c r="J237"/>
      <c r="K237"/>
      <c r="L237"/>
      <c r="M237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3"/>
      <c r="AE237" s="33"/>
      <c r="AF237" s="33"/>
      <c r="AG237" s="33"/>
      <c r="AI237"/>
      <c r="AJ237"/>
      <c r="AK237"/>
      <c r="AL237"/>
      <c r="AM237"/>
      <c r="AN237"/>
      <c r="AO237"/>
      <c r="AP237"/>
      <c r="AQ237"/>
      <c r="AR237"/>
      <c r="AS237"/>
    </row>
    <row r="238" spans="1:45" s="1" customFormat="1">
      <c r="A238"/>
      <c r="B238"/>
      <c r="E238"/>
      <c r="F238"/>
      <c r="I238"/>
      <c r="J238"/>
      <c r="K238"/>
      <c r="L238"/>
      <c r="M238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3"/>
      <c r="AE238" s="33"/>
      <c r="AF238" s="33"/>
      <c r="AG238" s="33"/>
      <c r="AI238"/>
      <c r="AJ238"/>
      <c r="AK238"/>
      <c r="AL238"/>
      <c r="AM238"/>
      <c r="AN238"/>
      <c r="AO238"/>
      <c r="AP238"/>
      <c r="AQ238"/>
      <c r="AR238"/>
      <c r="AS238"/>
    </row>
    <row r="239" spans="1:45" s="1" customFormat="1">
      <c r="A239"/>
      <c r="B239"/>
      <c r="E239"/>
      <c r="F239"/>
      <c r="I239"/>
      <c r="J239"/>
      <c r="K239"/>
      <c r="L239"/>
      <c r="M239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3"/>
      <c r="AE239" s="33"/>
      <c r="AF239" s="33"/>
      <c r="AG239" s="33"/>
      <c r="AI239"/>
      <c r="AJ239"/>
      <c r="AK239"/>
      <c r="AL239"/>
      <c r="AM239"/>
      <c r="AN239"/>
      <c r="AO239"/>
      <c r="AP239"/>
      <c r="AQ239"/>
      <c r="AR239"/>
      <c r="AS239"/>
    </row>
    <row r="240" spans="1:45" s="1" customFormat="1">
      <c r="A240"/>
      <c r="B240"/>
      <c r="E240"/>
      <c r="F240"/>
      <c r="I240"/>
      <c r="J240"/>
      <c r="K240"/>
      <c r="L240"/>
      <c r="M240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3"/>
      <c r="AE240" s="33"/>
      <c r="AF240" s="33"/>
      <c r="AG240" s="33"/>
      <c r="AI240"/>
      <c r="AJ240"/>
      <c r="AK240"/>
      <c r="AL240"/>
      <c r="AM240"/>
      <c r="AN240"/>
      <c r="AO240"/>
      <c r="AP240"/>
      <c r="AQ240"/>
      <c r="AR240"/>
      <c r="AS240"/>
    </row>
    <row r="241" spans="1:45" s="1" customFormat="1">
      <c r="A241"/>
      <c r="B241"/>
      <c r="E241"/>
      <c r="F241"/>
      <c r="I241"/>
      <c r="J241"/>
      <c r="K241"/>
      <c r="L241"/>
      <c r="M241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3"/>
      <c r="AE241" s="33"/>
      <c r="AF241" s="33"/>
      <c r="AG241" s="33"/>
      <c r="AI241"/>
      <c r="AJ241"/>
      <c r="AK241"/>
      <c r="AL241"/>
      <c r="AM241"/>
      <c r="AN241"/>
      <c r="AO241"/>
      <c r="AP241"/>
      <c r="AQ241"/>
      <c r="AR241"/>
      <c r="AS241"/>
    </row>
    <row r="242" spans="1:45" s="1" customFormat="1">
      <c r="A242"/>
      <c r="B242"/>
      <c r="E242"/>
      <c r="F242"/>
      <c r="I242"/>
      <c r="J242"/>
      <c r="K242"/>
      <c r="L242"/>
      <c r="M24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3"/>
      <c r="AE242" s="33"/>
      <c r="AF242" s="33"/>
      <c r="AG242" s="33"/>
      <c r="AI242"/>
      <c r="AJ242"/>
      <c r="AK242"/>
      <c r="AL242"/>
      <c r="AM242"/>
      <c r="AN242"/>
      <c r="AO242"/>
      <c r="AP242"/>
      <c r="AQ242"/>
      <c r="AR242"/>
      <c r="AS242"/>
    </row>
    <row r="243" spans="1:45" s="1" customFormat="1">
      <c r="A243"/>
      <c r="B243"/>
      <c r="E243"/>
      <c r="F243"/>
      <c r="I243"/>
      <c r="J243"/>
      <c r="K243"/>
      <c r="L243"/>
      <c r="M243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3"/>
      <c r="AE243" s="33"/>
      <c r="AF243" s="33"/>
      <c r="AG243" s="33"/>
      <c r="AI243"/>
      <c r="AJ243"/>
      <c r="AK243"/>
      <c r="AL243"/>
      <c r="AM243"/>
      <c r="AN243"/>
      <c r="AO243"/>
      <c r="AP243"/>
      <c r="AQ243"/>
      <c r="AR243"/>
      <c r="AS243"/>
    </row>
    <row r="244" spans="1:45" s="1" customFormat="1">
      <c r="A244"/>
      <c r="B244"/>
      <c r="E244"/>
      <c r="F244"/>
      <c r="I244"/>
      <c r="J244"/>
      <c r="K244"/>
      <c r="L244"/>
      <c r="M244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3"/>
      <c r="AE244" s="33"/>
      <c r="AF244" s="33"/>
      <c r="AG244" s="33"/>
      <c r="AI244"/>
      <c r="AJ244"/>
      <c r="AK244"/>
      <c r="AL244"/>
      <c r="AM244"/>
      <c r="AN244"/>
      <c r="AO244"/>
      <c r="AP244"/>
      <c r="AQ244"/>
      <c r="AR244"/>
      <c r="AS244"/>
    </row>
    <row r="245" spans="1:45" s="1" customFormat="1">
      <c r="A245"/>
      <c r="B245"/>
      <c r="E245"/>
      <c r="F245"/>
      <c r="I245"/>
      <c r="J245"/>
      <c r="K245"/>
      <c r="L245"/>
      <c r="M245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3"/>
      <c r="AE245" s="33"/>
      <c r="AF245" s="33"/>
      <c r="AG245" s="33"/>
      <c r="AI245"/>
      <c r="AJ245"/>
      <c r="AK245"/>
      <c r="AL245"/>
      <c r="AM245"/>
      <c r="AN245"/>
      <c r="AO245"/>
      <c r="AP245"/>
      <c r="AQ245"/>
      <c r="AR245"/>
      <c r="AS245"/>
    </row>
    <row r="246" spans="1:45" s="1" customFormat="1">
      <c r="A246"/>
      <c r="B246"/>
      <c r="E246"/>
      <c r="F246"/>
      <c r="I246"/>
      <c r="J246"/>
      <c r="K246"/>
      <c r="L246"/>
      <c r="M246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3"/>
      <c r="AE246" s="33"/>
      <c r="AF246" s="33"/>
      <c r="AG246" s="33"/>
      <c r="AI246"/>
      <c r="AJ246"/>
      <c r="AK246"/>
      <c r="AL246"/>
      <c r="AM246"/>
      <c r="AN246"/>
      <c r="AO246"/>
      <c r="AP246"/>
      <c r="AQ246"/>
      <c r="AR246"/>
      <c r="AS246"/>
    </row>
    <row r="247" spans="1:45" s="1" customFormat="1">
      <c r="A247"/>
      <c r="B247"/>
      <c r="E247"/>
      <c r="F247"/>
      <c r="I247"/>
      <c r="J247"/>
      <c r="K247"/>
      <c r="L247"/>
      <c r="M247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3"/>
      <c r="AE247" s="33"/>
      <c r="AF247" s="33"/>
      <c r="AG247" s="33"/>
      <c r="AI247"/>
      <c r="AJ247"/>
      <c r="AK247"/>
      <c r="AL247"/>
      <c r="AM247"/>
      <c r="AN247"/>
      <c r="AO247"/>
      <c r="AP247"/>
      <c r="AQ247"/>
      <c r="AR247"/>
      <c r="AS247"/>
    </row>
    <row r="248" spans="1:45" s="1" customFormat="1">
      <c r="A248"/>
      <c r="B248"/>
      <c r="E248"/>
      <c r="F248"/>
      <c r="I248"/>
      <c r="J248"/>
      <c r="K248"/>
      <c r="L248"/>
      <c r="M248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3"/>
      <c r="AE248" s="33"/>
      <c r="AF248" s="33"/>
      <c r="AG248" s="33"/>
      <c r="AI248"/>
      <c r="AJ248"/>
      <c r="AK248"/>
      <c r="AL248"/>
      <c r="AM248"/>
      <c r="AN248"/>
      <c r="AO248"/>
      <c r="AP248"/>
      <c r="AQ248"/>
      <c r="AR248"/>
      <c r="AS248"/>
    </row>
    <row r="249" spans="1:45" s="1" customFormat="1">
      <c r="A249"/>
      <c r="B249"/>
      <c r="E249"/>
      <c r="F249"/>
      <c r="I249"/>
      <c r="J249"/>
      <c r="K249"/>
      <c r="L249"/>
      <c r="M249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3"/>
      <c r="AE249" s="33"/>
      <c r="AF249" s="33"/>
      <c r="AG249" s="33"/>
      <c r="AI249"/>
      <c r="AJ249"/>
      <c r="AK249"/>
      <c r="AL249"/>
      <c r="AM249"/>
      <c r="AN249"/>
      <c r="AO249"/>
      <c r="AP249"/>
      <c r="AQ249"/>
      <c r="AR249"/>
      <c r="AS249"/>
    </row>
    <row r="250" spans="1:45" s="1" customFormat="1">
      <c r="A250"/>
      <c r="B250"/>
      <c r="E250"/>
      <c r="F250"/>
      <c r="I250"/>
      <c r="J250"/>
      <c r="K250"/>
      <c r="L250"/>
      <c r="M250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3"/>
      <c r="AE250" s="33"/>
      <c r="AF250" s="33"/>
      <c r="AG250" s="33"/>
      <c r="AI250"/>
      <c r="AJ250"/>
      <c r="AK250"/>
      <c r="AL250"/>
      <c r="AM250"/>
      <c r="AN250"/>
      <c r="AO250"/>
      <c r="AP250"/>
      <c r="AQ250"/>
      <c r="AR250"/>
      <c r="AS250"/>
    </row>
    <row r="251" spans="1:45" s="1" customFormat="1">
      <c r="A251"/>
      <c r="B251"/>
      <c r="E251"/>
      <c r="F251"/>
      <c r="I251"/>
      <c r="J251"/>
      <c r="K251"/>
      <c r="L251"/>
      <c r="M251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3"/>
      <c r="AE251" s="33"/>
      <c r="AF251" s="33"/>
      <c r="AG251" s="33"/>
      <c r="AI251"/>
      <c r="AJ251"/>
      <c r="AK251"/>
      <c r="AL251"/>
      <c r="AM251"/>
      <c r="AN251"/>
      <c r="AO251"/>
      <c r="AP251"/>
      <c r="AQ251"/>
      <c r="AR251"/>
      <c r="AS251"/>
    </row>
    <row r="252" spans="1:45" s="1" customFormat="1">
      <c r="A252"/>
      <c r="B252"/>
      <c r="E252"/>
      <c r="F252"/>
      <c r="I252"/>
      <c r="J252"/>
      <c r="K252"/>
      <c r="L252"/>
      <c r="M25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3"/>
      <c r="AE252" s="33"/>
      <c r="AF252" s="33"/>
      <c r="AG252" s="33"/>
      <c r="AI252"/>
      <c r="AJ252"/>
      <c r="AK252"/>
      <c r="AL252"/>
      <c r="AM252"/>
      <c r="AN252"/>
      <c r="AO252"/>
      <c r="AP252"/>
      <c r="AQ252"/>
      <c r="AR252"/>
      <c r="AS252"/>
    </row>
    <row r="253" spans="1:45" s="1" customFormat="1">
      <c r="A253"/>
      <c r="B253"/>
      <c r="E253"/>
      <c r="F253"/>
      <c r="I253"/>
      <c r="J253"/>
      <c r="K253"/>
      <c r="L253"/>
      <c r="M253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3"/>
      <c r="AE253" s="33"/>
      <c r="AF253" s="33"/>
      <c r="AG253" s="33"/>
      <c r="AI253"/>
      <c r="AJ253"/>
      <c r="AK253"/>
      <c r="AL253"/>
      <c r="AM253"/>
      <c r="AN253"/>
      <c r="AO253"/>
      <c r="AP253"/>
      <c r="AQ253"/>
      <c r="AR253"/>
      <c r="AS253"/>
    </row>
    <row r="254" spans="1:45" s="1" customFormat="1">
      <c r="A254"/>
      <c r="B254"/>
      <c r="E254"/>
      <c r="F254"/>
      <c r="I254"/>
      <c r="J254"/>
      <c r="K254"/>
      <c r="L254"/>
      <c r="M254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3"/>
      <c r="AE254" s="33"/>
      <c r="AF254" s="33"/>
      <c r="AG254" s="33"/>
      <c r="AI254"/>
      <c r="AJ254"/>
      <c r="AK254"/>
      <c r="AL254"/>
      <c r="AM254"/>
      <c r="AN254"/>
      <c r="AO254"/>
      <c r="AP254"/>
      <c r="AQ254"/>
      <c r="AR254"/>
      <c r="AS254"/>
    </row>
    <row r="255" spans="1:45" s="1" customFormat="1">
      <c r="A255"/>
      <c r="B255"/>
      <c r="E255"/>
      <c r="F255"/>
      <c r="I255"/>
      <c r="J255"/>
      <c r="K255"/>
      <c r="L255"/>
      <c r="M255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3"/>
      <c r="AE255" s="33"/>
      <c r="AF255" s="33"/>
      <c r="AG255" s="33"/>
      <c r="AI255"/>
      <c r="AJ255"/>
      <c r="AK255"/>
      <c r="AL255"/>
      <c r="AM255"/>
      <c r="AN255"/>
      <c r="AO255"/>
      <c r="AP255"/>
      <c r="AQ255"/>
      <c r="AR255"/>
      <c r="AS255"/>
    </row>
    <row r="256" spans="1:45" s="1" customFormat="1">
      <c r="A256"/>
      <c r="B256"/>
      <c r="E256"/>
      <c r="F256"/>
      <c r="I256"/>
      <c r="J256"/>
      <c r="K256"/>
      <c r="L256"/>
      <c r="M256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3"/>
      <c r="AE256" s="33"/>
      <c r="AF256" s="33"/>
      <c r="AG256" s="33"/>
      <c r="AI256"/>
      <c r="AJ256"/>
      <c r="AK256"/>
      <c r="AL256"/>
      <c r="AM256"/>
      <c r="AN256"/>
      <c r="AO256"/>
      <c r="AP256"/>
      <c r="AQ256"/>
      <c r="AR256"/>
      <c r="AS256"/>
    </row>
    <row r="257" spans="1:45" s="1" customFormat="1">
      <c r="A257"/>
      <c r="B257"/>
      <c r="E257"/>
      <c r="F257"/>
      <c r="I257"/>
      <c r="J257"/>
      <c r="K257"/>
      <c r="L257"/>
      <c r="M257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3"/>
      <c r="AE257" s="33"/>
      <c r="AF257" s="33"/>
      <c r="AG257" s="33"/>
      <c r="AI257"/>
      <c r="AJ257"/>
      <c r="AK257"/>
      <c r="AL257"/>
      <c r="AM257"/>
      <c r="AN257"/>
      <c r="AO257"/>
      <c r="AP257"/>
      <c r="AQ257"/>
      <c r="AR257"/>
      <c r="AS257"/>
    </row>
    <row r="258" spans="1:45" s="1" customFormat="1">
      <c r="A258"/>
      <c r="B258"/>
      <c r="E258"/>
      <c r="F258"/>
      <c r="I258"/>
      <c r="J258"/>
      <c r="K258"/>
      <c r="L258"/>
      <c r="M258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3"/>
      <c r="AE258" s="33"/>
      <c r="AF258" s="33"/>
      <c r="AG258" s="33"/>
      <c r="AI258"/>
      <c r="AJ258"/>
      <c r="AK258"/>
      <c r="AL258"/>
      <c r="AM258"/>
      <c r="AN258"/>
      <c r="AO258"/>
      <c r="AP258"/>
      <c r="AQ258"/>
      <c r="AR258"/>
      <c r="AS258"/>
    </row>
    <row r="259" spans="1:45" s="1" customFormat="1">
      <c r="A259"/>
      <c r="B259"/>
      <c r="E259"/>
      <c r="F259"/>
      <c r="I259"/>
      <c r="J259"/>
      <c r="K259"/>
      <c r="L259"/>
      <c r="M259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3"/>
      <c r="AE259" s="33"/>
      <c r="AF259" s="33"/>
      <c r="AG259" s="33"/>
      <c r="AI259"/>
      <c r="AJ259"/>
      <c r="AK259"/>
      <c r="AL259"/>
      <c r="AM259"/>
      <c r="AN259"/>
      <c r="AO259"/>
      <c r="AP259"/>
      <c r="AQ259"/>
      <c r="AR259"/>
      <c r="AS259"/>
    </row>
    <row r="260" spans="1:45" s="1" customFormat="1">
      <c r="A260"/>
      <c r="B260"/>
      <c r="E260"/>
      <c r="F260"/>
      <c r="I260"/>
      <c r="J260"/>
      <c r="K260"/>
      <c r="L260"/>
      <c r="M260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3"/>
      <c r="AE260" s="33"/>
      <c r="AF260" s="33"/>
      <c r="AG260" s="33"/>
      <c r="AI260"/>
      <c r="AJ260"/>
      <c r="AK260"/>
      <c r="AL260"/>
      <c r="AM260"/>
      <c r="AN260"/>
      <c r="AO260"/>
      <c r="AP260"/>
      <c r="AQ260"/>
      <c r="AR260"/>
      <c r="AS260"/>
    </row>
    <row r="261" spans="1:45" s="1" customFormat="1">
      <c r="A261"/>
      <c r="B261"/>
      <c r="E261"/>
      <c r="F261"/>
      <c r="I261"/>
      <c r="J261"/>
      <c r="K261"/>
      <c r="L261"/>
      <c r="M261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3"/>
      <c r="AE261" s="33"/>
      <c r="AF261" s="33"/>
      <c r="AG261" s="33"/>
      <c r="AI261"/>
      <c r="AJ261"/>
      <c r="AK261"/>
      <c r="AL261"/>
      <c r="AM261"/>
      <c r="AN261"/>
      <c r="AO261"/>
      <c r="AP261"/>
      <c r="AQ261"/>
      <c r="AR261"/>
      <c r="AS261"/>
    </row>
    <row r="262" spans="1:45" s="1" customFormat="1">
      <c r="A262"/>
      <c r="B262"/>
      <c r="E262"/>
      <c r="F262"/>
      <c r="I262"/>
      <c r="J262"/>
      <c r="K262"/>
      <c r="L262"/>
      <c r="M26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3"/>
      <c r="AE262" s="33"/>
      <c r="AF262" s="33"/>
      <c r="AG262" s="33"/>
      <c r="AI262"/>
      <c r="AJ262"/>
      <c r="AK262"/>
      <c r="AL262"/>
      <c r="AM262"/>
      <c r="AN262"/>
      <c r="AO262"/>
      <c r="AP262"/>
      <c r="AQ262"/>
      <c r="AR262"/>
      <c r="AS262"/>
    </row>
    <row r="263" spans="1:45" s="1" customFormat="1">
      <c r="A263"/>
      <c r="B263"/>
      <c r="E263"/>
      <c r="F263"/>
      <c r="I263"/>
      <c r="J263"/>
      <c r="K263"/>
      <c r="L263"/>
      <c r="M263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3"/>
      <c r="AE263" s="33"/>
      <c r="AF263" s="33"/>
      <c r="AG263" s="33"/>
      <c r="AI263"/>
      <c r="AJ263"/>
      <c r="AK263"/>
      <c r="AL263"/>
      <c r="AM263"/>
      <c r="AN263"/>
      <c r="AO263"/>
      <c r="AP263"/>
      <c r="AQ263"/>
      <c r="AR263"/>
      <c r="AS263"/>
    </row>
    <row r="264" spans="1:45" s="1" customFormat="1">
      <c r="A264"/>
      <c r="B264"/>
      <c r="E264"/>
      <c r="F264"/>
      <c r="I264"/>
      <c r="J264"/>
      <c r="K264"/>
      <c r="L264"/>
      <c r="M264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3"/>
      <c r="AE264" s="33"/>
      <c r="AF264" s="33"/>
      <c r="AG264" s="33"/>
      <c r="AI264"/>
      <c r="AJ264"/>
      <c r="AK264"/>
      <c r="AL264"/>
      <c r="AM264"/>
      <c r="AN264"/>
      <c r="AO264"/>
      <c r="AP264"/>
      <c r="AQ264"/>
      <c r="AR264"/>
      <c r="AS264"/>
    </row>
    <row r="265" spans="1:45" s="1" customFormat="1">
      <c r="A265"/>
      <c r="B265"/>
      <c r="E265"/>
      <c r="F265"/>
      <c r="I265"/>
      <c r="J265"/>
      <c r="K265"/>
      <c r="L265"/>
      <c r="M265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3"/>
      <c r="AE265" s="33"/>
      <c r="AF265" s="33"/>
      <c r="AG265" s="33"/>
      <c r="AI265"/>
      <c r="AJ265"/>
      <c r="AK265"/>
      <c r="AL265"/>
      <c r="AM265"/>
      <c r="AN265"/>
      <c r="AO265"/>
      <c r="AP265"/>
      <c r="AQ265"/>
      <c r="AR265"/>
      <c r="AS265"/>
    </row>
    <row r="266" spans="1:45" s="1" customFormat="1">
      <c r="A266"/>
      <c r="B266"/>
      <c r="E266"/>
      <c r="F266"/>
      <c r="I266"/>
      <c r="J266"/>
      <c r="K266"/>
      <c r="L266"/>
      <c r="M266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3"/>
      <c r="AE266" s="33"/>
      <c r="AF266" s="33"/>
      <c r="AG266" s="33"/>
      <c r="AI266"/>
      <c r="AJ266"/>
      <c r="AK266"/>
      <c r="AL266"/>
      <c r="AM266"/>
      <c r="AN266"/>
      <c r="AO266"/>
      <c r="AP266"/>
      <c r="AQ266"/>
      <c r="AR266"/>
      <c r="AS266"/>
    </row>
    <row r="267" spans="1:45" s="1" customFormat="1">
      <c r="A267"/>
      <c r="B267"/>
      <c r="E267"/>
      <c r="F267"/>
      <c r="I267"/>
      <c r="J267"/>
      <c r="K267"/>
      <c r="L267"/>
      <c r="M267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3"/>
      <c r="AE267" s="33"/>
      <c r="AF267" s="33"/>
      <c r="AG267" s="33"/>
      <c r="AI267"/>
      <c r="AJ267"/>
      <c r="AK267"/>
      <c r="AL267"/>
      <c r="AM267"/>
      <c r="AN267"/>
      <c r="AO267"/>
      <c r="AP267"/>
      <c r="AQ267"/>
      <c r="AR267"/>
      <c r="AS267"/>
    </row>
    <row r="268" spans="1:45" s="1" customFormat="1">
      <c r="A268"/>
      <c r="B268"/>
      <c r="E268"/>
      <c r="F268"/>
      <c r="I268"/>
      <c r="J268"/>
      <c r="K268"/>
      <c r="L268"/>
      <c r="M268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3"/>
      <c r="AE268" s="33"/>
      <c r="AF268" s="33"/>
      <c r="AG268" s="33"/>
      <c r="AI268"/>
      <c r="AJ268"/>
      <c r="AK268"/>
      <c r="AL268"/>
      <c r="AM268"/>
      <c r="AN268"/>
      <c r="AO268"/>
      <c r="AP268"/>
      <c r="AQ268"/>
      <c r="AR268"/>
      <c r="AS268"/>
    </row>
    <row r="269" spans="1:45" s="1" customFormat="1">
      <c r="A269"/>
      <c r="B269"/>
      <c r="E269"/>
      <c r="F269"/>
      <c r="I269"/>
      <c r="J269"/>
      <c r="K269"/>
      <c r="L269"/>
      <c r="M269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3"/>
      <c r="AE269" s="33"/>
      <c r="AF269" s="33"/>
      <c r="AG269" s="33"/>
      <c r="AI269"/>
      <c r="AJ269"/>
      <c r="AK269"/>
      <c r="AL269"/>
      <c r="AM269"/>
      <c r="AN269"/>
      <c r="AO269"/>
      <c r="AP269"/>
      <c r="AQ269"/>
      <c r="AR269"/>
      <c r="AS269"/>
    </row>
    <row r="270" spans="1:45" s="1" customFormat="1">
      <c r="A270"/>
      <c r="B270"/>
      <c r="E270"/>
      <c r="F270"/>
      <c r="I270"/>
      <c r="J270"/>
      <c r="K270"/>
      <c r="L270"/>
      <c r="M270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3"/>
      <c r="AE270" s="33"/>
      <c r="AF270" s="33"/>
      <c r="AG270" s="33"/>
      <c r="AI270"/>
      <c r="AJ270"/>
      <c r="AK270"/>
      <c r="AL270"/>
      <c r="AM270"/>
      <c r="AN270"/>
      <c r="AO270"/>
      <c r="AP270"/>
      <c r="AQ270"/>
      <c r="AR270"/>
      <c r="AS270"/>
    </row>
    <row r="271" spans="1:45" s="1" customFormat="1">
      <c r="A271"/>
      <c r="B271"/>
      <c r="E271"/>
      <c r="F271"/>
      <c r="I271"/>
      <c r="J271"/>
      <c r="K271"/>
      <c r="L271"/>
      <c r="M271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3"/>
      <c r="AE271" s="33"/>
      <c r="AF271" s="33"/>
      <c r="AG271" s="33"/>
      <c r="AI271"/>
      <c r="AJ271"/>
      <c r="AK271"/>
      <c r="AL271"/>
      <c r="AM271"/>
      <c r="AN271"/>
      <c r="AO271"/>
      <c r="AP271"/>
      <c r="AQ271"/>
      <c r="AR271"/>
      <c r="AS271"/>
    </row>
    <row r="272" spans="1:45" s="1" customFormat="1">
      <c r="A272"/>
      <c r="B272"/>
      <c r="E272"/>
      <c r="F272"/>
      <c r="I272"/>
      <c r="J272"/>
      <c r="K272"/>
      <c r="L272"/>
      <c r="M27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3"/>
      <c r="AE272" s="33"/>
      <c r="AF272" s="33"/>
      <c r="AG272" s="33"/>
      <c r="AI272"/>
      <c r="AJ272"/>
      <c r="AK272"/>
      <c r="AL272"/>
      <c r="AM272"/>
      <c r="AN272"/>
      <c r="AO272"/>
      <c r="AP272"/>
      <c r="AQ272"/>
      <c r="AR272"/>
      <c r="AS272"/>
    </row>
    <row r="273" spans="1:45" s="1" customFormat="1">
      <c r="A273"/>
      <c r="B273"/>
      <c r="E273"/>
      <c r="F273"/>
      <c r="I273"/>
      <c r="J273"/>
      <c r="K273"/>
      <c r="L273"/>
      <c r="M273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3"/>
      <c r="AE273" s="33"/>
      <c r="AF273" s="33"/>
      <c r="AG273" s="33"/>
      <c r="AI273"/>
      <c r="AJ273"/>
      <c r="AK273"/>
      <c r="AL273"/>
      <c r="AM273"/>
      <c r="AN273"/>
      <c r="AO273"/>
      <c r="AP273"/>
      <c r="AQ273"/>
      <c r="AR273"/>
      <c r="AS273"/>
    </row>
    <row r="274" spans="1:45" s="1" customFormat="1">
      <c r="A274"/>
      <c r="B274"/>
      <c r="E274"/>
      <c r="F274"/>
      <c r="I274"/>
      <c r="J274"/>
      <c r="K274"/>
      <c r="L274"/>
      <c r="M274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3"/>
      <c r="AE274" s="33"/>
      <c r="AF274" s="33"/>
      <c r="AG274" s="33"/>
      <c r="AI274"/>
      <c r="AJ274"/>
      <c r="AK274"/>
      <c r="AL274"/>
      <c r="AM274"/>
      <c r="AN274"/>
      <c r="AO274"/>
      <c r="AP274"/>
      <c r="AQ274"/>
      <c r="AR274"/>
      <c r="AS274"/>
    </row>
    <row r="275" spans="1:45" s="1" customFormat="1">
      <c r="A275"/>
      <c r="B275"/>
      <c r="E275"/>
      <c r="F275"/>
      <c r="I275"/>
      <c r="J275"/>
      <c r="K275"/>
      <c r="L275"/>
      <c r="M275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3"/>
      <c r="AE275" s="33"/>
      <c r="AF275" s="33"/>
      <c r="AG275" s="33"/>
      <c r="AI275"/>
      <c r="AJ275"/>
      <c r="AK275"/>
      <c r="AL275"/>
      <c r="AM275"/>
      <c r="AN275"/>
      <c r="AO275"/>
      <c r="AP275"/>
      <c r="AQ275"/>
      <c r="AR275"/>
      <c r="AS275"/>
    </row>
    <row r="276" spans="1:45" s="1" customFormat="1">
      <c r="A276"/>
      <c r="B276"/>
      <c r="E276"/>
      <c r="F276"/>
      <c r="I276"/>
      <c r="J276"/>
      <c r="K276"/>
      <c r="L276"/>
      <c r="M276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3"/>
      <c r="AE276" s="33"/>
      <c r="AF276" s="33"/>
      <c r="AG276" s="33"/>
      <c r="AI276"/>
      <c r="AJ276"/>
      <c r="AK276"/>
      <c r="AL276"/>
      <c r="AM276"/>
      <c r="AN276"/>
      <c r="AO276"/>
      <c r="AP276"/>
      <c r="AQ276"/>
      <c r="AR276"/>
      <c r="AS276"/>
    </row>
    <row r="277" spans="1:45" s="1" customFormat="1">
      <c r="A277"/>
      <c r="B277"/>
      <c r="E277"/>
      <c r="F277"/>
      <c r="I277"/>
      <c r="J277"/>
      <c r="K277"/>
      <c r="L277"/>
      <c r="M277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3"/>
      <c r="AE277" s="33"/>
      <c r="AF277" s="33"/>
      <c r="AG277" s="33"/>
      <c r="AI277"/>
      <c r="AJ277"/>
      <c r="AK277"/>
      <c r="AL277"/>
      <c r="AM277"/>
      <c r="AN277"/>
      <c r="AO277"/>
      <c r="AP277"/>
      <c r="AQ277"/>
      <c r="AR277"/>
      <c r="AS277"/>
    </row>
    <row r="278" spans="1:45" s="1" customFormat="1">
      <c r="A278"/>
      <c r="B278"/>
      <c r="E278"/>
      <c r="F278"/>
      <c r="I278"/>
      <c r="J278"/>
      <c r="K278"/>
      <c r="L278"/>
      <c r="M278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3"/>
      <c r="AE278" s="33"/>
      <c r="AF278" s="33"/>
      <c r="AG278" s="33"/>
      <c r="AI278"/>
      <c r="AJ278"/>
      <c r="AK278"/>
      <c r="AL278"/>
      <c r="AM278"/>
      <c r="AN278"/>
      <c r="AO278"/>
      <c r="AP278"/>
      <c r="AQ278"/>
      <c r="AR278"/>
      <c r="AS278"/>
    </row>
    <row r="279" spans="1:45" s="1" customFormat="1">
      <c r="A279"/>
      <c r="B279"/>
      <c r="E279"/>
      <c r="F279"/>
      <c r="I279"/>
      <c r="J279"/>
      <c r="K279"/>
      <c r="L279"/>
      <c r="M279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3"/>
      <c r="AE279" s="33"/>
      <c r="AF279" s="33"/>
      <c r="AG279" s="33"/>
      <c r="AI279"/>
      <c r="AJ279"/>
      <c r="AK279"/>
      <c r="AL279"/>
      <c r="AM279"/>
      <c r="AN279"/>
      <c r="AO279"/>
      <c r="AP279"/>
      <c r="AQ279"/>
      <c r="AR279"/>
      <c r="AS279"/>
    </row>
    <row r="280" spans="1:45" s="1" customFormat="1">
      <c r="A280"/>
      <c r="B280"/>
      <c r="E280"/>
      <c r="F280"/>
      <c r="I280"/>
      <c r="J280"/>
      <c r="K280"/>
      <c r="L280"/>
      <c r="M280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3"/>
      <c r="AE280" s="33"/>
      <c r="AF280" s="33"/>
      <c r="AG280" s="33"/>
      <c r="AI280"/>
      <c r="AJ280"/>
      <c r="AK280"/>
      <c r="AL280"/>
      <c r="AM280"/>
      <c r="AN280"/>
      <c r="AO280"/>
      <c r="AP280"/>
      <c r="AQ280"/>
      <c r="AR280"/>
      <c r="AS280"/>
    </row>
    <row r="281" spans="1:45" s="1" customFormat="1">
      <c r="A281"/>
      <c r="B281"/>
      <c r="E281"/>
      <c r="F281"/>
      <c r="I281"/>
      <c r="J281"/>
      <c r="K281"/>
      <c r="L281"/>
      <c r="M281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3"/>
      <c r="AE281" s="33"/>
      <c r="AF281" s="33"/>
      <c r="AG281" s="33"/>
      <c r="AI281"/>
      <c r="AJ281"/>
      <c r="AK281"/>
      <c r="AL281"/>
      <c r="AM281"/>
      <c r="AN281"/>
      <c r="AO281"/>
      <c r="AP281"/>
      <c r="AQ281"/>
      <c r="AR281"/>
      <c r="AS281"/>
    </row>
    <row r="282" spans="1:45" s="1" customFormat="1">
      <c r="A282"/>
      <c r="B282"/>
      <c r="E282"/>
      <c r="F282"/>
      <c r="I282"/>
      <c r="J282"/>
      <c r="K282"/>
      <c r="L282"/>
      <c r="M28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3"/>
      <c r="AE282" s="33"/>
      <c r="AF282" s="33"/>
      <c r="AG282" s="33"/>
      <c r="AI282"/>
      <c r="AJ282"/>
      <c r="AK282"/>
      <c r="AL282"/>
      <c r="AM282"/>
      <c r="AN282"/>
      <c r="AO282"/>
      <c r="AP282"/>
      <c r="AQ282"/>
      <c r="AR282"/>
      <c r="AS282"/>
    </row>
    <row r="283" spans="1:45" s="1" customFormat="1">
      <c r="A283"/>
      <c r="B283"/>
      <c r="E283"/>
      <c r="F283"/>
      <c r="I283"/>
      <c r="J283"/>
      <c r="K283"/>
      <c r="L283"/>
      <c r="M283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3"/>
      <c r="AE283" s="33"/>
      <c r="AF283" s="33"/>
      <c r="AG283" s="33"/>
      <c r="AI283"/>
      <c r="AJ283"/>
      <c r="AK283"/>
      <c r="AL283"/>
      <c r="AM283"/>
      <c r="AN283"/>
      <c r="AO283"/>
      <c r="AP283"/>
      <c r="AQ283"/>
      <c r="AR283"/>
      <c r="AS283"/>
    </row>
    <row r="284" spans="1:45" s="1" customFormat="1">
      <c r="A284"/>
      <c r="B284"/>
      <c r="E284"/>
      <c r="F284"/>
      <c r="I284"/>
      <c r="J284"/>
      <c r="K284"/>
      <c r="L284"/>
      <c r="M284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3"/>
      <c r="AE284" s="33"/>
      <c r="AF284" s="33"/>
      <c r="AG284" s="33"/>
      <c r="AI284"/>
      <c r="AJ284"/>
      <c r="AK284"/>
      <c r="AL284"/>
      <c r="AM284"/>
      <c r="AN284"/>
      <c r="AO284"/>
      <c r="AP284"/>
      <c r="AQ284"/>
      <c r="AR284"/>
      <c r="AS284"/>
    </row>
    <row r="285" spans="1:45" s="1" customFormat="1">
      <c r="A285"/>
      <c r="B285"/>
      <c r="E285"/>
      <c r="F285"/>
      <c r="I285"/>
      <c r="J285"/>
      <c r="K285"/>
      <c r="L285"/>
      <c r="M285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3"/>
      <c r="AE285" s="33"/>
      <c r="AF285" s="33"/>
      <c r="AG285" s="33"/>
      <c r="AI285"/>
      <c r="AJ285"/>
      <c r="AK285"/>
      <c r="AL285"/>
      <c r="AM285"/>
      <c r="AN285"/>
      <c r="AO285"/>
      <c r="AP285"/>
      <c r="AQ285"/>
      <c r="AR285"/>
      <c r="AS285"/>
    </row>
    <row r="286" spans="1:45" s="1" customFormat="1">
      <c r="A286"/>
      <c r="B286"/>
      <c r="E286"/>
      <c r="F286"/>
      <c r="I286"/>
      <c r="J286"/>
      <c r="K286"/>
      <c r="L286"/>
      <c r="M286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3"/>
      <c r="AE286" s="33"/>
      <c r="AF286" s="33"/>
      <c r="AG286" s="33"/>
      <c r="AI286"/>
      <c r="AJ286"/>
      <c r="AK286"/>
      <c r="AL286"/>
      <c r="AM286"/>
      <c r="AN286"/>
      <c r="AO286"/>
      <c r="AP286"/>
      <c r="AQ286"/>
      <c r="AR286"/>
      <c r="AS286"/>
    </row>
    <row r="287" spans="1:45" s="1" customFormat="1">
      <c r="A287"/>
      <c r="B287"/>
      <c r="E287"/>
      <c r="F287"/>
      <c r="I287"/>
      <c r="J287"/>
      <c r="K287"/>
      <c r="L287"/>
      <c r="M287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3"/>
      <c r="AE287" s="33"/>
      <c r="AF287" s="33"/>
      <c r="AG287" s="33"/>
      <c r="AI287"/>
      <c r="AJ287"/>
      <c r="AK287"/>
      <c r="AL287"/>
      <c r="AM287"/>
      <c r="AN287"/>
      <c r="AO287"/>
      <c r="AP287"/>
      <c r="AQ287"/>
      <c r="AR287"/>
      <c r="AS287"/>
    </row>
    <row r="288" spans="1:45" s="1" customFormat="1">
      <c r="A288"/>
      <c r="B288"/>
      <c r="E288"/>
      <c r="F288"/>
      <c r="I288"/>
      <c r="J288"/>
      <c r="K288"/>
      <c r="L288"/>
      <c r="M288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3"/>
      <c r="AE288" s="33"/>
      <c r="AF288" s="33"/>
      <c r="AG288" s="33"/>
      <c r="AI288"/>
      <c r="AJ288"/>
      <c r="AK288"/>
      <c r="AL288"/>
      <c r="AM288"/>
      <c r="AN288"/>
      <c r="AO288"/>
      <c r="AP288"/>
      <c r="AQ288"/>
      <c r="AR288"/>
      <c r="AS288"/>
    </row>
    <row r="289" spans="1:45" s="1" customFormat="1">
      <c r="A289"/>
      <c r="B289"/>
      <c r="E289"/>
      <c r="F289"/>
      <c r="I289"/>
      <c r="J289"/>
      <c r="K289"/>
      <c r="L289"/>
      <c r="M289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3"/>
      <c r="AE289" s="33"/>
      <c r="AF289" s="33"/>
      <c r="AG289" s="33"/>
      <c r="AI289"/>
      <c r="AJ289"/>
      <c r="AK289"/>
      <c r="AL289"/>
      <c r="AM289"/>
      <c r="AN289"/>
      <c r="AO289"/>
      <c r="AP289"/>
      <c r="AQ289"/>
      <c r="AR289"/>
      <c r="AS289"/>
    </row>
    <row r="290" spans="1:45" s="1" customFormat="1">
      <c r="A290"/>
      <c r="B290"/>
      <c r="E290"/>
      <c r="F290"/>
      <c r="I290"/>
      <c r="J290"/>
      <c r="K290"/>
      <c r="L290"/>
      <c r="M290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3"/>
      <c r="AE290" s="33"/>
      <c r="AF290" s="33"/>
      <c r="AG290" s="33"/>
      <c r="AI290"/>
      <c r="AJ290"/>
      <c r="AK290"/>
      <c r="AL290"/>
      <c r="AM290"/>
      <c r="AN290"/>
      <c r="AO290"/>
      <c r="AP290"/>
      <c r="AQ290"/>
      <c r="AR290"/>
      <c r="AS290"/>
    </row>
    <row r="291" spans="1:45" s="1" customFormat="1">
      <c r="A291"/>
      <c r="B291"/>
      <c r="E291"/>
      <c r="F291"/>
      <c r="I291"/>
      <c r="J291"/>
      <c r="K291"/>
      <c r="L291"/>
      <c r="M291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3"/>
      <c r="AE291" s="33"/>
      <c r="AF291" s="33"/>
      <c r="AG291" s="33"/>
      <c r="AI291"/>
      <c r="AJ291"/>
      <c r="AK291"/>
      <c r="AL291"/>
      <c r="AM291"/>
      <c r="AN291"/>
      <c r="AO291"/>
      <c r="AP291"/>
      <c r="AQ291"/>
      <c r="AR291"/>
      <c r="AS291"/>
    </row>
    <row r="292" spans="1:45" s="1" customFormat="1">
      <c r="A292"/>
      <c r="B292"/>
      <c r="E292"/>
      <c r="F292"/>
      <c r="I292"/>
      <c r="J292"/>
      <c r="K292"/>
      <c r="L292"/>
      <c r="M29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3"/>
      <c r="AE292" s="33"/>
      <c r="AF292" s="33"/>
      <c r="AG292" s="33"/>
      <c r="AI292"/>
      <c r="AJ292"/>
      <c r="AK292"/>
      <c r="AL292"/>
      <c r="AM292"/>
      <c r="AN292"/>
      <c r="AO292"/>
      <c r="AP292"/>
      <c r="AQ292"/>
      <c r="AR292"/>
      <c r="AS292"/>
    </row>
    <row r="293" spans="1:45" s="1" customFormat="1">
      <c r="A293"/>
      <c r="B293"/>
      <c r="E293"/>
      <c r="F293"/>
      <c r="I293"/>
      <c r="J293"/>
      <c r="K293"/>
      <c r="L293"/>
      <c r="M293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3"/>
      <c r="AE293" s="33"/>
      <c r="AF293" s="33"/>
      <c r="AG293" s="33"/>
      <c r="AI293"/>
      <c r="AJ293"/>
      <c r="AK293"/>
      <c r="AL293"/>
      <c r="AM293"/>
      <c r="AN293"/>
      <c r="AO293"/>
      <c r="AP293"/>
      <c r="AQ293"/>
      <c r="AR293"/>
      <c r="AS293"/>
    </row>
    <row r="294" spans="1:45" s="1" customFormat="1">
      <c r="A294"/>
      <c r="B294"/>
      <c r="E294"/>
      <c r="F294"/>
      <c r="I294"/>
      <c r="J294"/>
      <c r="K294"/>
      <c r="L294"/>
      <c r="M294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3"/>
      <c r="AE294" s="33"/>
      <c r="AF294" s="33"/>
      <c r="AG294" s="33"/>
      <c r="AI294"/>
      <c r="AJ294"/>
      <c r="AK294"/>
      <c r="AL294"/>
      <c r="AM294"/>
      <c r="AN294"/>
      <c r="AO294"/>
      <c r="AP294"/>
      <c r="AQ294"/>
      <c r="AR294"/>
      <c r="AS294"/>
    </row>
    <row r="295" spans="1:45" s="1" customFormat="1">
      <c r="A295"/>
      <c r="B295"/>
      <c r="E295"/>
      <c r="F295"/>
      <c r="I295"/>
      <c r="J295"/>
      <c r="K295"/>
      <c r="L295"/>
      <c r="M295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3"/>
      <c r="AE295" s="33"/>
      <c r="AF295" s="33"/>
      <c r="AG295" s="33"/>
      <c r="AI295"/>
      <c r="AJ295"/>
      <c r="AK295"/>
      <c r="AL295"/>
      <c r="AM295"/>
      <c r="AN295"/>
      <c r="AO295"/>
      <c r="AP295"/>
      <c r="AQ295"/>
      <c r="AR295"/>
      <c r="AS295"/>
    </row>
    <row r="296" spans="1:45" s="1" customFormat="1">
      <c r="A296"/>
      <c r="B296"/>
      <c r="E296"/>
      <c r="F296"/>
      <c r="I296"/>
      <c r="J296"/>
      <c r="K296"/>
      <c r="L296"/>
      <c r="M296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3"/>
      <c r="AE296" s="33"/>
      <c r="AF296" s="33"/>
      <c r="AG296" s="33"/>
      <c r="AI296"/>
      <c r="AJ296"/>
      <c r="AK296"/>
      <c r="AL296"/>
      <c r="AM296"/>
      <c r="AN296"/>
      <c r="AO296"/>
      <c r="AP296"/>
      <c r="AQ296"/>
      <c r="AR296"/>
      <c r="AS296"/>
    </row>
    <row r="297" spans="1:45" s="1" customFormat="1">
      <c r="A297"/>
      <c r="B297"/>
      <c r="E297"/>
      <c r="F297"/>
      <c r="I297"/>
      <c r="J297"/>
      <c r="K297"/>
      <c r="L297"/>
      <c r="M297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3"/>
      <c r="AE297" s="33"/>
      <c r="AF297" s="33"/>
      <c r="AG297" s="33"/>
      <c r="AI297"/>
      <c r="AJ297"/>
      <c r="AK297"/>
      <c r="AL297"/>
      <c r="AM297"/>
      <c r="AN297"/>
      <c r="AO297"/>
      <c r="AP297"/>
      <c r="AQ297"/>
      <c r="AR297"/>
      <c r="AS297"/>
    </row>
    <row r="298" spans="1:45" s="1" customFormat="1">
      <c r="A298"/>
      <c r="B298"/>
      <c r="E298"/>
      <c r="F298"/>
      <c r="I298"/>
      <c r="J298"/>
      <c r="K298"/>
      <c r="L298"/>
      <c r="M298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3"/>
      <c r="AE298" s="33"/>
      <c r="AF298" s="33"/>
      <c r="AG298" s="33"/>
      <c r="AI298"/>
      <c r="AJ298"/>
      <c r="AK298"/>
      <c r="AL298"/>
      <c r="AM298"/>
      <c r="AN298"/>
      <c r="AO298"/>
      <c r="AP298"/>
      <c r="AQ298"/>
      <c r="AR298"/>
      <c r="AS298"/>
    </row>
    <row r="299" spans="1:45" s="1" customFormat="1">
      <c r="A299"/>
      <c r="B299"/>
      <c r="E299"/>
      <c r="F299"/>
      <c r="I299"/>
      <c r="J299"/>
      <c r="K299"/>
      <c r="L299"/>
      <c r="M299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3"/>
      <c r="AE299" s="33"/>
      <c r="AF299" s="33"/>
      <c r="AG299" s="33"/>
      <c r="AI299"/>
      <c r="AJ299"/>
      <c r="AK299"/>
      <c r="AL299"/>
      <c r="AM299"/>
      <c r="AN299"/>
      <c r="AO299"/>
      <c r="AP299"/>
      <c r="AQ299"/>
      <c r="AR299"/>
      <c r="AS299"/>
    </row>
    <row r="300" spans="1:45" s="1" customFormat="1">
      <c r="A300"/>
      <c r="B300"/>
      <c r="E300"/>
      <c r="F300"/>
      <c r="I300"/>
      <c r="J300"/>
      <c r="K300"/>
      <c r="L300"/>
      <c r="M300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3"/>
      <c r="AE300" s="33"/>
      <c r="AF300" s="33"/>
      <c r="AG300" s="33"/>
      <c r="AI300"/>
      <c r="AJ300"/>
      <c r="AK300"/>
      <c r="AL300"/>
      <c r="AM300"/>
      <c r="AN300"/>
      <c r="AO300"/>
      <c r="AP300"/>
      <c r="AQ300"/>
      <c r="AR300"/>
      <c r="AS300"/>
    </row>
    <row r="301" spans="1:45" s="1" customFormat="1">
      <c r="A301"/>
      <c r="B301"/>
      <c r="E301"/>
      <c r="F301"/>
      <c r="I301"/>
      <c r="J301"/>
      <c r="K301"/>
      <c r="L301"/>
      <c r="M301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3"/>
      <c r="AE301" s="33"/>
      <c r="AF301" s="33"/>
      <c r="AG301" s="33"/>
      <c r="AI301"/>
      <c r="AJ301"/>
      <c r="AK301"/>
      <c r="AL301"/>
      <c r="AM301"/>
      <c r="AN301"/>
      <c r="AO301"/>
      <c r="AP301"/>
      <c r="AQ301"/>
      <c r="AR301"/>
      <c r="AS301"/>
    </row>
    <row r="302" spans="1:45" s="1" customFormat="1">
      <c r="A302"/>
      <c r="B302"/>
      <c r="E302"/>
      <c r="F302"/>
      <c r="I302"/>
      <c r="J302"/>
      <c r="K302"/>
      <c r="L302"/>
      <c r="M30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3"/>
      <c r="AE302" s="33"/>
      <c r="AF302" s="33"/>
      <c r="AG302" s="33"/>
      <c r="AI302"/>
      <c r="AJ302"/>
      <c r="AK302"/>
      <c r="AL302"/>
      <c r="AM302"/>
      <c r="AN302"/>
      <c r="AO302"/>
      <c r="AP302"/>
      <c r="AQ302"/>
      <c r="AR302"/>
      <c r="AS302"/>
    </row>
    <row r="303" spans="1:45" s="1" customFormat="1">
      <c r="A303"/>
      <c r="B303"/>
      <c r="E303"/>
      <c r="F303"/>
      <c r="I303"/>
      <c r="J303"/>
      <c r="K303"/>
      <c r="L303"/>
      <c r="M303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3"/>
      <c r="AE303" s="33"/>
      <c r="AF303" s="33"/>
      <c r="AG303" s="33"/>
      <c r="AI303"/>
      <c r="AJ303"/>
      <c r="AK303"/>
      <c r="AL303"/>
      <c r="AM303"/>
      <c r="AN303"/>
      <c r="AO303"/>
      <c r="AP303"/>
      <c r="AQ303"/>
      <c r="AR303"/>
      <c r="AS303"/>
    </row>
    <row r="304" spans="1:45" s="1" customFormat="1">
      <c r="A304"/>
      <c r="B304"/>
      <c r="E304"/>
      <c r="F304"/>
      <c r="I304"/>
      <c r="J304"/>
      <c r="K304"/>
      <c r="L304"/>
      <c r="M304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3"/>
      <c r="AE304" s="33"/>
      <c r="AF304" s="33"/>
      <c r="AG304" s="33"/>
      <c r="AI304"/>
      <c r="AJ304"/>
      <c r="AK304"/>
      <c r="AL304"/>
      <c r="AM304"/>
      <c r="AN304"/>
      <c r="AO304"/>
      <c r="AP304"/>
      <c r="AQ304"/>
      <c r="AR304"/>
      <c r="AS304"/>
    </row>
    <row r="305" spans="1:45" s="1" customFormat="1">
      <c r="A305"/>
      <c r="B305"/>
      <c r="E305"/>
      <c r="F305"/>
      <c r="I305"/>
      <c r="J305"/>
      <c r="K305"/>
      <c r="L305"/>
      <c r="M305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3"/>
      <c r="AE305" s="33"/>
      <c r="AF305" s="33"/>
      <c r="AG305" s="33"/>
      <c r="AI305"/>
      <c r="AJ305"/>
      <c r="AK305"/>
      <c r="AL305"/>
      <c r="AM305"/>
      <c r="AN305"/>
      <c r="AO305"/>
      <c r="AP305"/>
      <c r="AQ305"/>
      <c r="AR305"/>
      <c r="AS305"/>
    </row>
    <row r="306" spans="1:45" s="1" customFormat="1">
      <c r="A306"/>
      <c r="B306"/>
      <c r="E306"/>
      <c r="F306"/>
      <c r="I306"/>
      <c r="J306"/>
      <c r="K306"/>
      <c r="L306"/>
      <c r="M306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3"/>
      <c r="AE306" s="33"/>
      <c r="AF306" s="33"/>
      <c r="AG306" s="33"/>
      <c r="AI306"/>
      <c r="AJ306"/>
      <c r="AK306"/>
      <c r="AL306"/>
      <c r="AM306"/>
      <c r="AN306"/>
      <c r="AO306"/>
      <c r="AP306"/>
      <c r="AQ306"/>
      <c r="AR306"/>
      <c r="AS306"/>
    </row>
    <row r="307" spans="1:45" s="1" customFormat="1">
      <c r="A307"/>
      <c r="B307"/>
      <c r="E307"/>
      <c r="F307"/>
      <c r="I307"/>
      <c r="J307"/>
      <c r="K307"/>
      <c r="L307"/>
      <c r="M307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3"/>
      <c r="AE307" s="33"/>
      <c r="AF307" s="33"/>
      <c r="AG307" s="33"/>
      <c r="AI307"/>
      <c r="AJ307"/>
      <c r="AK307"/>
      <c r="AL307"/>
      <c r="AM307"/>
      <c r="AN307"/>
      <c r="AO307"/>
      <c r="AP307"/>
      <c r="AQ307"/>
      <c r="AR307"/>
      <c r="AS307"/>
    </row>
    <row r="308" spans="1:45" s="1" customFormat="1">
      <c r="A308"/>
      <c r="B308"/>
      <c r="E308"/>
      <c r="F308"/>
      <c r="I308"/>
      <c r="J308"/>
      <c r="K308"/>
      <c r="L308"/>
      <c r="M308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3"/>
      <c r="AE308" s="33"/>
      <c r="AF308" s="33"/>
      <c r="AG308" s="33"/>
      <c r="AI308"/>
      <c r="AJ308"/>
      <c r="AK308"/>
      <c r="AL308"/>
      <c r="AM308"/>
      <c r="AN308"/>
      <c r="AO308"/>
      <c r="AP308"/>
      <c r="AQ308"/>
      <c r="AR308"/>
      <c r="AS308"/>
    </row>
    <row r="309" spans="1:45" s="1" customFormat="1">
      <c r="A309"/>
      <c r="B309"/>
      <c r="E309"/>
      <c r="F309"/>
      <c r="I309"/>
      <c r="J309"/>
      <c r="K309"/>
      <c r="L309"/>
      <c r="M309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3"/>
      <c r="AE309" s="33"/>
      <c r="AF309" s="33"/>
      <c r="AG309" s="33"/>
      <c r="AI309"/>
      <c r="AJ309"/>
      <c r="AK309"/>
      <c r="AL309"/>
      <c r="AM309"/>
      <c r="AN309"/>
      <c r="AO309"/>
      <c r="AP309"/>
      <c r="AQ309"/>
      <c r="AR309"/>
      <c r="AS309"/>
    </row>
    <row r="310" spans="1:45" s="1" customFormat="1">
      <c r="A310"/>
      <c r="B310"/>
      <c r="E310"/>
      <c r="F310"/>
      <c r="I310"/>
      <c r="J310"/>
      <c r="K310"/>
      <c r="L310"/>
      <c r="M310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3"/>
      <c r="AE310" s="33"/>
      <c r="AF310" s="33"/>
      <c r="AG310" s="33"/>
      <c r="AI310"/>
      <c r="AJ310"/>
      <c r="AK310"/>
      <c r="AL310"/>
      <c r="AM310"/>
      <c r="AN310"/>
      <c r="AO310"/>
      <c r="AP310"/>
      <c r="AQ310"/>
      <c r="AR310"/>
      <c r="AS310"/>
    </row>
    <row r="311" spans="1:45" s="1" customFormat="1">
      <c r="A311"/>
      <c r="B311"/>
      <c r="E311"/>
      <c r="F311"/>
      <c r="I311"/>
      <c r="J311"/>
      <c r="K311"/>
      <c r="L311"/>
      <c r="M311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3"/>
      <c r="AE311" s="33"/>
      <c r="AF311" s="33"/>
      <c r="AG311" s="33"/>
      <c r="AI311"/>
      <c r="AJ311"/>
      <c r="AK311"/>
      <c r="AL311"/>
      <c r="AM311"/>
      <c r="AN311"/>
      <c r="AO311"/>
      <c r="AP311"/>
      <c r="AQ311"/>
      <c r="AR311"/>
      <c r="AS311"/>
    </row>
    <row r="312" spans="1:45" s="1" customFormat="1">
      <c r="A312"/>
      <c r="B312"/>
      <c r="E312"/>
      <c r="F312"/>
      <c r="I312"/>
      <c r="J312"/>
      <c r="K312"/>
      <c r="L312"/>
      <c r="M31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3"/>
      <c r="AE312" s="33"/>
      <c r="AF312" s="33"/>
      <c r="AG312" s="33"/>
      <c r="AI312"/>
      <c r="AJ312"/>
      <c r="AK312"/>
      <c r="AL312"/>
      <c r="AM312"/>
      <c r="AN312"/>
      <c r="AO312"/>
      <c r="AP312"/>
      <c r="AQ312"/>
      <c r="AR312"/>
      <c r="AS312"/>
    </row>
    <row r="313" spans="1:45" s="1" customFormat="1">
      <c r="A313"/>
      <c r="B313"/>
      <c r="E313"/>
      <c r="F313"/>
      <c r="I313"/>
      <c r="J313"/>
      <c r="K313"/>
      <c r="L313"/>
      <c r="M313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3"/>
      <c r="AE313" s="33"/>
      <c r="AF313" s="33"/>
      <c r="AG313" s="33"/>
      <c r="AI313"/>
      <c r="AJ313"/>
      <c r="AK313"/>
      <c r="AL313"/>
      <c r="AM313"/>
      <c r="AN313"/>
      <c r="AO313"/>
      <c r="AP313"/>
      <c r="AQ313"/>
      <c r="AR313"/>
      <c r="AS313"/>
    </row>
    <row r="314" spans="1:45" s="1" customFormat="1">
      <c r="A314"/>
      <c r="B314"/>
      <c r="E314"/>
      <c r="F314"/>
      <c r="I314"/>
      <c r="J314"/>
      <c r="K314"/>
      <c r="L314"/>
      <c r="M314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3"/>
      <c r="AE314" s="33"/>
      <c r="AF314" s="33"/>
      <c r="AG314" s="33"/>
      <c r="AI314"/>
      <c r="AJ314"/>
      <c r="AK314"/>
      <c r="AL314"/>
      <c r="AM314"/>
      <c r="AN314"/>
      <c r="AO314"/>
      <c r="AP314"/>
      <c r="AQ314"/>
      <c r="AR314"/>
      <c r="AS314"/>
    </row>
    <row r="315" spans="1:45" s="1" customFormat="1">
      <c r="A315"/>
      <c r="B315"/>
      <c r="E315"/>
      <c r="F315"/>
      <c r="I315"/>
      <c r="J315"/>
      <c r="K315"/>
      <c r="L315"/>
      <c r="M315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3"/>
      <c r="AE315" s="33"/>
      <c r="AF315" s="33"/>
      <c r="AG315" s="33"/>
      <c r="AI315"/>
      <c r="AJ315"/>
      <c r="AK315"/>
      <c r="AL315"/>
      <c r="AM315"/>
      <c r="AN315"/>
      <c r="AO315"/>
      <c r="AP315"/>
      <c r="AQ315"/>
      <c r="AR315"/>
      <c r="AS315"/>
    </row>
    <row r="316" spans="1:45" s="1" customFormat="1">
      <c r="A316"/>
      <c r="B316"/>
      <c r="E316"/>
      <c r="F316"/>
      <c r="I316"/>
      <c r="J316"/>
      <c r="K316"/>
      <c r="L316"/>
      <c r="M316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3"/>
      <c r="AE316" s="33"/>
      <c r="AF316" s="33"/>
      <c r="AG316" s="33"/>
      <c r="AI316"/>
      <c r="AJ316"/>
      <c r="AK316"/>
      <c r="AL316"/>
      <c r="AM316"/>
      <c r="AN316"/>
      <c r="AO316"/>
      <c r="AP316"/>
      <c r="AQ316"/>
      <c r="AR316"/>
      <c r="AS316"/>
    </row>
    <row r="317" spans="1:45" s="1" customFormat="1">
      <c r="A317"/>
      <c r="B317"/>
      <c r="E317"/>
      <c r="F317"/>
      <c r="I317"/>
      <c r="J317"/>
      <c r="K317"/>
      <c r="L317"/>
      <c r="M317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3"/>
      <c r="AE317" s="33"/>
      <c r="AF317" s="33"/>
      <c r="AG317" s="33"/>
      <c r="AI317"/>
      <c r="AJ317"/>
      <c r="AK317"/>
      <c r="AL317"/>
      <c r="AM317"/>
      <c r="AN317"/>
      <c r="AO317"/>
      <c r="AP317"/>
      <c r="AQ317"/>
      <c r="AR317"/>
      <c r="AS317"/>
    </row>
    <row r="318" spans="1:45" s="1" customFormat="1">
      <c r="A318"/>
      <c r="B318"/>
      <c r="E318"/>
      <c r="F318"/>
      <c r="I318"/>
      <c r="J318"/>
      <c r="K318"/>
      <c r="L318"/>
      <c r="M318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3"/>
      <c r="AE318" s="33"/>
      <c r="AF318" s="33"/>
      <c r="AG318" s="33"/>
      <c r="AI318"/>
      <c r="AJ318"/>
      <c r="AK318"/>
      <c r="AL318"/>
      <c r="AM318"/>
      <c r="AN318"/>
      <c r="AO318"/>
      <c r="AP318"/>
      <c r="AQ318"/>
      <c r="AR318"/>
      <c r="AS318"/>
    </row>
    <row r="319" spans="1:45" s="1" customFormat="1">
      <c r="A319"/>
      <c r="B319"/>
      <c r="E319"/>
      <c r="F319"/>
      <c r="I319"/>
      <c r="J319"/>
      <c r="K319"/>
      <c r="L319"/>
      <c r="M319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3"/>
      <c r="AE319" s="33"/>
      <c r="AF319" s="33"/>
      <c r="AG319" s="33"/>
      <c r="AI319"/>
      <c r="AJ319"/>
      <c r="AK319"/>
      <c r="AL319"/>
      <c r="AM319"/>
      <c r="AN319"/>
      <c r="AO319"/>
      <c r="AP319"/>
      <c r="AQ319"/>
      <c r="AR319"/>
      <c r="AS319"/>
    </row>
    <row r="320" spans="1:45" s="1" customFormat="1">
      <c r="A320"/>
      <c r="B320"/>
      <c r="E320"/>
      <c r="F320"/>
      <c r="I320"/>
      <c r="J320"/>
      <c r="K320"/>
      <c r="L320"/>
      <c r="M320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3"/>
      <c r="AE320" s="33"/>
      <c r="AF320" s="33"/>
      <c r="AG320" s="33"/>
      <c r="AI320"/>
      <c r="AJ320"/>
      <c r="AK320"/>
      <c r="AL320"/>
      <c r="AM320"/>
      <c r="AN320"/>
      <c r="AO320"/>
      <c r="AP320"/>
      <c r="AQ320"/>
      <c r="AR320"/>
      <c r="AS320"/>
    </row>
    <row r="321" spans="1:45" s="1" customFormat="1">
      <c r="A321"/>
      <c r="B321"/>
      <c r="E321"/>
      <c r="F321"/>
      <c r="I321"/>
      <c r="J321"/>
      <c r="K321"/>
      <c r="L321"/>
      <c r="M321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3"/>
      <c r="AE321" s="33"/>
      <c r="AF321" s="33"/>
      <c r="AG321" s="33"/>
      <c r="AI321"/>
      <c r="AJ321"/>
      <c r="AK321"/>
      <c r="AL321"/>
      <c r="AM321"/>
      <c r="AN321"/>
      <c r="AO321"/>
      <c r="AP321"/>
      <c r="AQ321"/>
      <c r="AR321"/>
      <c r="AS321"/>
    </row>
    <row r="322" spans="1:45" s="1" customFormat="1">
      <c r="A322"/>
      <c r="B322"/>
      <c r="E322"/>
      <c r="F322"/>
      <c r="I322"/>
      <c r="J322"/>
      <c r="K322"/>
      <c r="L322"/>
      <c r="M32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3"/>
      <c r="AE322" s="33"/>
      <c r="AF322" s="33"/>
      <c r="AG322" s="33"/>
      <c r="AI322"/>
      <c r="AJ322"/>
      <c r="AK322"/>
      <c r="AL322"/>
      <c r="AM322"/>
      <c r="AN322"/>
      <c r="AO322"/>
      <c r="AP322"/>
      <c r="AQ322"/>
      <c r="AR322"/>
      <c r="AS322"/>
    </row>
    <row r="323" spans="1:45" s="1" customFormat="1">
      <c r="A323"/>
      <c r="B323"/>
      <c r="E323"/>
      <c r="F323"/>
      <c r="I323"/>
      <c r="J323"/>
      <c r="K323"/>
      <c r="L323"/>
      <c r="M323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3"/>
      <c r="AE323" s="33"/>
      <c r="AF323" s="33"/>
      <c r="AG323" s="33"/>
      <c r="AI323"/>
      <c r="AJ323"/>
      <c r="AK323"/>
      <c r="AL323"/>
      <c r="AM323"/>
      <c r="AN323"/>
      <c r="AO323"/>
      <c r="AP323"/>
      <c r="AQ323"/>
      <c r="AR323"/>
      <c r="AS323"/>
    </row>
    <row r="324" spans="1:45" s="1" customFormat="1">
      <c r="A324"/>
      <c r="B324"/>
      <c r="E324"/>
      <c r="F324"/>
      <c r="I324"/>
      <c r="J324"/>
      <c r="K324"/>
      <c r="L324"/>
      <c r="M324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3"/>
      <c r="AE324" s="33"/>
      <c r="AF324" s="33"/>
      <c r="AG324" s="33"/>
      <c r="AI324"/>
      <c r="AJ324"/>
      <c r="AK324"/>
      <c r="AL324"/>
      <c r="AM324"/>
      <c r="AN324"/>
      <c r="AO324"/>
      <c r="AP324"/>
      <c r="AQ324"/>
      <c r="AR324"/>
      <c r="AS324"/>
    </row>
    <row r="325" spans="1:45" s="1" customFormat="1">
      <c r="A325"/>
      <c r="B325"/>
      <c r="E325"/>
      <c r="F325"/>
      <c r="I325"/>
      <c r="J325"/>
      <c r="K325"/>
      <c r="L325"/>
      <c r="M325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3"/>
      <c r="AE325" s="33"/>
      <c r="AF325" s="33"/>
      <c r="AG325" s="33"/>
      <c r="AI325"/>
      <c r="AJ325"/>
      <c r="AK325"/>
      <c r="AL325"/>
      <c r="AM325"/>
      <c r="AN325"/>
      <c r="AO325"/>
      <c r="AP325"/>
      <c r="AQ325"/>
      <c r="AR325"/>
      <c r="AS325"/>
    </row>
    <row r="326" spans="1:45" s="1" customFormat="1">
      <c r="A326"/>
      <c r="B326"/>
      <c r="E326"/>
      <c r="F326"/>
      <c r="I326"/>
      <c r="J326"/>
      <c r="K326"/>
      <c r="L326"/>
      <c r="M326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3"/>
      <c r="AE326" s="33"/>
      <c r="AF326" s="33"/>
      <c r="AG326" s="33"/>
      <c r="AI326"/>
      <c r="AJ326"/>
      <c r="AK326"/>
      <c r="AL326"/>
      <c r="AM326"/>
      <c r="AN326"/>
      <c r="AO326"/>
      <c r="AP326"/>
      <c r="AQ326"/>
      <c r="AR326"/>
      <c r="AS326"/>
    </row>
    <row r="327" spans="1:45" s="1" customFormat="1">
      <c r="A327"/>
      <c r="B327"/>
      <c r="E327"/>
      <c r="F327"/>
      <c r="I327"/>
      <c r="J327"/>
      <c r="K327"/>
      <c r="L327"/>
      <c r="M327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3"/>
      <c r="AE327" s="33"/>
      <c r="AF327" s="33"/>
      <c r="AG327" s="33"/>
      <c r="AI327"/>
      <c r="AJ327"/>
      <c r="AK327"/>
      <c r="AL327"/>
      <c r="AM327"/>
      <c r="AN327"/>
      <c r="AO327"/>
      <c r="AP327"/>
      <c r="AQ327"/>
      <c r="AR327"/>
      <c r="AS327"/>
    </row>
    <row r="328" spans="1:45" s="1" customFormat="1">
      <c r="A328"/>
      <c r="B328"/>
      <c r="E328"/>
      <c r="F328"/>
      <c r="I328"/>
      <c r="J328"/>
      <c r="K328"/>
      <c r="L328"/>
      <c r="M328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3"/>
      <c r="AE328" s="33"/>
      <c r="AF328" s="33"/>
      <c r="AG328" s="33"/>
      <c r="AI328"/>
      <c r="AJ328"/>
      <c r="AK328"/>
      <c r="AL328"/>
      <c r="AM328"/>
      <c r="AN328"/>
      <c r="AO328"/>
      <c r="AP328"/>
      <c r="AQ328"/>
      <c r="AR328"/>
      <c r="AS328"/>
    </row>
    <row r="329" spans="1:45" s="1" customFormat="1">
      <c r="A329"/>
      <c r="B329"/>
      <c r="E329"/>
      <c r="F329"/>
      <c r="I329"/>
      <c r="J329"/>
      <c r="K329"/>
      <c r="L329"/>
      <c r="M329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3"/>
      <c r="AE329" s="33"/>
      <c r="AF329" s="33"/>
      <c r="AG329" s="33"/>
      <c r="AI329"/>
      <c r="AJ329"/>
      <c r="AK329"/>
      <c r="AL329"/>
      <c r="AM329"/>
      <c r="AN329"/>
      <c r="AO329"/>
      <c r="AP329"/>
      <c r="AQ329"/>
      <c r="AR329"/>
      <c r="AS329"/>
    </row>
    <row r="330" spans="1:45" s="1" customFormat="1">
      <c r="A330"/>
      <c r="B330"/>
      <c r="E330"/>
      <c r="F330"/>
      <c r="I330"/>
      <c r="J330"/>
      <c r="K330"/>
      <c r="L330"/>
      <c r="M330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3"/>
      <c r="AE330" s="33"/>
      <c r="AF330" s="33"/>
      <c r="AG330" s="33"/>
      <c r="AI330"/>
      <c r="AJ330"/>
      <c r="AK330"/>
      <c r="AL330"/>
      <c r="AM330"/>
      <c r="AN330"/>
      <c r="AO330"/>
      <c r="AP330"/>
      <c r="AQ330"/>
      <c r="AR330"/>
      <c r="AS330"/>
    </row>
    <row r="331" spans="1:45" s="1" customFormat="1">
      <c r="A331"/>
      <c r="B331"/>
      <c r="E331"/>
      <c r="F331"/>
      <c r="I331"/>
      <c r="J331"/>
      <c r="K331"/>
      <c r="L331"/>
      <c r="M331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3"/>
      <c r="AE331" s="33"/>
      <c r="AF331" s="33"/>
      <c r="AG331" s="33"/>
      <c r="AI331"/>
      <c r="AJ331"/>
      <c r="AK331"/>
      <c r="AL331"/>
      <c r="AM331"/>
      <c r="AN331"/>
      <c r="AO331"/>
      <c r="AP331"/>
      <c r="AQ331"/>
      <c r="AR331"/>
      <c r="AS331"/>
    </row>
    <row r="332" spans="1:45" s="1" customFormat="1">
      <c r="A332"/>
      <c r="B332"/>
      <c r="E332"/>
      <c r="F332"/>
      <c r="I332"/>
      <c r="J332"/>
      <c r="K332"/>
      <c r="L332"/>
      <c r="M3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3"/>
      <c r="AE332" s="33"/>
      <c r="AF332" s="33"/>
      <c r="AG332" s="33"/>
      <c r="AI332"/>
      <c r="AJ332"/>
      <c r="AK332"/>
      <c r="AL332"/>
      <c r="AM332"/>
      <c r="AN332"/>
      <c r="AO332"/>
      <c r="AP332"/>
      <c r="AQ332"/>
      <c r="AR332"/>
      <c r="AS332"/>
    </row>
    <row r="333" spans="1:45" s="1" customFormat="1">
      <c r="A333"/>
      <c r="B333"/>
      <c r="E333"/>
      <c r="F333"/>
      <c r="I333"/>
      <c r="J333"/>
      <c r="K333"/>
      <c r="L333"/>
      <c r="M333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3"/>
      <c r="AE333" s="33"/>
      <c r="AF333" s="33"/>
      <c r="AG333" s="33"/>
      <c r="AI333"/>
      <c r="AJ333"/>
      <c r="AK333"/>
      <c r="AL333"/>
      <c r="AM333"/>
      <c r="AN333"/>
      <c r="AO333"/>
      <c r="AP333"/>
      <c r="AQ333"/>
      <c r="AR333"/>
      <c r="AS333"/>
    </row>
    <row r="334" spans="1:45" s="1" customFormat="1">
      <c r="A334"/>
      <c r="B334"/>
      <c r="E334"/>
      <c r="F334"/>
      <c r="I334"/>
      <c r="J334"/>
      <c r="K334"/>
      <c r="L334"/>
      <c r="M334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3"/>
      <c r="AE334" s="33"/>
      <c r="AF334" s="33"/>
      <c r="AG334" s="33"/>
      <c r="AI334"/>
      <c r="AJ334"/>
      <c r="AK334"/>
      <c r="AL334"/>
      <c r="AM334"/>
      <c r="AN334"/>
      <c r="AO334"/>
      <c r="AP334"/>
      <c r="AQ334"/>
      <c r="AR334"/>
      <c r="AS334"/>
    </row>
    <row r="335" spans="1:45" s="1" customFormat="1">
      <c r="A335"/>
      <c r="B335"/>
      <c r="E335"/>
      <c r="F335"/>
      <c r="I335"/>
      <c r="J335"/>
      <c r="K335"/>
      <c r="L335"/>
      <c r="M335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3"/>
      <c r="AE335" s="33"/>
      <c r="AF335" s="33"/>
      <c r="AG335" s="33"/>
      <c r="AI335"/>
      <c r="AJ335"/>
      <c r="AK335"/>
      <c r="AL335"/>
      <c r="AM335"/>
      <c r="AN335"/>
      <c r="AO335"/>
      <c r="AP335"/>
      <c r="AQ335"/>
      <c r="AR335"/>
      <c r="AS335"/>
    </row>
    <row r="336" spans="1:45" s="1" customFormat="1">
      <c r="A336"/>
      <c r="B336"/>
      <c r="E336"/>
      <c r="F336"/>
      <c r="I336"/>
      <c r="J336"/>
      <c r="K336"/>
      <c r="L336"/>
      <c r="M336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3"/>
      <c r="AE336" s="33"/>
      <c r="AF336" s="33"/>
      <c r="AG336" s="33"/>
      <c r="AI336"/>
      <c r="AJ336"/>
      <c r="AK336"/>
      <c r="AL336"/>
      <c r="AM336"/>
      <c r="AN336"/>
      <c r="AO336"/>
      <c r="AP336"/>
      <c r="AQ336"/>
      <c r="AR336"/>
      <c r="AS336"/>
    </row>
    <row r="337" spans="1:45" s="1" customFormat="1">
      <c r="A337"/>
      <c r="B337"/>
      <c r="E337"/>
      <c r="F337"/>
      <c r="I337"/>
      <c r="J337"/>
      <c r="K337"/>
      <c r="L337"/>
      <c r="M337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3"/>
      <c r="AE337" s="33"/>
      <c r="AF337" s="33"/>
      <c r="AG337" s="33"/>
      <c r="AI337"/>
      <c r="AJ337"/>
      <c r="AK337"/>
      <c r="AL337"/>
      <c r="AM337"/>
      <c r="AN337"/>
      <c r="AO337"/>
      <c r="AP337"/>
      <c r="AQ337"/>
      <c r="AR337"/>
      <c r="AS337"/>
    </row>
    <row r="338" spans="1:45" s="1" customFormat="1">
      <c r="A338"/>
      <c r="B338"/>
      <c r="E338"/>
      <c r="F338"/>
      <c r="I338"/>
      <c r="J338"/>
      <c r="K338"/>
      <c r="L338"/>
      <c r="M338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3"/>
      <c r="AE338" s="33"/>
      <c r="AF338" s="33"/>
      <c r="AG338" s="33"/>
      <c r="AI338"/>
      <c r="AJ338"/>
      <c r="AK338"/>
      <c r="AL338"/>
      <c r="AM338"/>
      <c r="AN338"/>
      <c r="AO338"/>
      <c r="AP338"/>
      <c r="AQ338"/>
      <c r="AR338"/>
      <c r="AS338"/>
    </row>
    <row r="339" spans="1:45" s="1" customFormat="1">
      <c r="A339"/>
      <c r="B339"/>
      <c r="E339"/>
      <c r="F339"/>
      <c r="I339"/>
      <c r="J339"/>
      <c r="K339"/>
      <c r="L339"/>
      <c r="M339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3"/>
      <c r="AE339" s="33"/>
      <c r="AF339" s="33"/>
      <c r="AG339" s="33"/>
      <c r="AI339"/>
      <c r="AJ339"/>
      <c r="AK339"/>
      <c r="AL339"/>
      <c r="AM339"/>
      <c r="AN339"/>
      <c r="AO339"/>
      <c r="AP339"/>
      <c r="AQ339"/>
      <c r="AR339"/>
      <c r="AS339"/>
    </row>
    <row r="340" spans="1:45" s="1" customFormat="1">
      <c r="A340"/>
      <c r="B340"/>
      <c r="E340"/>
      <c r="F340"/>
      <c r="I340"/>
      <c r="J340"/>
      <c r="K340"/>
      <c r="L340"/>
      <c r="M340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3"/>
      <c r="AE340" s="33"/>
      <c r="AF340" s="33"/>
      <c r="AG340" s="33"/>
      <c r="AI340"/>
      <c r="AJ340"/>
      <c r="AK340"/>
      <c r="AL340"/>
      <c r="AM340"/>
      <c r="AN340"/>
      <c r="AO340"/>
      <c r="AP340"/>
      <c r="AQ340"/>
      <c r="AR340"/>
      <c r="AS340"/>
    </row>
    <row r="341" spans="1:45" s="1" customFormat="1">
      <c r="A341"/>
      <c r="B341"/>
      <c r="E341"/>
      <c r="F341"/>
      <c r="I341"/>
      <c r="J341"/>
      <c r="K341"/>
      <c r="L341"/>
      <c r="M341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3"/>
      <c r="AE341" s="33"/>
      <c r="AF341" s="33"/>
      <c r="AG341" s="33"/>
      <c r="AI341"/>
      <c r="AJ341"/>
      <c r="AK341"/>
      <c r="AL341"/>
      <c r="AM341"/>
      <c r="AN341"/>
      <c r="AO341"/>
      <c r="AP341"/>
      <c r="AQ341"/>
      <c r="AR341"/>
      <c r="AS341"/>
    </row>
    <row r="342" spans="1:45" s="1" customFormat="1">
      <c r="A342"/>
      <c r="B342"/>
      <c r="E342"/>
      <c r="F342"/>
      <c r="I342"/>
      <c r="J342"/>
      <c r="K342"/>
      <c r="L342"/>
      <c r="M34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3"/>
      <c r="AE342" s="33"/>
      <c r="AF342" s="33"/>
      <c r="AG342" s="33"/>
      <c r="AI342"/>
      <c r="AJ342"/>
      <c r="AK342"/>
      <c r="AL342"/>
      <c r="AM342"/>
      <c r="AN342"/>
      <c r="AO342"/>
      <c r="AP342"/>
      <c r="AQ342"/>
      <c r="AR342"/>
      <c r="AS342"/>
    </row>
    <row r="343" spans="1:45" s="1" customFormat="1">
      <c r="A343"/>
      <c r="B343"/>
      <c r="E343"/>
      <c r="F343"/>
      <c r="I343"/>
      <c r="J343"/>
      <c r="K343"/>
      <c r="L343"/>
      <c r="M343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3"/>
      <c r="AE343" s="33"/>
      <c r="AF343" s="33"/>
      <c r="AG343" s="33"/>
      <c r="AI343"/>
      <c r="AJ343"/>
      <c r="AK343"/>
      <c r="AL343"/>
      <c r="AM343"/>
      <c r="AN343"/>
      <c r="AO343"/>
      <c r="AP343"/>
      <c r="AQ343"/>
      <c r="AR343"/>
      <c r="AS343"/>
    </row>
    <row r="344" spans="1:45" s="1" customFormat="1">
      <c r="A344"/>
      <c r="B344"/>
      <c r="E344"/>
      <c r="F344"/>
      <c r="I344"/>
      <c r="J344"/>
      <c r="K344"/>
      <c r="L344"/>
      <c r="M344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3"/>
      <c r="AE344" s="33"/>
      <c r="AF344" s="33"/>
      <c r="AG344" s="33"/>
      <c r="AI344"/>
      <c r="AJ344"/>
      <c r="AK344"/>
      <c r="AL344"/>
      <c r="AM344"/>
      <c r="AN344"/>
      <c r="AO344"/>
      <c r="AP344"/>
      <c r="AQ344"/>
      <c r="AR344"/>
      <c r="AS344"/>
    </row>
    <row r="345" spans="1:45" s="1" customFormat="1">
      <c r="A345"/>
      <c r="B345"/>
      <c r="E345"/>
      <c r="F345"/>
      <c r="I345"/>
      <c r="J345"/>
      <c r="K345"/>
      <c r="L345"/>
      <c r="M345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3"/>
      <c r="AE345" s="33"/>
      <c r="AF345" s="33"/>
      <c r="AG345" s="33"/>
      <c r="AI345"/>
      <c r="AJ345"/>
      <c r="AK345"/>
      <c r="AL345"/>
      <c r="AM345"/>
      <c r="AN345"/>
      <c r="AO345"/>
      <c r="AP345"/>
      <c r="AQ345"/>
      <c r="AR345"/>
      <c r="AS345"/>
    </row>
    <row r="346" spans="1:45" s="1" customFormat="1">
      <c r="A346"/>
      <c r="B346"/>
      <c r="E346"/>
      <c r="F346"/>
      <c r="I346"/>
      <c r="J346"/>
      <c r="K346"/>
      <c r="L346"/>
      <c r="M346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3"/>
      <c r="AE346" s="33"/>
      <c r="AF346" s="33"/>
      <c r="AG346" s="33"/>
      <c r="AI346"/>
      <c r="AJ346"/>
      <c r="AK346"/>
      <c r="AL346"/>
      <c r="AM346"/>
      <c r="AN346"/>
      <c r="AO346"/>
      <c r="AP346"/>
      <c r="AQ346"/>
      <c r="AR346"/>
      <c r="AS346"/>
    </row>
    <row r="347" spans="1:45" s="1" customFormat="1">
      <c r="A347"/>
      <c r="B347"/>
      <c r="E347"/>
      <c r="F347"/>
      <c r="I347"/>
      <c r="J347"/>
      <c r="K347"/>
      <c r="L347"/>
      <c r="M347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3"/>
      <c r="AE347" s="33"/>
      <c r="AF347" s="33"/>
      <c r="AG347" s="33"/>
      <c r="AI347"/>
      <c r="AJ347"/>
      <c r="AK347"/>
      <c r="AL347"/>
      <c r="AM347"/>
      <c r="AN347"/>
      <c r="AO347"/>
      <c r="AP347"/>
      <c r="AQ347"/>
      <c r="AR347"/>
      <c r="AS347"/>
    </row>
    <row r="348" spans="1:45" s="1" customFormat="1">
      <c r="A348"/>
      <c r="B348"/>
      <c r="E348"/>
      <c r="F348"/>
      <c r="I348"/>
      <c r="J348"/>
      <c r="K348"/>
      <c r="L348"/>
      <c r="M348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3"/>
      <c r="AE348" s="33"/>
      <c r="AF348" s="33"/>
      <c r="AG348" s="33"/>
      <c r="AI348"/>
      <c r="AJ348"/>
      <c r="AK348"/>
      <c r="AL348"/>
      <c r="AM348"/>
      <c r="AN348"/>
      <c r="AO348"/>
      <c r="AP348"/>
      <c r="AQ348"/>
      <c r="AR348"/>
      <c r="AS348"/>
    </row>
    <row r="349" spans="1:45" s="1" customFormat="1">
      <c r="A349"/>
      <c r="B349"/>
      <c r="E349"/>
      <c r="F349"/>
      <c r="I349"/>
      <c r="J349"/>
      <c r="K349"/>
      <c r="L349"/>
      <c r="M349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3"/>
      <c r="AE349" s="33"/>
      <c r="AF349" s="33"/>
      <c r="AG349" s="33"/>
      <c r="AI349"/>
      <c r="AJ349"/>
      <c r="AK349"/>
      <c r="AL349"/>
      <c r="AM349"/>
      <c r="AN349"/>
      <c r="AO349"/>
      <c r="AP349"/>
      <c r="AQ349"/>
      <c r="AR349"/>
      <c r="AS349"/>
    </row>
    <row r="350" spans="1:45" s="1" customFormat="1">
      <c r="A350"/>
      <c r="B350"/>
      <c r="E350"/>
      <c r="F350"/>
      <c r="I350"/>
      <c r="J350"/>
      <c r="K350"/>
      <c r="L350"/>
      <c r="M350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3"/>
      <c r="AE350" s="33"/>
      <c r="AF350" s="33"/>
      <c r="AG350" s="33"/>
      <c r="AI350"/>
      <c r="AJ350"/>
      <c r="AK350"/>
      <c r="AL350"/>
      <c r="AM350"/>
      <c r="AN350"/>
      <c r="AO350"/>
      <c r="AP350"/>
      <c r="AQ350"/>
      <c r="AR350"/>
      <c r="AS350"/>
    </row>
    <row r="351" spans="1:45" s="1" customFormat="1">
      <c r="A351"/>
      <c r="B351"/>
      <c r="E351"/>
      <c r="F351"/>
      <c r="I351"/>
      <c r="J351"/>
      <c r="K351"/>
      <c r="L351"/>
      <c r="M351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3"/>
      <c r="AE351" s="33"/>
      <c r="AF351" s="33"/>
      <c r="AG351" s="33"/>
      <c r="AI351"/>
      <c r="AJ351"/>
      <c r="AK351"/>
      <c r="AL351"/>
      <c r="AM351"/>
      <c r="AN351"/>
      <c r="AO351"/>
      <c r="AP351"/>
      <c r="AQ351"/>
      <c r="AR351"/>
      <c r="AS351"/>
    </row>
    <row r="352" spans="1:45" s="1" customFormat="1">
      <c r="A352"/>
      <c r="B352"/>
      <c r="E352"/>
      <c r="F352"/>
      <c r="I352"/>
      <c r="J352"/>
      <c r="K352"/>
      <c r="L352"/>
      <c r="M35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3"/>
      <c r="AE352" s="33"/>
      <c r="AF352" s="33"/>
      <c r="AG352" s="33"/>
      <c r="AI352"/>
      <c r="AJ352"/>
      <c r="AK352"/>
      <c r="AL352"/>
      <c r="AM352"/>
      <c r="AN352"/>
      <c r="AO352"/>
      <c r="AP352"/>
      <c r="AQ352"/>
      <c r="AR352"/>
      <c r="AS352"/>
    </row>
    <row r="353" spans="1:45" s="1" customFormat="1">
      <c r="A353"/>
      <c r="B353"/>
      <c r="E353"/>
      <c r="F353"/>
      <c r="I353"/>
      <c r="J353"/>
      <c r="K353"/>
      <c r="L353"/>
      <c r="M353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3"/>
      <c r="AE353" s="33"/>
      <c r="AF353" s="33"/>
      <c r="AG353" s="33"/>
      <c r="AI353"/>
      <c r="AJ353"/>
      <c r="AK353"/>
      <c r="AL353"/>
      <c r="AM353"/>
      <c r="AN353"/>
      <c r="AO353"/>
      <c r="AP353"/>
      <c r="AQ353"/>
      <c r="AR353"/>
      <c r="AS353"/>
    </row>
    <row r="354" spans="1:45" s="1" customFormat="1">
      <c r="A354"/>
      <c r="B354"/>
      <c r="E354"/>
      <c r="F354"/>
      <c r="I354"/>
      <c r="J354"/>
      <c r="K354"/>
      <c r="L354"/>
      <c r="M354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3"/>
      <c r="AE354" s="33"/>
      <c r="AF354" s="33"/>
      <c r="AG354" s="33"/>
      <c r="AI354"/>
      <c r="AJ354"/>
      <c r="AK354"/>
      <c r="AL354"/>
      <c r="AM354"/>
      <c r="AN354"/>
      <c r="AO354"/>
      <c r="AP354"/>
      <c r="AQ354"/>
      <c r="AR354"/>
      <c r="AS354"/>
    </row>
    <row r="355" spans="1:45" s="1" customFormat="1">
      <c r="A355"/>
      <c r="B355"/>
      <c r="E355"/>
      <c r="F355"/>
      <c r="I355"/>
      <c r="J355"/>
      <c r="K355"/>
      <c r="L355"/>
      <c r="M355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3"/>
      <c r="AE355" s="33"/>
      <c r="AF355" s="33"/>
      <c r="AG355" s="33"/>
      <c r="AI355"/>
      <c r="AJ355"/>
      <c r="AK355"/>
      <c r="AL355"/>
      <c r="AM355"/>
      <c r="AN355"/>
      <c r="AO355"/>
      <c r="AP355"/>
      <c r="AQ355"/>
      <c r="AR355"/>
      <c r="AS355"/>
    </row>
    <row r="356" spans="1:45" s="1" customFormat="1">
      <c r="A356"/>
      <c r="B356"/>
      <c r="E356"/>
      <c r="F356"/>
      <c r="I356"/>
      <c r="J356"/>
      <c r="K356"/>
      <c r="L356"/>
      <c r="M356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3"/>
      <c r="AE356" s="33"/>
      <c r="AF356" s="33"/>
      <c r="AG356" s="33"/>
      <c r="AI356"/>
      <c r="AJ356"/>
      <c r="AK356"/>
      <c r="AL356"/>
      <c r="AM356"/>
      <c r="AN356"/>
      <c r="AO356"/>
      <c r="AP356"/>
      <c r="AQ356"/>
      <c r="AR356"/>
      <c r="AS356"/>
    </row>
    <row r="357" spans="1:45" s="1" customFormat="1">
      <c r="A357"/>
      <c r="B357"/>
      <c r="E357"/>
      <c r="F357"/>
      <c r="I357"/>
      <c r="J357"/>
      <c r="K357"/>
      <c r="L357"/>
      <c r="M357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3"/>
      <c r="AE357" s="33"/>
      <c r="AF357" s="33"/>
      <c r="AG357" s="33"/>
      <c r="AI357"/>
      <c r="AJ357"/>
      <c r="AK357"/>
      <c r="AL357"/>
      <c r="AM357"/>
      <c r="AN357"/>
      <c r="AO357"/>
      <c r="AP357"/>
      <c r="AQ357"/>
      <c r="AR357"/>
      <c r="AS357"/>
    </row>
    <row r="358" spans="1:45" s="1" customFormat="1">
      <c r="A358"/>
      <c r="B358"/>
      <c r="E358"/>
      <c r="F358"/>
      <c r="I358"/>
      <c r="J358"/>
      <c r="K358"/>
      <c r="L358"/>
      <c r="M358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3"/>
      <c r="AE358" s="33"/>
      <c r="AF358" s="33"/>
      <c r="AG358" s="33"/>
      <c r="AI358"/>
      <c r="AJ358"/>
      <c r="AK358"/>
      <c r="AL358"/>
      <c r="AM358"/>
      <c r="AN358"/>
      <c r="AO358"/>
      <c r="AP358"/>
      <c r="AQ358"/>
      <c r="AR358"/>
      <c r="AS358"/>
    </row>
    <row r="359" spans="1:45" s="1" customFormat="1">
      <c r="A359"/>
      <c r="B359"/>
      <c r="E359"/>
      <c r="F359"/>
      <c r="I359"/>
      <c r="J359"/>
      <c r="K359"/>
      <c r="L359"/>
      <c r="M359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3"/>
      <c r="AE359" s="33"/>
      <c r="AF359" s="33"/>
      <c r="AG359" s="33"/>
      <c r="AI359"/>
      <c r="AJ359"/>
      <c r="AK359"/>
      <c r="AL359"/>
      <c r="AM359"/>
      <c r="AN359"/>
      <c r="AO359"/>
      <c r="AP359"/>
      <c r="AQ359"/>
      <c r="AR359"/>
      <c r="AS359"/>
    </row>
    <row r="360" spans="1:45" s="1" customFormat="1">
      <c r="A360"/>
      <c r="B360"/>
      <c r="E360"/>
      <c r="F360"/>
      <c r="I360"/>
      <c r="J360"/>
      <c r="K360"/>
      <c r="L360"/>
      <c r="M360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3"/>
      <c r="AE360" s="33"/>
      <c r="AF360" s="33"/>
      <c r="AG360" s="33"/>
      <c r="AI360"/>
      <c r="AJ360"/>
      <c r="AK360"/>
      <c r="AL360"/>
      <c r="AM360"/>
      <c r="AN360"/>
      <c r="AO360"/>
      <c r="AP360"/>
      <c r="AQ360"/>
      <c r="AR360"/>
      <c r="AS360"/>
    </row>
    <row r="361" spans="1:45" s="1" customFormat="1">
      <c r="A361"/>
      <c r="B361"/>
      <c r="E361"/>
      <c r="F361"/>
      <c r="I361"/>
      <c r="J361"/>
      <c r="K361"/>
      <c r="L361"/>
      <c r="M361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3"/>
      <c r="AE361" s="33"/>
      <c r="AF361" s="33"/>
      <c r="AG361" s="33"/>
      <c r="AI361"/>
      <c r="AJ361"/>
      <c r="AK361"/>
      <c r="AL361"/>
      <c r="AM361"/>
      <c r="AN361"/>
      <c r="AO361"/>
      <c r="AP361"/>
      <c r="AQ361"/>
      <c r="AR361"/>
      <c r="AS361"/>
    </row>
    <row r="362" spans="1:45" s="1" customFormat="1">
      <c r="A362"/>
      <c r="B362"/>
      <c r="E362"/>
      <c r="F362"/>
      <c r="I362"/>
      <c r="J362"/>
      <c r="K362"/>
      <c r="L362"/>
      <c r="M36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3"/>
      <c r="AE362" s="33"/>
      <c r="AF362" s="33"/>
      <c r="AG362" s="33"/>
      <c r="AI362"/>
      <c r="AJ362"/>
      <c r="AK362"/>
      <c r="AL362"/>
      <c r="AM362"/>
      <c r="AN362"/>
      <c r="AO362"/>
      <c r="AP362"/>
      <c r="AQ362"/>
      <c r="AR362"/>
      <c r="AS362"/>
    </row>
    <row r="363" spans="1:45" s="1" customFormat="1">
      <c r="A363"/>
      <c r="B363"/>
      <c r="E363"/>
      <c r="F363"/>
      <c r="I363"/>
      <c r="J363"/>
      <c r="K363"/>
      <c r="L363"/>
      <c r="M363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3"/>
      <c r="AE363" s="33"/>
      <c r="AF363" s="33"/>
      <c r="AG363" s="33"/>
      <c r="AI363"/>
      <c r="AJ363"/>
      <c r="AK363"/>
      <c r="AL363"/>
      <c r="AM363"/>
      <c r="AN363"/>
      <c r="AO363"/>
      <c r="AP363"/>
      <c r="AQ363"/>
      <c r="AR363"/>
      <c r="AS363"/>
    </row>
    <row r="364" spans="1:45" s="1" customFormat="1">
      <c r="A364"/>
      <c r="B364"/>
      <c r="E364"/>
      <c r="F364"/>
      <c r="I364"/>
      <c r="J364"/>
      <c r="K364"/>
      <c r="L364"/>
      <c r="M364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3"/>
      <c r="AE364" s="33"/>
      <c r="AF364" s="33"/>
      <c r="AG364" s="33"/>
      <c r="AI364"/>
      <c r="AJ364"/>
      <c r="AK364"/>
      <c r="AL364"/>
      <c r="AM364"/>
      <c r="AN364"/>
      <c r="AO364"/>
      <c r="AP364"/>
      <c r="AQ364"/>
      <c r="AR364"/>
      <c r="AS364"/>
    </row>
    <row r="365" spans="1:45" s="1" customFormat="1">
      <c r="A365"/>
      <c r="B365"/>
      <c r="E365"/>
      <c r="F365"/>
      <c r="I365"/>
      <c r="J365"/>
      <c r="K365"/>
      <c r="L365"/>
      <c r="M365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3"/>
      <c r="AE365" s="33"/>
      <c r="AF365" s="33"/>
      <c r="AG365" s="33"/>
      <c r="AI365"/>
      <c r="AJ365"/>
      <c r="AK365"/>
      <c r="AL365"/>
      <c r="AM365"/>
      <c r="AN365"/>
      <c r="AO365"/>
      <c r="AP365"/>
      <c r="AQ365"/>
      <c r="AR365"/>
      <c r="AS365"/>
    </row>
    <row r="366" spans="1:45" s="1" customFormat="1">
      <c r="A366"/>
      <c r="B366"/>
      <c r="E366"/>
      <c r="F366"/>
      <c r="I366"/>
      <c r="J366"/>
      <c r="K366"/>
      <c r="L366"/>
      <c r="M366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3"/>
      <c r="AE366" s="33"/>
      <c r="AF366" s="33"/>
      <c r="AG366" s="33"/>
      <c r="AI366"/>
      <c r="AJ366"/>
      <c r="AK366"/>
      <c r="AL366"/>
      <c r="AM366"/>
      <c r="AN366"/>
      <c r="AO366"/>
      <c r="AP366"/>
      <c r="AQ366"/>
      <c r="AR366"/>
      <c r="AS366"/>
    </row>
    <row r="367" spans="1:45" s="1" customFormat="1">
      <c r="A367"/>
      <c r="B367"/>
      <c r="E367"/>
      <c r="F367"/>
      <c r="I367"/>
      <c r="J367"/>
      <c r="K367"/>
      <c r="L367"/>
      <c r="M367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3"/>
      <c r="AE367" s="33"/>
      <c r="AF367" s="33"/>
      <c r="AG367" s="33"/>
      <c r="AI367"/>
      <c r="AJ367"/>
      <c r="AK367"/>
      <c r="AL367"/>
      <c r="AM367"/>
      <c r="AN367"/>
      <c r="AO367"/>
      <c r="AP367"/>
      <c r="AQ367"/>
      <c r="AR367"/>
      <c r="AS367"/>
    </row>
    <row r="368" spans="1:45" s="1" customFormat="1">
      <c r="A368"/>
      <c r="B368"/>
      <c r="E368"/>
      <c r="F368"/>
      <c r="I368"/>
      <c r="J368"/>
      <c r="K368"/>
      <c r="L368"/>
      <c r="M368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3"/>
      <c r="AE368" s="33"/>
      <c r="AF368" s="33"/>
      <c r="AG368" s="33"/>
      <c r="AI368"/>
      <c r="AJ368"/>
      <c r="AK368"/>
      <c r="AL368"/>
      <c r="AM368"/>
      <c r="AN368"/>
      <c r="AO368"/>
      <c r="AP368"/>
      <c r="AQ368"/>
      <c r="AR368"/>
      <c r="AS368"/>
    </row>
    <row r="369" spans="1:45" s="1" customFormat="1">
      <c r="A369"/>
      <c r="B369"/>
      <c r="E369"/>
      <c r="F369"/>
      <c r="I369"/>
      <c r="J369"/>
      <c r="K369"/>
      <c r="L369"/>
      <c r="M369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3"/>
      <c r="AE369" s="33"/>
      <c r="AF369" s="33"/>
      <c r="AG369" s="33"/>
      <c r="AI369"/>
      <c r="AJ369"/>
      <c r="AK369"/>
      <c r="AL369"/>
      <c r="AM369"/>
      <c r="AN369"/>
      <c r="AO369"/>
      <c r="AP369"/>
      <c r="AQ369"/>
      <c r="AR369"/>
      <c r="AS369"/>
    </row>
    <row r="370" spans="1:45" s="1" customFormat="1">
      <c r="A370"/>
      <c r="B370"/>
      <c r="E370"/>
      <c r="F370"/>
      <c r="I370"/>
      <c r="J370"/>
      <c r="K370"/>
      <c r="L370"/>
      <c r="M370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3"/>
      <c r="AE370" s="33"/>
      <c r="AF370" s="33"/>
      <c r="AG370" s="33"/>
      <c r="AI370"/>
      <c r="AJ370"/>
      <c r="AK370"/>
      <c r="AL370"/>
      <c r="AM370"/>
      <c r="AN370"/>
      <c r="AO370"/>
      <c r="AP370"/>
      <c r="AQ370"/>
      <c r="AR370"/>
      <c r="AS370"/>
    </row>
    <row r="371" spans="1:45" s="1" customFormat="1">
      <c r="A371"/>
      <c r="B371"/>
      <c r="E371"/>
      <c r="F371"/>
      <c r="I371"/>
      <c r="J371"/>
      <c r="K371"/>
      <c r="L371"/>
      <c r="M371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3"/>
      <c r="AE371" s="33"/>
      <c r="AF371" s="33"/>
      <c r="AG371" s="33"/>
      <c r="AI371"/>
      <c r="AJ371"/>
      <c r="AK371"/>
      <c r="AL371"/>
      <c r="AM371"/>
      <c r="AN371"/>
      <c r="AO371"/>
      <c r="AP371"/>
      <c r="AQ371"/>
      <c r="AR371"/>
      <c r="AS371"/>
    </row>
    <row r="372" spans="1:45" s="1" customFormat="1">
      <c r="A372"/>
      <c r="B372"/>
      <c r="E372"/>
      <c r="F372"/>
      <c r="I372"/>
      <c r="J372"/>
      <c r="K372"/>
      <c r="L372"/>
      <c r="M37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3"/>
      <c r="AE372" s="33"/>
      <c r="AF372" s="33"/>
      <c r="AG372" s="33"/>
      <c r="AI372"/>
      <c r="AJ372"/>
      <c r="AK372"/>
      <c r="AL372"/>
      <c r="AM372"/>
      <c r="AN372"/>
      <c r="AO372"/>
      <c r="AP372"/>
      <c r="AQ372"/>
      <c r="AR372"/>
      <c r="AS372"/>
    </row>
    <row r="373" spans="1:45" s="1" customFormat="1">
      <c r="A373"/>
      <c r="B373"/>
      <c r="E373"/>
      <c r="F373"/>
      <c r="I373"/>
      <c r="J373"/>
      <c r="K373"/>
      <c r="L373"/>
      <c r="M373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3"/>
      <c r="AE373" s="33"/>
      <c r="AF373" s="33"/>
      <c r="AG373" s="33"/>
      <c r="AI373"/>
      <c r="AJ373"/>
      <c r="AK373"/>
      <c r="AL373"/>
      <c r="AM373"/>
      <c r="AN373"/>
      <c r="AO373"/>
      <c r="AP373"/>
      <c r="AQ373"/>
      <c r="AR373"/>
      <c r="AS373"/>
    </row>
    <row r="374" spans="1:45" s="1" customFormat="1">
      <c r="A374"/>
      <c r="B374"/>
      <c r="E374"/>
      <c r="F374"/>
      <c r="I374"/>
      <c r="J374"/>
      <c r="K374"/>
      <c r="L374"/>
      <c r="M374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3"/>
      <c r="AE374" s="33"/>
      <c r="AF374" s="33"/>
      <c r="AG374" s="33"/>
      <c r="AI374"/>
      <c r="AJ374"/>
      <c r="AK374"/>
      <c r="AL374"/>
      <c r="AM374"/>
      <c r="AN374"/>
      <c r="AO374"/>
      <c r="AP374"/>
      <c r="AQ374"/>
      <c r="AR374"/>
      <c r="AS374"/>
    </row>
    <row r="375" spans="1:45" s="1" customFormat="1">
      <c r="A375"/>
      <c r="B375"/>
      <c r="E375"/>
      <c r="F375"/>
      <c r="I375"/>
      <c r="J375"/>
      <c r="K375"/>
      <c r="L375"/>
      <c r="M375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3"/>
      <c r="AE375" s="33"/>
      <c r="AF375" s="33"/>
      <c r="AG375" s="33"/>
      <c r="AI375"/>
      <c r="AJ375"/>
      <c r="AK375"/>
      <c r="AL375"/>
      <c r="AM375"/>
      <c r="AN375"/>
      <c r="AO375"/>
      <c r="AP375"/>
      <c r="AQ375"/>
      <c r="AR375"/>
      <c r="AS375"/>
    </row>
    <row r="376" spans="1:45" s="1" customFormat="1">
      <c r="A376"/>
      <c r="B376"/>
      <c r="E376"/>
      <c r="F376"/>
      <c r="I376"/>
      <c r="J376"/>
      <c r="K376"/>
      <c r="L376"/>
      <c r="M376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3"/>
      <c r="AE376" s="33"/>
      <c r="AF376" s="33"/>
      <c r="AG376" s="33"/>
      <c r="AI376"/>
      <c r="AJ376"/>
      <c r="AK376"/>
      <c r="AL376"/>
      <c r="AM376"/>
      <c r="AN376"/>
      <c r="AO376"/>
      <c r="AP376"/>
      <c r="AQ376"/>
      <c r="AR376"/>
      <c r="AS376"/>
    </row>
    <row r="377" spans="1:45" s="1" customFormat="1">
      <c r="A377"/>
      <c r="B377"/>
      <c r="E377"/>
      <c r="F377"/>
      <c r="I377"/>
      <c r="J377"/>
      <c r="K377"/>
      <c r="L377"/>
      <c r="M377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3"/>
      <c r="AE377" s="33"/>
      <c r="AF377" s="33"/>
      <c r="AG377" s="33"/>
      <c r="AI377"/>
      <c r="AJ377"/>
      <c r="AK377"/>
      <c r="AL377"/>
      <c r="AM377"/>
      <c r="AN377"/>
      <c r="AO377"/>
      <c r="AP377"/>
      <c r="AQ377"/>
      <c r="AR377"/>
      <c r="AS377"/>
    </row>
    <row r="378" spans="1:45" s="1" customFormat="1">
      <c r="A378"/>
      <c r="B378"/>
      <c r="E378"/>
      <c r="F378"/>
      <c r="I378"/>
      <c r="J378"/>
      <c r="K378"/>
      <c r="L378"/>
      <c r="M378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3"/>
      <c r="AE378" s="33"/>
      <c r="AF378" s="33"/>
      <c r="AG378" s="33"/>
      <c r="AI378"/>
      <c r="AJ378"/>
      <c r="AK378"/>
      <c r="AL378"/>
      <c r="AM378"/>
      <c r="AN378"/>
      <c r="AO378"/>
      <c r="AP378"/>
      <c r="AQ378"/>
      <c r="AR378"/>
      <c r="AS378"/>
    </row>
    <row r="379" spans="1:45" s="1" customFormat="1">
      <c r="A379"/>
      <c r="B379"/>
      <c r="E379"/>
      <c r="F379"/>
      <c r="I379"/>
      <c r="J379"/>
      <c r="K379"/>
      <c r="L379"/>
      <c r="M379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3"/>
      <c r="AE379" s="33"/>
      <c r="AF379" s="33"/>
      <c r="AG379" s="33"/>
      <c r="AI379"/>
      <c r="AJ379"/>
      <c r="AK379"/>
      <c r="AL379"/>
      <c r="AM379"/>
      <c r="AN379"/>
      <c r="AO379"/>
      <c r="AP379"/>
      <c r="AQ379"/>
      <c r="AR379"/>
      <c r="AS379"/>
    </row>
    <row r="380" spans="1:45" s="1" customFormat="1">
      <c r="A380"/>
      <c r="B380"/>
      <c r="E380"/>
      <c r="F380"/>
      <c r="I380"/>
      <c r="J380"/>
      <c r="K380"/>
      <c r="L380"/>
      <c r="M380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3"/>
      <c r="AE380" s="33"/>
      <c r="AF380" s="33"/>
      <c r="AG380" s="33"/>
      <c r="AI380"/>
      <c r="AJ380"/>
      <c r="AK380"/>
      <c r="AL380"/>
      <c r="AM380"/>
      <c r="AN380"/>
      <c r="AO380"/>
      <c r="AP380"/>
      <c r="AQ380"/>
      <c r="AR380"/>
      <c r="AS380"/>
    </row>
    <row r="381" spans="1:45" s="1" customFormat="1">
      <c r="A381"/>
      <c r="B381"/>
      <c r="E381"/>
      <c r="F381"/>
      <c r="I381"/>
      <c r="J381"/>
      <c r="K381"/>
      <c r="L381"/>
      <c r="M381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3"/>
      <c r="AE381" s="33"/>
      <c r="AF381" s="33"/>
      <c r="AG381" s="33"/>
      <c r="AI381"/>
      <c r="AJ381"/>
      <c r="AK381"/>
      <c r="AL381"/>
      <c r="AM381"/>
      <c r="AN381"/>
      <c r="AO381"/>
      <c r="AP381"/>
      <c r="AQ381"/>
      <c r="AR381"/>
      <c r="AS381"/>
    </row>
    <row r="382" spans="1:45" s="1" customFormat="1">
      <c r="A382"/>
      <c r="B382"/>
      <c r="E382"/>
      <c r="F382"/>
      <c r="I382"/>
      <c r="J382"/>
      <c r="K382"/>
      <c r="L382"/>
      <c r="M38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3"/>
      <c r="AE382" s="33"/>
      <c r="AF382" s="33"/>
      <c r="AG382" s="33"/>
      <c r="AI382"/>
      <c r="AJ382"/>
      <c r="AK382"/>
      <c r="AL382"/>
      <c r="AM382"/>
      <c r="AN382"/>
      <c r="AO382"/>
      <c r="AP382"/>
      <c r="AQ382"/>
      <c r="AR382"/>
      <c r="AS382"/>
    </row>
    <row r="383" spans="1:45" s="1" customFormat="1">
      <c r="A383"/>
      <c r="B383"/>
      <c r="E383"/>
      <c r="F383"/>
      <c r="I383"/>
      <c r="J383"/>
      <c r="K383"/>
      <c r="L383"/>
      <c r="M383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3"/>
      <c r="AE383" s="33"/>
      <c r="AF383" s="33"/>
      <c r="AG383" s="33"/>
      <c r="AI383"/>
      <c r="AJ383"/>
      <c r="AK383"/>
      <c r="AL383"/>
      <c r="AM383"/>
      <c r="AN383"/>
      <c r="AO383"/>
      <c r="AP383"/>
      <c r="AQ383"/>
      <c r="AR383"/>
      <c r="AS383"/>
    </row>
    <row r="384" spans="1:45" s="1" customFormat="1">
      <c r="A384"/>
      <c r="B384"/>
      <c r="E384"/>
      <c r="F384"/>
      <c r="I384"/>
      <c r="J384"/>
      <c r="K384"/>
      <c r="L384"/>
      <c r="M384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3"/>
      <c r="AE384" s="33"/>
      <c r="AF384" s="33"/>
      <c r="AG384" s="33"/>
      <c r="AI384"/>
      <c r="AJ384"/>
      <c r="AK384"/>
      <c r="AL384"/>
      <c r="AM384"/>
      <c r="AN384"/>
      <c r="AO384"/>
      <c r="AP384"/>
      <c r="AQ384"/>
      <c r="AR384"/>
      <c r="AS384"/>
    </row>
    <row r="385" spans="1:45" s="1" customFormat="1">
      <c r="A385"/>
      <c r="B385"/>
      <c r="E385"/>
      <c r="F385"/>
      <c r="I385"/>
      <c r="J385"/>
      <c r="K385"/>
      <c r="L385"/>
      <c r="M385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3"/>
      <c r="AE385" s="33"/>
      <c r="AF385" s="33"/>
      <c r="AG385" s="33"/>
      <c r="AI385"/>
      <c r="AJ385"/>
      <c r="AK385"/>
      <c r="AL385"/>
      <c r="AM385"/>
      <c r="AN385"/>
      <c r="AO385"/>
      <c r="AP385"/>
      <c r="AQ385"/>
      <c r="AR385"/>
      <c r="AS385"/>
    </row>
    <row r="386" spans="1:45" s="1" customFormat="1">
      <c r="A386"/>
      <c r="B386"/>
      <c r="E386"/>
      <c r="F386"/>
      <c r="I386"/>
      <c r="J386"/>
      <c r="K386"/>
      <c r="L386"/>
      <c r="M386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3"/>
      <c r="AE386" s="33"/>
      <c r="AF386" s="33"/>
      <c r="AG386" s="33"/>
      <c r="AI386"/>
      <c r="AJ386"/>
      <c r="AK386"/>
      <c r="AL386"/>
      <c r="AM386"/>
      <c r="AN386"/>
      <c r="AO386"/>
      <c r="AP386"/>
      <c r="AQ386"/>
      <c r="AR386"/>
      <c r="AS386"/>
    </row>
    <row r="387" spans="1:45" s="1" customFormat="1">
      <c r="A387"/>
      <c r="B387"/>
      <c r="E387"/>
      <c r="F387"/>
      <c r="I387"/>
      <c r="J387"/>
      <c r="K387"/>
      <c r="L387"/>
      <c r="M387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3"/>
      <c r="AE387" s="33"/>
      <c r="AF387" s="33"/>
      <c r="AG387" s="33"/>
      <c r="AI387"/>
      <c r="AJ387"/>
      <c r="AK387"/>
      <c r="AL387"/>
      <c r="AM387"/>
      <c r="AN387"/>
      <c r="AO387"/>
      <c r="AP387"/>
      <c r="AQ387"/>
      <c r="AR387"/>
      <c r="AS387"/>
    </row>
    <row r="388" spans="1:45" s="1" customFormat="1">
      <c r="A388"/>
      <c r="B388"/>
      <c r="E388"/>
      <c r="F388"/>
      <c r="I388"/>
      <c r="J388"/>
      <c r="K388"/>
      <c r="L388"/>
      <c r="M388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3"/>
      <c r="AE388" s="33"/>
      <c r="AF388" s="33"/>
      <c r="AG388" s="33"/>
      <c r="AI388"/>
      <c r="AJ388"/>
      <c r="AK388"/>
      <c r="AL388"/>
      <c r="AM388"/>
      <c r="AN388"/>
      <c r="AO388"/>
      <c r="AP388"/>
      <c r="AQ388"/>
      <c r="AR388"/>
      <c r="AS388"/>
    </row>
    <row r="389" spans="1:45" s="1" customFormat="1">
      <c r="A389"/>
      <c r="B389"/>
      <c r="E389"/>
      <c r="F389"/>
      <c r="I389"/>
      <c r="J389"/>
      <c r="K389"/>
      <c r="L389"/>
      <c r="M389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3"/>
      <c r="AE389" s="33"/>
      <c r="AF389" s="33"/>
      <c r="AG389" s="33"/>
      <c r="AI389"/>
      <c r="AJ389"/>
      <c r="AK389"/>
      <c r="AL389"/>
      <c r="AM389"/>
      <c r="AN389"/>
      <c r="AO389"/>
      <c r="AP389"/>
      <c r="AQ389"/>
      <c r="AR389"/>
      <c r="AS389"/>
    </row>
    <row r="390" spans="1:45" s="1" customFormat="1">
      <c r="A390"/>
      <c r="B390"/>
      <c r="E390"/>
      <c r="F390"/>
      <c r="I390"/>
      <c r="J390"/>
      <c r="K390"/>
      <c r="L390"/>
      <c r="M390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3"/>
      <c r="AE390" s="33"/>
      <c r="AF390" s="33"/>
      <c r="AG390" s="33"/>
      <c r="AI390"/>
      <c r="AJ390"/>
      <c r="AK390"/>
      <c r="AL390"/>
      <c r="AM390"/>
      <c r="AN390"/>
      <c r="AO390"/>
      <c r="AP390"/>
      <c r="AQ390"/>
      <c r="AR390"/>
      <c r="AS390"/>
    </row>
    <row r="391" spans="1:45" s="1" customFormat="1">
      <c r="A391"/>
      <c r="B391"/>
      <c r="E391"/>
      <c r="F391"/>
      <c r="I391"/>
      <c r="J391"/>
      <c r="K391"/>
      <c r="L391"/>
      <c r="M391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3"/>
      <c r="AE391" s="33"/>
      <c r="AF391" s="33"/>
      <c r="AG391" s="33"/>
      <c r="AI391"/>
      <c r="AJ391"/>
      <c r="AK391"/>
      <c r="AL391"/>
      <c r="AM391"/>
      <c r="AN391"/>
      <c r="AO391"/>
      <c r="AP391"/>
      <c r="AQ391"/>
      <c r="AR391"/>
      <c r="AS391"/>
    </row>
    <row r="392" spans="1:45" s="1" customFormat="1">
      <c r="A392"/>
      <c r="B392"/>
      <c r="E392"/>
      <c r="F392"/>
      <c r="I392"/>
      <c r="J392"/>
      <c r="K392"/>
      <c r="L392"/>
      <c r="M39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3"/>
      <c r="AE392" s="33"/>
      <c r="AF392" s="33"/>
      <c r="AG392" s="33"/>
      <c r="AI392"/>
      <c r="AJ392"/>
      <c r="AK392"/>
      <c r="AL392"/>
      <c r="AM392"/>
      <c r="AN392"/>
      <c r="AO392"/>
      <c r="AP392"/>
      <c r="AQ392"/>
      <c r="AR392"/>
      <c r="AS392"/>
    </row>
    <row r="393" spans="1:45" s="1" customFormat="1">
      <c r="A393"/>
      <c r="B393"/>
      <c r="E393"/>
      <c r="F393"/>
      <c r="I393"/>
      <c r="J393"/>
      <c r="K393"/>
      <c r="L393"/>
      <c r="M393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3"/>
      <c r="AE393" s="33"/>
      <c r="AF393" s="33"/>
      <c r="AG393" s="33"/>
      <c r="AI393"/>
      <c r="AJ393"/>
      <c r="AK393"/>
      <c r="AL393"/>
      <c r="AM393"/>
      <c r="AN393"/>
      <c r="AO393"/>
      <c r="AP393"/>
      <c r="AQ393"/>
      <c r="AR393"/>
      <c r="AS393"/>
    </row>
    <row r="394" spans="1:45" s="1" customFormat="1">
      <c r="A394"/>
      <c r="B394"/>
      <c r="E394"/>
      <c r="F394"/>
      <c r="I394"/>
      <c r="J394"/>
      <c r="K394"/>
      <c r="L394"/>
      <c r="M394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3"/>
      <c r="AE394" s="33"/>
      <c r="AF394" s="33"/>
      <c r="AG394" s="33"/>
      <c r="AI394"/>
      <c r="AJ394"/>
      <c r="AK394"/>
      <c r="AL394"/>
      <c r="AM394"/>
      <c r="AN394"/>
      <c r="AO394"/>
      <c r="AP394"/>
      <c r="AQ394"/>
      <c r="AR394"/>
      <c r="AS394"/>
    </row>
    <row r="395" spans="1:45" s="1" customFormat="1">
      <c r="A395"/>
      <c r="B395"/>
      <c r="E395"/>
      <c r="F395"/>
      <c r="I395"/>
      <c r="J395"/>
      <c r="K395"/>
      <c r="L395"/>
      <c r="M395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3"/>
      <c r="AE395" s="33"/>
      <c r="AF395" s="33"/>
      <c r="AG395" s="33"/>
      <c r="AI395"/>
      <c r="AJ395"/>
      <c r="AK395"/>
      <c r="AL395"/>
      <c r="AM395"/>
      <c r="AN395"/>
      <c r="AO395"/>
      <c r="AP395"/>
      <c r="AQ395"/>
      <c r="AR395"/>
      <c r="AS395"/>
    </row>
    <row r="396" spans="1:45" s="1" customFormat="1">
      <c r="A396"/>
      <c r="B396"/>
      <c r="E396"/>
      <c r="F396"/>
      <c r="I396"/>
      <c r="J396"/>
      <c r="K396"/>
      <c r="L396"/>
      <c r="M396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3"/>
      <c r="AE396" s="33"/>
      <c r="AF396" s="33"/>
      <c r="AG396" s="33"/>
      <c r="AI396"/>
      <c r="AJ396"/>
      <c r="AK396"/>
      <c r="AL396"/>
      <c r="AM396"/>
      <c r="AN396"/>
      <c r="AO396"/>
      <c r="AP396"/>
      <c r="AQ396"/>
      <c r="AR396"/>
      <c r="AS396"/>
    </row>
    <row r="397" spans="1:45" s="1" customFormat="1">
      <c r="A397"/>
      <c r="B397"/>
      <c r="E397"/>
      <c r="F397"/>
      <c r="I397"/>
      <c r="J397"/>
      <c r="K397"/>
      <c r="L397"/>
      <c r="M397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3"/>
      <c r="AE397" s="33"/>
      <c r="AF397" s="33"/>
      <c r="AG397" s="33"/>
      <c r="AI397"/>
      <c r="AJ397"/>
      <c r="AK397"/>
      <c r="AL397"/>
      <c r="AM397"/>
      <c r="AN397"/>
      <c r="AO397"/>
      <c r="AP397"/>
      <c r="AQ397"/>
      <c r="AR397"/>
      <c r="AS397"/>
    </row>
    <row r="398" spans="1:45" s="1" customFormat="1">
      <c r="A398"/>
      <c r="B398"/>
      <c r="E398"/>
      <c r="F398"/>
      <c r="I398"/>
      <c r="J398"/>
      <c r="K398"/>
      <c r="L398"/>
      <c r="M398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3"/>
      <c r="AE398" s="33"/>
      <c r="AF398" s="33"/>
      <c r="AG398" s="33"/>
      <c r="AI398"/>
      <c r="AJ398"/>
      <c r="AK398"/>
      <c r="AL398"/>
      <c r="AM398"/>
      <c r="AN398"/>
      <c r="AO398"/>
      <c r="AP398"/>
      <c r="AQ398"/>
      <c r="AR398"/>
      <c r="AS398"/>
    </row>
    <row r="399" spans="1:45" s="1" customFormat="1">
      <c r="A399"/>
      <c r="B399"/>
      <c r="E399"/>
      <c r="F399"/>
      <c r="I399"/>
      <c r="J399"/>
      <c r="K399"/>
      <c r="L399"/>
      <c r="M399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3"/>
      <c r="AE399" s="33"/>
      <c r="AF399" s="33"/>
      <c r="AG399" s="33"/>
      <c r="AI399"/>
      <c r="AJ399"/>
      <c r="AK399"/>
      <c r="AL399"/>
      <c r="AM399"/>
      <c r="AN399"/>
      <c r="AO399"/>
      <c r="AP399"/>
      <c r="AQ399"/>
      <c r="AR399"/>
      <c r="AS399"/>
    </row>
    <row r="400" spans="1:45" s="1" customFormat="1">
      <c r="A400"/>
      <c r="B400"/>
      <c r="E400"/>
      <c r="F400"/>
      <c r="I400"/>
      <c r="J400"/>
      <c r="K400"/>
      <c r="L400"/>
      <c r="M400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3"/>
      <c r="AE400" s="33"/>
      <c r="AF400" s="33"/>
      <c r="AG400" s="33"/>
      <c r="AI400"/>
      <c r="AJ400"/>
      <c r="AK400"/>
      <c r="AL400"/>
      <c r="AM400"/>
      <c r="AN400"/>
      <c r="AO400"/>
      <c r="AP400"/>
      <c r="AQ400"/>
      <c r="AR400"/>
      <c r="AS400"/>
    </row>
    <row r="401" spans="1:45" s="1" customFormat="1">
      <c r="A401"/>
      <c r="B401"/>
      <c r="E401"/>
      <c r="F401"/>
      <c r="I401"/>
      <c r="J401"/>
      <c r="K401"/>
      <c r="L401"/>
      <c r="M401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3"/>
      <c r="AE401" s="33"/>
      <c r="AF401" s="33"/>
      <c r="AG401" s="33"/>
      <c r="AI401"/>
      <c r="AJ401"/>
      <c r="AK401"/>
      <c r="AL401"/>
      <c r="AM401"/>
      <c r="AN401"/>
      <c r="AO401"/>
      <c r="AP401"/>
      <c r="AQ401"/>
      <c r="AR401"/>
      <c r="AS401"/>
    </row>
    <row r="402" spans="1:45" s="1" customFormat="1">
      <c r="A402"/>
      <c r="B402"/>
      <c r="E402"/>
      <c r="F402"/>
      <c r="I402"/>
      <c r="J402"/>
      <c r="K402"/>
      <c r="L402"/>
      <c r="M40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3"/>
      <c r="AE402" s="33"/>
      <c r="AF402" s="33"/>
      <c r="AG402" s="33"/>
      <c r="AI402"/>
      <c r="AJ402"/>
      <c r="AK402"/>
      <c r="AL402"/>
      <c r="AM402"/>
      <c r="AN402"/>
      <c r="AO402"/>
      <c r="AP402"/>
      <c r="AQ402"/>
      <c r="AR402"/>
      <c r="AS402"/>
    </row>
    <row r="403" spans="1:45" s="1" customFormat="1">
      <c r="A403"/>
      <c r="B403"/>
      <c r="E403"/>
      <c r="F403"/>
      <c r="I403"/>
      <c r="J403"/>
      <c r="K403"/>
      <c r="L403"/>
      <c r="M403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3"/>
      <c r="AE403" s="33"/>
      <c r="AF403" s="33"/>
      <c r="AG403" s="33"/>
      <c r="AI403"/>
      <c r="AJ403"/>
      <c r="AK403"/>
      <c r="AL403"/>
      <c r="AM403"/>
      <c r="AN403"/>
      <c r="AO403"/>
      <c r="AP403"/>
      <c r="AQ403"/>
      <c r="AR403"/>
      <c r="AS403"/>
    </row>
    <row r="404" spans="1:45" s="1" customFormat="1">
      <c r="A404"/>
      <c r="B404"/>
      <c r="E404"/>
      <c r="F404"/>
      <c r="I404"/>
      <c r="J404"/>
      <c r="K404"/>
      <c r="L404"/>
      <c r="M404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3"/>
      <c r="AE404" s="33"/>
      <c r="AF404" s="33"/>
      <c r="AG404" s="33"/>
      <c r="AI404"/>
      <c r="AJ404"/>
      <c r="AK404"/>
      <c r="AL404"/>
      <c r="AM404"/>
      <c r="AN404"/>
      <c r="AO404"/>
      <c r="AP404"/>
      <c r="AQ404"/>
      <c r="AR404"/>
      <c r="AS404"/>
    </row>
    <row r="405" spans="1:45" s="1" customFormat="1">
      <c r="A405"/>
      <c r="B405"/>
      <c r="E405"/>
      <c r="F405"/>
      <c r="I405"/>
      <c r="J405"/>
      <c r="K405"/>
      <c r="L405"/>
      <c r="M405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3"/>
      <c r="AE405" s="33"/>
      <c r="AF405" s="33"/>
      <c r="AG405" s="33"/>
      <c r="AI405"/>
      <c r="AJ405"/>
      <c r="AK405"/>
      <c r="AL405"/>
      <c r="AM405"/>
      <c r="AN405"/>
      <c r="AO405"/>
      <c r="AP405"/>
      <c r="AQ405"/>
      <c r="AR405"/>
      <c r="AS405"/>
    </row>
    <row r="406" spans="1:45" s="1" customFormat="1">
      <c r="A406"/>
      <c r="B406"/>
      <c r="E406"/>
      <c r="F406"/>
      <c r="I406"/>
      <c r="J406"/>
      <c r="K406"/>
      <c r="L406"/>
      <c r="M406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3"/>
      <c r="AE406" s="33"/>
      <c r="AF406" s="33"/>
      <c r="AG406" s="33"/>
      <c r="AI406"/>
      <c r="AJ406"/>
      <c r="AK406"/>
      <c r="AL406"/>
      <c r="AM406"/>
      <c r="AN406"/>
      <c r="AO406"/>
      <c r="AP406"/>
      <c r="AQ406"/>
      <c r="AR406"/>
      <c r="AS406"/>
    </row>
    <row r="407" spans="1:45" s="1" customFormat="1">
      <c r="A407"/>
      <c r="B407"/>
      <c r="E407"/>
      <c r="F407"/>
      <c r="I407"/>
      <c r="J407"/>
      <c r="K407"/>
      <c r="L407"/>
      <c r="M407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3"/>
      <c r="AE407" s="33"/>
      <c r="AF407" s="33"/>
      <c r="AG407" s="33"/>
      <c r="AI407"/>
      <c r="AJ407"/>
      <c r="AK407"/>
      <c r="AL407"/>
      <c r="AM407"/>
      <c r="AN407"/>
      <c r="AO407"/>
      <c r="AP407"/>
      <c r="AQ407"/>
      <c r="AR407"/>
      <c r="AS407"/>
    </row>
    <row r="408" spans="1:45" s="1" customFormat="1">
      <c r="A408"/>
      <c r="B408"/>
      <c r="E408"/>
      <c r="F408"/>
      <c r="I408"/>
      <c r="J408"/>
      <c r="K408"/>
      <c r="L408"/>
      <c r="M408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3"/>
      <c r="AE408" s="33"/>
      <c r="AF408" s="33"/>
      <c r="AG408" s="33"/>
      <c r="AI408"/>
      <c r="AJ408"/>
      <c r="AK408"/>
      <c r="AL408"/>
      <c r="AM408"/>
      <c r="AN408"/>
      <c r="AO408"/>
      <c r="AP408"/>
      <c r="AQ408"/>
      <c r="AR408"/>
      <c r="AS408"/>
    </row>
    <row r="409" spans="1:45" s="1" customFormat="1">
      <c r="A409"/>
      <c r="B409"/>
      <c r="E409"/>
      <c r="F409"/>
      <c r="I409"/>
      <c r="J409"/>
      <c r="K409"/>
      <c r="L409"/>
      <c r="M409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3"/>
      <c r="AE409" s="33"/>
      <c r="AF409" s="33"/>
      <c r="AG409" s="33"/>
      <c r="AI409"/>
      <c r="AJ409"/>
      <c r="AK409"/>
      <c r="AL409"/>
      <c r="AM409"/>
      <c r="AN409"/>
      <c r="AO409"/>
      <c r="AP409"/>
      <c r="AQ409"/>
      <c r="AR409"/>
      <c r="AS409"/>
    </row>
    <row r="410" spans="1:45" s="1" customFormat="1">
      <c r="A410"/>
      <c r="B410"/>
      <c r="E410"/>
      <c r="F410"/>
      <c r="I410"/>
      <c r="J410"/>
      <c r="K410"/>
      <c r="L410"/>
      <c r="M410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3"/>
      <c r="AE410" s="33"/>
      <c r="AF410" s="33"/>
      <c r="AG410" s="33"/>
      <c r="AI410"/>
      <c r="AJ410"/>
      <c r="AK410"/>
      <c r="AL410"/>
      <c r="AM410"/>
      <c r="AN410"/>
      <c r="AO410"/>
      <c r="AP410"/>
      <c r="AQ410"/>
      <c r="AR410"/>
      <c r="AS410"/>
    </row>
    <row r="411" spans="1:45" s="1" customFormat="1">
      <c r="A411"/>
      <c r="B411"/>
      <c r="E411"/>
      <c r="F411"/>
      <c r="I411"/>
      <c r="J411"/>
      <c r="K411"/>
      <c r="L411"/>
      <c r="M411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3"/>
      <c r="AE411" s="33"/>
      <c r="AF411" s="33"/>
      <c r="AG411" s="33"/>
      <c r="AI411"/>
      <c r="AJ411"/>
      <c r="AK411"/>
      <c r="AL411"/>
      <c r="AM411"/>
      <c r="AN411"/>
      <c r="AO411"/>
      <c r="AP411"/>
      <c r="AQ411"/>
      <c r="AR411"/>
      <c r="AS411"/>
    </row>
    <row r="412" spans="1:45" s="1" customFormat="1">
      <c r="A412"/>
      <c r="B412"/>
      <c r="E412"/>
      <c r="F412"/>
      <c r="I412"/>
      <c r="J412"/>
      <c r="K412"/>
      <c r="L412"/>
      <c r="M41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3"/>
      <c r="AE412" s="33"/>
      <c r="AF412" s="33"/>
      <c r="AG412" s="33"/>
      <c r="AI412"/>
      <c r="AJ412"/>
      <c r="AK412"/>
      <c r="AL412"/>
      <c r="AM412"/>
      <c r="AN412"/>
      <c r="AO412"/>
      <c r="AP412"/>
      <c r="AQ412"/>
      <c r="AR412"/>
      <c r="AS412"/>
    </row>
    <row r="413" spans="1:45" s="1" customFormat="1">
      <c r="A413"/>
      <c r="B413"/>
      <c r="E413"/>
      <c r="F413"/>
      <c r="I413"/>
      <c r="J413"/>
      <c r="K413"/>
      <c r="L413"/>
      <c r="M413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3"/>
      <c r="AE413" s="33"/>
      <c r="AF413" s="33"/>
      <c r="AG413" s="33"/>
      <c r="AI413"/>
      <c r="AJ413"/>
      <c r="AK413"/>
      <c r="AL413"/>
      <c r="AM413"/>
      <c r="AN413"/>
      <c r="AO413"/>
      <c r="AP413"/>
      <c r="AQ413"/>
      <c r="AR413"/>
      <c r="AS413"/>
    </row>
    <row r="414" spans="1:45" s="1" customFormat="1">
      <c r="A414"/>
      <c r="B414"/>
      <c r="E414"/>
      <c r="F414"/>
      <c r="I414"/>
      <c r="J414"/>
      <c r="K414"/>
      <c r="L414"/>
      <c r="M414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3"/>
      <c r="AE414" s="33"/>
      <c r="AF414" s="33"/>
      <c r="AG414" s="33"/>
      <c r="AI414"/>
      <c r="AJ414"/>
      <c r="AK414"/>
      <c r="AL414"/>
      <c r="AM414"/>
      <c r="AN414"/>
      <c r="AO414"/>
      <c r="AP414"/>
      <c r="AQ414"/>
      <c r="AR414"/>
      <c r="AS414"/>
    </row>
    <row r="415" spans="1:45" s="1" customFormat="1">
      <c r="A415"/>
      <c r="B415"/>
      <c r="E415"/>
      <c r="F415"/>
      <c r="I415"/>
      <c r="J415"/>
      <c r="K415"/>
      <c r="L415"/>
      <c r="M415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3"/>
      <c r="AE415" s="33"/>
      <c r="AF415" s="33"/>
      <c r="AG415" s="33"/>
      <c r="AI415"/>
      <c r="AJ415"/>
      <c r="AK415"/>
      <c r="AL415"/>
      <c r="AM415"/>
      <c r="AN415"/>
      <c r="AO415"/>
      <c r="AP415"/>
      <c r="AQ415"/>
      <c r="AR415"/>
      <c r="AS415"/>
    </row>
    <row r="416" spans="1:45" s="1" customFormat="1">
      <c r="A416"/>
      <c r="B416"/>
      <c r="E416"/>
      <c r="F416"/>
      <c r="I416"/>
      <c r="J416"/>
      <c r="K416"/>
      <c r="L416"/>
      <c r="M416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3"/>
      <c r="AE416" s="33"/>
      <c r="AF416" s="33"/>
      <c r="AG416" s="33"/>
      <c r="AI416"/>
      <c r="AJ416"/>
      <c r="AK416"/>
      <c r="AL416"/>
      <c r="AM416"/>
      <c r="AN416"/>
      <c r="AO416"/>
      <c r="AP416"/>
      <c r="AQ416"/>
      <c r="AR416"/>
      <c r="AS416"/>
    </row>
    <row r="417" spans="1:45" s="1" customFormat="1">
      <c r="A417"/>
      <c r="B417"/>
      <c r="E417"/>
      <c r="F417"/>
      <c r="I417"/>
      <c r="J417"/>
      <c r="K417"/>
      <c r="L417"/>
      <c r="M417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3"/>
      <c r="AE417" s="33"/>
      <c r="AF417" s="33"/>
      <c r="AG417" s="33"/>
      <c r="AI417"/>
      <c r="AJ417"/>
      <c r="AK417"/>
      <c r="AL417"/>
      <c r="AM417"/>
      <c r="AN417"/>
      <c r="AO417"/>
      <c r="AP417"/>
      <c r="AQ417"/>
      <c r="AR417"/>
      <c r="AS417"/>
    </row>
    <row r="418" spans="1:45" s="1" customFormat="1">
      <c r="A418"/>
      <c r="B418"/>
      <c r="E418"/>
      <c r="F418"/>
      <c r="I418"/>
      <c r="J418"/>
      <c r="K418"/>
      <c r="L418"/>
      <c r="M418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3"/>
      <c r="AE418" s="33"/>
      <c r="AF418" s="33"/>
      <c r="AG418" s="33"/>
      <c r="AI418"/>
      <c r="AJ418"/>
      <c r="AK418"/>
      <c r="AL418"/>
      <c r="AM418"/>
      <c r="AN418"/>
      <c r="AO418"/>
      <c r="AP418"/>
      <c r="AQ418"/>
      <c r="AR418"/>
      <c r="AS418"/>
    </row>
    <row r="419" spans="1:45" s="1" customFormat="1">
      <c r="A419"/>
      <c r="B419"/>
      <c r="E419"/>
      <c r="F419"/>
      <c r="I419"/>
      <c r="J419"/>
      <c r="K419"/>
      <c r="L419"/>
      <c r="M419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3"/>
      <c r="AE419" s="33"/>
      <c r="AF419" s="33"/>
      <c r="AG419" s="33"/>
      <c r="AI419"/>
      <c r="AJ419"/>
      <c r="AK419"/>
      <c r="AL419"/>
      <c r="AM419"/>
      <c r="AN419"/>
      <c r="AO419"/>
      <c r="AP419"/>
      <c r="AQ419"/>
      <c r="AR419"/>
      <c r="AS419"/>
    </row>
    <row r="420" spans="1:45" s="1" customFormat="1">
      <c r="A420"/>
      <c r="B420"/>
      <c r="E420"/>
      <c r="F420"/>
      <c r="I420"/>
      <c r="J420"/>
      <c r="K420"/>
      <c r="L420"/>
      <c r="M420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3"/>
      <c r="AE420" s="33"/>
      <c r="AF420" s="33"/>
      <c r="AG420" s="33"/>
      <c r="AI420"/>
      <c r="AJ420"/>
      <c r="AK420"/>
      <c r="AL420"/>
      <c r="AM420"/>
      <c r="AN420"/>
      <c r="AO420"/>
      <c r="AP420"/>
      <c r="AQ420"/>
      <c r="AR420"/>
      <c r="AS420"/>
    </row>
    <row r="421" spans="1:45" s="1" customFormat="1">
      <c r="A421"/>
      <c r="B421"/>
      <c r="E421"/>
      <c r="F421"/>
      <c r="I421"/>
      <c r="J421"/>
      <c r="K421"/>
      <c r="L421"/>
      <c r="M421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3"/>
      <c r="AE421" s="33"/>
      <c r="AF421" s="33"/>
      <c r="AG421" s="33"/>
      <c r="AI421"/>
      <c r="AJ421"/>
      <c r="AK421"/>
      <c r="AL421"/>
      <c r="AM421"/>
      <c r="AN421"/>
      <c r="AO421"/>
      <c r="AP421"/>
      <c r="AQ421"/>
      <c r="AR421"/>
      <c r="AS421"/>
    </row>
    <row r="422" spans="1:45" s="1" customFormat="1">
      <c r="A422"/>
      <c r="B422"/>
      <c r="E422"/>
      <c r="F422"/>
      <c r="I422"/>
      <c r="J422"/>
      <c r="K422"/>
      <c r="L422"/>
      <c r="M42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3"/>
      <c r="AE422" s="33"/>
      <c r="AF422" s="33"/>
      <c r="AG422" s="33"/>
      <c r="AI422"/>
      <c r="AJ422"/>
      <c r="AK422"/>
      <c r="AL422"/>
      <c r="AM422"/>
      <c r="AN422"/>
      <c r="AO422"/>
      <c r="AP422"/>
      <c r="AQ422"/>
      <c r="AR422"/>
      <c r="AS422"/>
    </row>
    <row r="423" spans="1:45" s="1" customFormat="1">
      <c r="A423"/>
      <c r="B423"/>
      <c r="E423"/>
      <c r="F423"/>
      <c r="I423"/>
      <c r="J423"/>
      <c r="K423"/>
      <c r="L423"/>
      <c r="M423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3"/>
      <c r="AE423" s="33"/>
      <c r="AF423" s="33"/>
      <c r="AG423" s="33"/>
      <c r="AI423"/>
      <c r="AJ423"/>
      <c r="AK423"/>
      <c r="AL423"/>
      <c r="AM423"/>
      <c r="AN423"/>
      <c r="AO423"/>
      <c r="AP423"/>
      <c r="AQ423"/>
      <c r="AR423"/>
      <c r="AS423"/>
    </row>
    <row r="424" spans="1:45" s="1" customFormat="1">
      <c r="A424"/>
      <c r="B424"/>
      <c r="E424"/>
      <c r="F424"/>
      <c r="I424"/>
      <c r="J424"/>
      <c r="K424"/>
      <c r="L424"/>
      <c r="M424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3"/>
      <c r="AE424" s="33"/>
      <c r="AF424" s="33"/>
      <c r="AG424" s="33"/>
      <c r="AI424"/>
      <c r="AJ424"/>
      <c r="AK424"/>
      <c r="AL424"/>
      <c r="AM424"/>
      <c r="AN424"/>
      <c r="AO424"/>
      <c r="AP424"/>
      <c r="AQ424"/>
      <c r="AR424"/>
      <c r="AS424"/>
    </row>
    <row r="425" spans="1:45" s="1" customFormat="1">
      <c r="A425"/>
      <c r="B425"/>
      <c r="E425"/>
      <c r="F425"/>
      <c r="I425"/>
      <c r="J425"/>
      <c r="K425"/>
      <c r="L425"/>
      <c r="M425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3"/>
      <c r="AE425" s="33"/>
      <c r="AF425" s="33"/>
      <c r="AG425" s="33"/>
      <c r="AI425"/>
      <c r="AJ425"/>
      <c r="AK425"/>
      <c r="AL425"/>
      <c r="AM425"/>
      <c r="AN425"/>
      <c r="AO425"/>
      <c r="AP425"/>
      <c r="AQ425"/>
      <c r="AR425"/>
      <c r="AS425"/>
    </row>
    <row r="426" spans="1:45" s="1" customFormat="1">
      <c r="A426"/>
      <c r="B426"/>
      <c r="E426"/>
      <c r="F426"/>
      <c r="I426"/>
      <c r="J426"/>
      <c r="K426"/>
      <c r="L426"/>
      <c r="M426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3"/>
      <c r="AE426" s="33"/>
      <c r="AF426" s="33"/>
      <c r="AG426" s="33"/>
      <c r="AI426"/>
      <c r="AJ426"/>
      <c r="AK426"/>
      <c r="AL426"/>
      <c r="AM426"/>
      <c r="AN426"/>
      <c r="AO426"/>
      <c r="AP426"/>
      <c r="AQ426"/>
      <c r="AR426"/>
      <c r="AS426"/>
    </row>
    <row r="427" spans="1:45" s="1" customFormat="1">
      <c r="A427"/>
      <c r="B427"/>
      <c r="E427"/>
      <c r="F427"/>
      <c r="I427"/>
      <c r="J427"/>
      <c r="K427"/>
      <c r="L427"/>
      <c r="M427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3"/>
      <c r="AE427" s="33"/>
      <c r="AF427" s="33"/>
      <c r="AG427" s="33"/>
      <c r="AI427"/>
      <c r="AJ427"/>
      <c r="AK427"/>
      <c r="AL427"/>
      <c r="AM427"/>
      <c r="AN427"/>
      <c r="AO427"/>
      <c r="AP427"/>
      <c r="AQ427"/>
      <c r="AR427"/>
      <c r="AS427"/>
    </row>
    <row r="428" spans="1:45" s="1" customFormat="1">
      <c r="A428"/>
      <c r="B428"/>
      <c r="E428"/>
      <c r="F428"/>
      <c r="I428"/>
      <c r="J428"/>
      <c r="K428"/>
      <c r="L428"/>
      <c r="M428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3"/>
      <c r="AE428" s="33"/>
      <c r="AF428" s="33"/>
      <c r="AG428" s="33"/>
      <c r="AI428"/>
      <c r="AJ428"/>
      <c r="AK428"/>
      <c r="AL428"/>
      <c r="AM428"/>
      <c r="AN428"/>
      <c r="AO428"/>
      <c r="AP428"/>
      <c r="AQ428"/>
      <c r="AR428"/>
      <c r="AS428"/>
    </row>
    <row r="429" spans="1:45" s="1" customFormat="1">
      <c r="A429"/>
      <c r="B429"/>
      <c r="E429"/>
      <c r="F429"/>
      <c r="I429"/>
      <c r="J429"/>
      <c r="K429"/>
      <c r="L429"/>
      <c r="M429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3"/>
      <c r="AE429" s="33"/>
      <c r="AF429" s="33"/>
      <c r="AG429" s="33"/>
      <c r="AI429"/>
      <c r="AJ429"/>
      <c r="AK429"/>
      <c r="AL429"/>
      <c r="AM429"/>
      <c r="AN429"/>
      <c r="AO429"/>
      <c r="AP429"/>
      <c r="AQ429"/>
      <c r="AR429"/>
      <c r="AS429"/>
    </row>
  </sheetData>
  <mergeCells count="39">
    <mergeCell ref="J17:K17"/>
    <mergeCell ref="L17:M17"/>
    <mergeCell ref="N17:Z17"/>
    <mergeCell ref="AB17:AB19"/>
    <mergeCell ref="B18:B19"/>
    <mergeCell ref="C18:C19"/>
    <mergeCell ref="D18:D19"/>
    <mergeCell ref="E18:E19"/>
    <mergeCell ref="F18:F19"/>
    <mergeCell ref="M18:M19"/>
    <mergeCell ref="G18:G19"/>
    <mergeCell ref="H18:H19"/>
    <mergeCell ref="I18:I19"/>
    <mergeCell ref="X18:X19"/>
    <mergeCell ref="Y18:Y19"/>
    <mergeCell ref="Z18:Z19"/>
    <mergeCell ref="B2:AO4"/>
    <mergeCell ref="G6:AK11"/>
    <mergeCell ref="AQ9:AQ10"/>
    <mergeCell ref="O13:P13"/>
    <mergeCell ref="AF17:AF19"/>
    <mergeCell ref="AG17:AN17"/>
    <mergeCell ref="AO17:AO19"/>
    <mergeCell ref="AG18:AG19"/>
    <mergeCell ref="AH18:AH19"/>
    <mergeCell ref="AM18:AM19"/>
    <mergeCell ref="AN18:AN19"/>
    <mergeCell ref="J18:J19"/>
    <mergeCell ref="K18:K19"/>
    <mergeCell ref="AC17:AC19"/>
    <mergeCell ref="AD17:AD19"/>
    <mergeCell ref="B17:I17"/>
    <mergeCell ref="W18:W19"/>
    <mergeCell ref="L18:L19"/>
    <mergeCell ref="V18:V19"/>
    <mergeCell ref="N18:N19"/>
    <mergeCell ref="O18:Q18"/>
    <mergeCell ref="R18:R19"/>
    <mergeCell ref="S18:U18"/>
  </mergeCells>
  <phoneticPr fontId="1" type="noConversion"/>
  <conditionalFormatting sqref="C1:C1048576 D47:L47 N47:AC47">
    <cfRule type="duplicateValues" dxfId="4" priority="3679"/>
  </conditionalFormatting>
  <conditionalFormatting sqref="J1:J46">
    <cfRule type="timePeriod" dxfId="3" priority="2" timePeriod="thisMonth">
      <formula>AND(MONTH(J1)=MONTH(TODAY()),YEAR(J1)=YEAR(TODAY()))</formula>
    </cfRule>
    <cfRule type="timePeriod" dxfId="2" priority="3" timePeriod="lastMonth">
      <formula>AND(MONTH(J1)=MONTH(EDATE(TODAY(),0-1)),YEAR(J1)=YEAR(EDATE(TODAY(),0-1)))</formula>
    </cfRule>
  </conditionalFormatting>
  <conditionalFormatting sqref="J49:J1048576">
    <cfRule type="timePeriod" dxfId="1" priority="26" timePeriod="thisMonth">
      <formula>AND(MONTH(J49)=MONTH(TODAY()),YEAR(J49)=YEAR(TODAY()))</formula>
    </cfRule>
    <cfRule type="timePeriod" dxfId="0" priority="28" timePeriod="lastMonth">
      <formula>AND(MONTH(J49)=MONTH(EDATE(TODAY(),0-1)),YEAR(J49)=YEAR(EDATE(TODAY(),0-1)))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69"/>
  <sheetViews>
    <sheetView topLeftCell="A647" workbookViewId="0">
      <selection sqref="A1:M1048576"/>
    </sheetView>
  </sheetViews>
  <sheetFormatPr defaultRowHeight="16.5"/>
  <cols>
    <col min="1" max="2" width="11.625" style="133" customWidth="1"/>
    <col min="3" max="4" width="13.375" style="133" bestFit="1" customWidth="1"/>
    <col min="5" max="5" width="13.375" style="133" customWidth="1"/>
    <col min="6" max="6" width="12.375" style="133" customWidth="1"/>
    <col min="7" max="7" width="12.5" style="133" customWidth="1"/>
    <col min="8" max="8" width="11.75" style="133" customWidth="1"/>
    <col min="9" max="10" width="12" style="133" customWidth="1"/>
    <col min="11" max="11" width="12.25" style="133" customWidth="1"/>
    <col min="12" max="12" width="12" style="133" customWidth="1"/>
    <col min="13" max="13" width="9.375" style="133" bestFit="1" customWidth="1"/>
    <col min="14" max="14" width="9" style="116" customWidth="1"/>
    <col min="15" max="16384" width="9" style="116"/>
  </cols>
  <sheetData>
    <row r="1" spans="1:13" ht="21">
      <c r="A1" s="115" t="s">
        <v>61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</row>
    <row r="3" spans="1:13">
      <c r="A3" s="117" t="s">
        <v>62</v>
      </c>
      <c r="B3" s="117"/>
      <c r="C3" s="118" t="s">
        <v>63</v>
      </c>
      <c r="D3" s="118"/>
      <c r="E3" s="118"/>
      <c r="F3" s="118"/>
      <c r="G3" s="118"/>
      <c r="H3" s="118"/>
      <c r="I3" s="118"/>
      <c r="J3" s="118"/>
      <c r="K3" s="118"/>
      <c r="L3" s="118"/>
      <c r="M3" s="118"/>
    </row>
    <row r="4" spans="1:13" s="121" customFormat="1">
      <c r="A4" s="119" t="s">
        <v>64</v>
      </c>
      <c r="B4" s="119"/>
      <c r="C4" s="120">
        <v>1</v>
      </c>
      <c r="D4" s="120">
        <v>2</v>
      </c>
      <c r="E4" s="120">
        <v>3</v>
      </c>
      <c r="F4" s="120">
        <v>4</v>
      </c>
      <c r="G4" s="120">
        <v>5</v>
      </c>
      <c r="H4" s="120">
        <v>6</v>
      </c>
      <c r="I4" s="120">
        <v>7</v>
      </c>
      <c r="J4" s="120">
        <v>8</v>
      </c>
      <c r="K4" s="120">
        <v>9</v>
      </c>
      <c r="L4" s="120">
        <v>10</v>
      </c>
      <c r="M4" s="120">
        <v>11</v>
      </c>
    </row>
    <row r="5" spans="1:13" s="121" customFormat="1">
      <c r="A5" s="122" t="s">
        <v>65</v>
      </c>
      <c r="B5" s="122" t="s">
        <v>66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</row>
    <row r="6" spans="1:13" s="126" customFormat="1">
      <c r="A6" s="123">
        <v>770000</v>
      </c>
      <c r="B6" s="123">
        <v>775000</v>
      </c>
      <c r="C6" s="124">
        <v>0</v>
      </c>
      <c r="D6" s="124">
        <v>0</v>
      </c>
      <c r="E6" s="124">
        <v>0</v>
      </c>
      <c r="F6" s="124">
        <v>0</v>
      </c>
      <c r="G6" s="124">
        <v>0</v>
      </c>
      <c r="H6" s="125">
        <v>0</v>
      </c>
      <c r="I6" s="124">
        <v>0</v>
      </c>
      <c r="J6" s="124">
        <v>0</v>
      </c>
      <c r="K6" s="124">
        <v>0</v>
      </c>
      <c r="L6" s="124">
        <v>0</v>
      </c>
      <c r="M6" s="124">
        <v>0</v>
      </c>
    </row>
    <row r="7" spans="1:13" s="126" customFormat="1">
      <c r="A7" s="123">
        <v>775000</v>
      </c>
      <c r="B7" s="123">
        <v>780000</v>
      </c>
      <c r="C7" s="124">
        <v>0</v>
      </c>
      <c r="D7" s="124">
        <v>0</v>
      </c>
      <c r="E7" s="124">
        <v>0</v>
      </c>
      <c r="F7" s="124">
        <v>0</v>
      </c>
      <c r="G7" s="124">
        <v>0</v>
      </c>
      <c r="H7" s="125">
        <v>0</v>
      </c>
      <c r="I7" s="124">
        <v>0</v>
      </c>
      <c r="J7" s="124">
        <v>0</v>
      </c>
      <c r="K7" s="124">
        <v>0</v>
      </c>
      <c r="L7" s="124">
        <v>0</v>
      </c>
      <c r="M7" s="124">
        <v>0</v>
      </c>
    </row>
    <row r="8" spans="1:13" s="126" customFormat="1">
      <c r="A8" s="123">
        <v>780000</v>
      </c>
      <c r="B8" s="123">
        <v>785000</v>
      </c>
      <c r="C8" s="124">
        <v>0</v>
      </c>
      <c r="D8" s="124">
        <v>0</v>
      </c>
      <c r="E8" s="124">
        <v>0</v>
      </c>
      <c r="F8" s="124">
        <v>0</v>
      </c>
      <c r="G8" s="124">
        <v>0</v>
      </c>
      <c r="H8" s="125">
        <v>0</v>
      </c>
      <c r="I8" s="124">
        <v>0</v>
      </c>
      <c r="J8" s="124">
        <v>0</v>
      </c>
      <c r="K8" s="124">
        <v>0</v>
      </c>
      <c r="L8" s="124">
        <v>0</v>
      </c>
      <c r="M8" s="124">
        <v>0</v>
      </c>
    </row>
    <row r="9" spans="1:13" s="126" customFormat="1">
      <c r="A9" s="123">
        <v>785000</v>
      </c>
      <c r="B9" s="123">
        <v>790000</v>
      </c>
      <c r="C9" s="124">
        <v>0</v>
      </c>
      <c r="D9" s="124">
        <v>0</v>
      </c>
      <c r="E9" s="124">
        <v>0</v>
      </c>
      <c r="F9" s="124">
        <v>0</v>
      </c>
      <c r="G9" s="124">
        <v>0</v>
      </c>
      <c r="H9" s="125">
        <v>0</v>
      </c>
      <c r="I9" s="124">
        <v>0</v>
      </c>
      <c r="J9" s="124">
        <v>0</v>
      </c>
      <c r="K9" s="124">
        <v>0</v>
      </c>
      <c r="L9" s="124">
        <v>0</v>
      </c>
      <c r="M9" s="124">
        <v>0</v>
      </c>
    </row>
    <row r="10" spans="1:13" s="121" customFormat="1">
      <c r="A10" s="123">
        <v>790000</v>
      </c>
      <c r="B10" s="123">
        <v>795000</v>
      </c>
      <c r="C10" s="124">
        <v>0</v>
      </c>
      <c r="D10" s="124">
        <v>0</v>
      </c>
      <c r="E10" s="124">
        <v>0</v>
      </c>
      <c r="F10" s="124">
        <v>0</v>
      </c>
      <c r="G10" s="124">
        <v>0</v>
      </c>
      <c r="H10" s="125">
        <v>0</v>
      </c>
      <c r="I10" s="124">
        <v>0</v>
      </c>
      <c r="J10" s="124">
        <v>0</v>
      </c>
      <c r="K10" s="124">
        <v>0</v>
      </c>
      <c r="L10" s="124">
        <v>0</v>
      </c>
      <c r="M10" s="124">
        <v>0</v>
      </c>
    </row>
    <row r="11" spans="1:13" s="121" customFormat="1">
      <c r="A11" s="123">
        <v>795000</v>
      </c>
      <c r="B11" s="123">
        <v>800000</v>
      </c>
      <c r="C11" s="124">
        <v>0</v>
      </c>
      <c r="D11" s="124">
        <v>0</v>
      </c>
      <c r="E11" s="124">
        <v>0</v>
      </c>
      <c r="F11" s="124">
        <v>0</v>
      </c>
      <c r="G11" s="124">
        <v>0</v>
      </c>
      <c r="H11" s="125">
        <v>0</v>
      </c>
      <c r="I11" s="124">
        <v>0</v>
      </c>
      <c r="J11" s="124">
        <v>0</v>
      </c>
      <c r="K11" s="124">
        <v>0</v>
      </c>
      <c r="L11" s="124">
        <v>0</v>
      </c>
      <c r="M11" s="124">
        <v>0</v>
      </c>
    </row>
    <row r="12" spans="1:13">
      <c r="A12" s="124">
        <v>800000</v>
      </c>
      <c r="B12" s="124">
        <v>805000</v>
      </c>
      <c r="C12" s="124">
        <v>0</v>
      </c>
      <c r="D12" s="124">
        <v>0</v>
      </c>
      <c r="E12" s="124">
        <v>0</v>
      </c>
      <c r="F12" s="124">
        <v>0</v>
      </c>
      <c r="G12" s="124">
        <v>0</v>
      </c>
      <c r="H12" s="125">
        <v>0</v>
      </c>
      <c r="I12" s="124">
        <v>0</v>
      </c>
      <c r="J12" s="124">
        <v>0</v>
      </c>
      <c r="K12" s="124">
        <v>0</v>
      </c>
      <c r="L12" s="124">
        <v>0</v>
      </c>
      <c r="M12" s="124">
        <v>0</v>
      </c>
    </row>
    <row r="13" spans="1:13">
      <c r="A13" s="124">
        <v>805000</v>
      </c>
      <c r="B13" s="124">
        <v>810000</v>
      </c>
      <c r="C13" s="124">
        <v>0</v>
      </c>
      <c r="D13" s="124">
        <v>0</v>
      </c>
      <c r="E13" s="124">
        <v>0</v>
      </c>
      <c r="F13" s="124">
        <v>0</v>
      </c>
      <c r="G13" s="124">
        <v>0</v>
      </c>
      <c r="H13" s="125">
        <v>0</v>
      </c>
      <c r="I13" s="124">
        <v>0</v>
      </c>
      <c r="J13" s="124">
        <v>0</v>
      </c>
      <c r="K13" s="124">
        <v>0</v>
      </c>
      <c r="L13" s="124">
        <v>0</v>
      </c>
      <c r="M13" s="124">
        <v>0</v>
      </c>
    </row>
    <row r="14" spans="1:13">
      <c r="A14" s="124">
        <v>810000</v>
      </c>
      <c r="B14" s="124">
        <v>815000</v>
      </c>
      <c r="C14" s="124">
        <v>0</v>
      </c>
      <c r="D14" s="124">
        <v>0</v>
      </c>
      <c r="E14" s="124">
        <v>0</v>
      </c>
      <c r="F14" s="124">
        <v>0</v>
      </c>
      <c r="G14" s="124">
        <v>0</v>
      </c>
      <c r="H14" s="125">
        <v>0</v>
      </c>
      <c r="I14" s="124">
        <v>0</v>
      </c>
      <c r="J14" s="124">
        <v>0</v>
      </c>
      <c r="K14" s="124">
        <v>0</v>
      </c>
      <c r="L14" s="124">
        <v>0</v>
      </c>
      <c r="M14" s="124">
        <v>0</v>
      </c>
    </row>
    <row r="15" spans="1:13">
      <c r="A15" s="124">
        <v>815000</v>
      </c>
      <c r="B15" s="124">
        <v>820000</v>
      </c>
      <c r="C15" s="124">
        <v>0</v>
      </c>
      <c r="D15" s="124">
        <v>0</v>
      </c>
      <c r="E15" s="124">
        <v>0</v>
      </c>
      <c r="F15" s="124">
        <v>0</v>
      </c>
      <c r="G15" s="124">
        <v>0</v>
      </c>
      <c r="H15" s="125">
        <v>0</v>
      </c>
      <c r="I15" s="124">
        <v>0</v>
      </c>
      <c r="J15" s="124">
        <v>0</v>
      </c>
      <c r="K15" s="124">
        <v>0</v>
      </c>
      <c r="L15" s="124">
        <v>0</v>
      </c>
      <c r="M15" s="124">
        <v>0</v>
      </c>
    </row>
    <row r="16" spans="1:13">
      <c r="A16" s="124">
        <v>820000</v>
      </c>
      <c r="B16" s="124">
        <v>825000</v>
      </c>
      <c r="C16" s="124">
        <v>0</v>
      </c>
      <c r="D16" s="124">
        <v>0</v>
      </c>
      <c r="E16" s="124">
        <v>0</v>
      </c>
      <c r="F16" s="124">
        <v>0</v>
      </c>
      <c r="G16" s="124">
        <v>0</v>
      </c>
      <c r="H16" s="125">
        <v>0</v>
      </c>
      <c r="I16" s="124">
        <v>0</v>
      </c>
      <c r="J16" s="124">
        <v>0</v>
      </c>
      <c r="K16" s="124">
        <v>0</v>
      </c>
      <c r="L16" s="124">
        <v>0</v>
      </c>
      <c r="M16" s="124">
        <v>0</v>
      </c>
    </row>
    <row r="17" spans="1:13">
      <c r="A17" s="124">
        <v>825000</v>
      </c>
      <c r="B17" s="124">
        <v>830000</v>
      </c>
      <c r="C17" s="124">
        <v>0</v>
      </c>
      <c r="D17" s="124">
        <v>0</v>
      </c>
      <c r="E17" s="124">
        <v>0</v>
      </c>
      <c r="F17" s="124">
        <v>0</v>
      </c>
      <c r="G17" s="124">
        <v>0</v>
      </c>
      <c r="H17" s="125">
        <v>0</v>
      </c>
      <c r="I17" s="124">
        <v>0</v>
      </c>
      <c r="J17" s="124">
        <v>0</v>
      </c>
      <c r="K17" s="124">
        <v>0</v>
      </c>
      <c r="L17" s="124">
        <v>0</v>
      </c>
      <c r="M17" s="124">
        <v>0</v>
      </c>
    </row>
    <row r="18" spans="1:13">
      <c r="A18" s="124">
        <v>830000</v>
      </c>
      <c r="B18" s="124">
        <v>835000</v>
      </c>
      <c r="C18" s="124">
        <v>0</v>
      </c>
      <c r="D18" s="124">
        <v>0</v>
      </c>
      <c r="E18" s="124">
        <v>0</v>
      </c>
      <c r="F18" s="124">
        <v>0</v>
      </c>
      <c r="G18" s="124">
        <v>0</v>
      </c>
      <c r="H18" s="125">
        <v>0</v>
      </c>
      <c r="I18" s="124">
        <v>0</v>
      </c>
      <c r="J18" s="124">
        <v>0</v>
      </c>
      <c r="K18" s="124">
        <v>0</v>
      </c>
      <c r="L18" s="124">
        <v>0</v>
      </c>
      <c r="M18" s="124">
        <v>0</v>
      </c>
    </row>
    <row r="19" spans="1:13">
      <c r="A19" s="124">
        <v>835000</v>
      </c>
      <c r="B19" s="124">
        <v>840000</v>
      </c>
      <c r="C19" s="124">
        <v>0</v>
      </c>
      <c r="D19" s="124">
        <v>0</v>
      </c>
      <c r="E19" s="124">
        <v>0</v>
      </c>
      <c r="F19" s="124">
        <v>0</v>
      </c>
      <c r="G19" s="124">
        <v>0</v>
      </c>
      <c r="H19" s="125">
        <v>0</v>
      </c>
      <c r="I19" s="124">
        <v>0</v>
      </c>
      <c r="J19" s="124">
        <v>0</v>
      </c>
      <c r="K19" s="124">
        <v>0</v>
      </c>
      <c r="L19" s="124">
        <v>0</v>
      </c>
      <c r="M19" s="124">
        <v>0</v>
      </c>
    </row>
    <row r="20" spans="1:13">
      <c r="A20" s="124">
        <v>840000</v>
      </c>
      <c r="B20" s="124">
        <v>845000</v>
      </c>
      <c r="C20" s="124">
        <v>0</v>
      </c>
      <c r="D20" s="124">
        <v>0</v>
      </c>
      <c r="E20" s="124">
        <v>0</v>
      </c>
      <c r="F20" s="124">
        <v>0</v>
      </c>
      <c r="G20" s="124">
        <v>0</v>
      </c>
      <c r="H20" s="125">
        <v>0</v>
      </c>
      <c r="I20" s="124">
        <v>0</v>
      </c>
      <c r="J20" s="124">
        <v>0</v>
      </c>
      <c r="K20" s="124">
        <v>0</v>
      </c>
      <c r="L20" s="124">
        <v>0</v>
      </c>
      <c r="M20" s="124">
        <v>0</v>
      </c>
    </row>
    <row r="21" spans="1:13">
      <c r="A21" s="124">
        <v>845000</v>
      </c>
      <c r="B21" s="124">
        <v>850000</v>
      </c>
      <c r="C21" s="124">
        <v>0</v>
      </c>
      <c r="D21" s="124">
        <v>0</v>
      </c>
      <c r="E21" s="124">
        <v>0</v>
      </c>
      <c r="F21" s="124">
        <v>0</v>
      </c>
      <c r="G21" s="124">
        <v>0</v>
      </c>
      <c r="H21" s="125">
        <v>0</v>
      </c>
      <c r="I21" s="124">
        <v>0</v>
      </c>
      <c r="J21" s="124">
        <v>0</v>
      </c>
      <c r="K21" s="124">
        <v>0</v>
      </c>
      <c r="L21" s="124">
        <v>0</v>
      </c>
      <c r="M21" s="124">
        <v>0</v>
      </c>
    </row>
    <row r="22" spans="1:13">
      <c r="A22" s="124">
        <v>850000</v>
      </c>
      <c r="B22" s="124">
        <v>855000</v>
      </c>
      <c r="C22" s="124">
        <v>0</v>
      </c>
      <c r="D22" s="124">
        <v>0</v>
      </c>
      <c r="E22" s="124">
        <v>0</v>
      </c>
      <c r="F22" s="124">
        <v>0</v>
      </c>
      <c r="G22" s="124">
        <v>0</v>
      </c>
      <c r="H22" s="125">
        <v>0</v>
      </c>
      <c r="I22" s="124">
        <v>0</v>
      </c>
      <c r="J22" s="124">
        <v>0</v>
      </c>
      <c r="K22" s="124">
        <v>0</v>
      </c>
      <c r="L22" s="124">
        <v>0</v>
      </c>
      <c r="M22" s="124">
        <v>0</v>
      </c>
    </row>
    <row r="23" spans="1:13">
      <c r="A23" s="124">
        <v>855000</v>
      </c>
      <c r="B23" s="124">
        <v>860000</v>
      </c>
      <c r="C23" s="124">
        <v>0</v>
      </c>
      <c r="D23" s="124">
        <v>0</v>
      </c>
      <c r="E23" s="124">
        <v>0</v>
      </c>
      <c r="F23" s="124">
        <v>0</v>
      </c>
      <c r="G23" s="124">
        <v>0</v>
      </c>
      <c r="H23" s="125">
        <v>0</v>
      </c>
      <c r="I23" s="124">
        <v>0</v>
      </c>
      <c r="J23" s="124">
        <v>0</v>
      </c>
      <c r="K23" s="124">
        <v>0</v>
      </c>
      <c r="L23" s="124">
        <v>0</v>
      </c>
      <c r="M23" s="124">
        <v>0</v>
      </c>
    </row>
    <row r="24" spans="1:13">
      <c r="A24" s="124">
        <v>860000</v>
      </c>
      <c r="B24" s="124">
        <v>865000</v>
      </c>
      <c r="C24" s="124">
        <v>0</v>
      </c>
      <c r="D24" s="124">
        <v>0</v>
      </c>
      <c r="E24" s="124">
        <v>0</v>
      </c>
      <c r="F24" s="124">
        <v>0</v>
      </c>
      <c r="G24" s="124">
        <v>0</v>
      </c>
      <c r="H24" s="125">
        <v>0</v>
      </c>
      <c r="I24" s="124">
        <v>0</v>
      </c>
      <c r="J24" s="124">
        <v>0</v>
      </c>
      <c r="K24" s="124">
        <v>0</v>
      </c>
      <c r="L24" s="124">
        <v>0</v>
      </c>
      <c r="M24" s="124">
        <v>0</v>
      </c>
    </row>
    <row r="25" spans="1:13">
      <c r="A25" s="124">
        <v>865000</v>
      </c>
      <c r="B25" s="124">
        <v>870000</v>
      </c>
      <c r="C25" s="124">
        <v>0</v>
      </c>
      <c r="D25" s="124">
        <v>0</v>
      </c>
      <c r="E25" s="124">
        <v>0</v>
      </c>
      <c r="F25" s="124">
        <v>0</v>
      </c>
      <c r="G25" s="124">
        <v>0</v>
      </c>
      <c r="H25" s="125">
        <v>0</v>
      </c>
      <c r="I25" s="124">
        <v>0</v>
      </c>
      <c r="J25" s="124">
        <v>0</v>
      </c>
      <c r="K25" s="124">
        <v>0</v>
      </c>
      <c r="L25" s="124">
        <v>0</v>
      </c>
      <c r="M25" s="124">
        <v>0</v>
      </c>
    </row>
    <row r="26" spans="1:13">
      <c r="A26" s="124">
        <v>870000</v>
      </c>
      <c r="B26" s="124">
        <v>875000</v>
      </c>
      <c r="C26" s="124">
        <v>0</v>
      </c>
      <c r="D26" s="124">
        <v>0</v>
      </c>
      <c r="E26" s="124">
        <v>0</v>
      </c>
      <c r="F26" s="124">
        <v>0</v>
      </c>
      <c r="G26" s="124">
        <v>0</v>
      </c>
      <c r="H26" s="125">
        <v>0</v>
      </c>
      <c r="I26" s="124">
        <v>0</v>
      </c>
      <c r="J26" s="124">
        <v>0</v>
      </c>
      <c r="K26" s="124">
        <v>0</v>
      </c>
      <c r="L26" s="124">
        <v>0</v>
      </c>
      <c r="M26" s="124">
        <v>0</v>
      </c>
    </row>
    <row r="27" spans="1:13">
      <c r="A27" s="124">
        <v>875000</v>
      </c>
      <c r="B27" s="124">
        <v>880000</v>
      </c>
      <c r="C27" s="124">
        <v>0</v>
      </c>
      <c r="D27" s="124">
        <v>0</v>
      </c>
      <c r="E27" s="124">
        <v>0</v>
      </c>
      <c r="F27" s="124">
        <v>0</v>
      </c>
      <c r="G27" s="124">
        <v>0</v>
      </c>
      <c r="H27" s="125">
        <v>0</v>
      </c>
      <c r="I27" s="124">
        <v>0</v>
      </c>
      <c r="J27" s="124">
        <v>0</v>
      </c>
      <c r="K27" s="124">
        <v>0</v>
      </c>
      <c r="L27" s="124">
        <v>0</v>
      </c>
      <c r="M27" s="124">
        <v>0</v>
      </c>
    </row>
    <row r="28" spans="1:13">
      <c r="A28" s="124">
        <v>880000</v>
      </c>
      <c r="B28" s="124">
        <v>885000</v>
      </c>
      <c r="C28" s="124">
        <v>0</v>
      </c>
      <c r="D28" s="124">
        <v>0</v>
      </c>
      <c r="E28" s="124">
        <v>0</v>
      </c>
      <c r="F28" s="124">
        <v>0</v>
      </c>
      <c r="G28" s="124">
        <v>0</v>
      </c>
      <c r="H28" s="125">
        <v>0</v>
      </c>
      <c r="I28" s="124">
        <v>0</v>
      </c>
      <c r="J28" s="124">
        <v>0</v>
      </c>
      <c r="K28" s="124">
        <v>0</v>
      </c>
      <c r="L28" s="124">
        <v>0</v>
      </c>
      <c r="M28" s="124">
        <v>0</v>
      </c>
    </row>
    <row r="29" spans="1:13">
      <c r="A29" s="124">
        <v>885000</v>
      </c>
      <c r="B29" s="124">
        <v>890000</v>
      </c>
      <c r="C29" s="124">
        <v>0</v>
      </c>
      <c r="D29" s="124">
        <v>0</v>
      </c>
      <c r="E29" s="124">
        <v>0</v>
      </c>
      <c r="F29" s="124">
        <v>0</v>
      </c>
      <c r="G29" s="124">
        <v>0</v>
      </c>
      <c r="H29" s="125">
        <v>0</v>
      </c>
      <c r="I29" s="124">
        <v>0</v>
      </c>
      <c r="J29" s="124">
        <v>0</v>
      </c>
      <c r="K29" s="124">
        <v>0</v>
      </c>
      <c r="L29" s="124">
        <v>0</v>
      </c>
      <c r="M29" s="124">
        <v>0</v>
      </c>
    </row>
    <row r="30" spans="1:13">
      <c r="A30" s="124">
        <v>890000</v>
      </c>
      <c r="B30" s="124">
        <v>895000</v>
      </c>
      <c r="C30" s="124">
        <v>0</v>
      </c>
      <c r="D30" s="124">
        <v>0</v>
      </c>
      <c r="E30" s="124">
        <v>0</v>
      </c>
      <c r="F30" s="124">
        <v>0</v>
      </c>
      <c r="G30" s="124">
        <v>0</v>
      </c>
      <c r="H30" s="125">
        <v>0</v>
      </c>
      <c r="I30" s="124">
        <v>0</v>
      </c>
      <c r="J30" s="124">
        <v>0</v>
      </c>
      <c r="K30" s="124">
        <v>0</v>
      </c>
      <c r="L30" s="124">
        <v>0</v>
      </c>
      <c r="M30" s="124">
        <v>0</v>
      </c>
    </row>
    <row r="31" spans="1:13">
      <c r="A31" s="124">
        <v>895000</v>
      </c>
      <c r="B31" s="124">
        <v>900000</v>
      </c>
      <c r="C31" s="124">
        <v>0</v>
      </c>
      <c r="D31" s="124">
        <v>0</v>
      </c>
      <c r="E31" s="124">
        <v>0</v>
      </c>
      <c r="F31" s="124">
        <v>0</v>
      </c>
      <c r="G31" s="124">
        <v>0</v>
      </c>
      <c r="H31" s="125">
        <v>0</v>
      </c>
      <c r="I31" s="124">
        <v>0</v>
      </c>
      <c r="J31" s="124">
        <v>0</v>
      </c>
      <c r="K31" s="124">
        <v>0</v>
      </c>
      <c r="L31" s="124">
        <v>0</v>
      </c>
      <c r="M31" s="124">
        <v>0</v>
      </c>
    </row>
    <row r="32" spans="1:13">
      <c r="A32" s="124">
        <v>900000</v>
      </c>
      <c r="B32" s="124">
        <v>905000</v>
      </c>
      <c r="C32" s="124">
        <v>0</v>
      </c>
      <c r="D32" s="124">
        <v>0</v>
      </c>
      <c r="E32" s="124">
        <v>0</v>
      </c>
      <c r="F32" s="124">
        <v>0</v>
      </c>
      <c r="G32" s="124">
        <v>0</v>
      </c>
      <c r="H32" s="125">
        <v>0</v>
      </c>
      <c r="I32" s="124">
        <v>0</v>
      </c>
      <c r="J32" s="124">
        <v>0</v>
      </c>
      <c r="K32" s="124">
        <v>0</v>
      </c>
      <c r="L32" s="124">
        <v>0</v>
      </c>
      <c r="M32" s="124">
        <v>0</v>
      </c>
    </row>
    <row r="33" spans="1:13">
      <c r="A33" s="124">
        <v>905000</v>
      </c>
      <c r="B33" s="124">
        <v>910000</v>
      </c>
      <c r="C33" s="124">
        <v>0</v>
      </c>
      <c r="D33" s="124">
        <v>0</v>
      </c>
      <c r="E33" s="124">
        <v>0</v>
      </c>
      <c r="F33" s="124">
        <v>0</v>
      </c>
      <c r="G33" s="124">
        <v>0</v>
      </c>
      <c r="H33" s="125">
        <v>0</v>
      </c>
      <c r="I33" s="124">
        <v>0</v>
      </c>
      <c r="J33" s="124">
        <v>0</v>
      </c>
      <c r="K33" s="124">
        <v>0</v>
      </c>
      <c r="L33" s="124">
        <v>0</v>
      </c>
      <c r="M33" s="124">
        <v>0</v>
      </c>
    </row>
    <row r="34" spans="1:13">
      <c r="A34" s="124">
        <v>910000</v>
      </c>
      <c r="B34" s="124">
        <v>915000</v>
      </c>
      <c r="C34" s="124">
        <v>0</v>
      </c>
      <c r="D34" s="124">
        <v>0</v>
      </c>
      <c r="E34" s="124">
        <v>0</v>
      </c>
      <c r="F34" s="124">
        <v>0</v>
      </c>
      <c r="G34" s="124">
        <v>0</v>
      </c>
      <c r="H34" s="125">
        <v>0</v>
      </c>
      <c r="I34" s="124">
        <v>0</v>
      </c>
      <c r="J34" s="124">
        <v>0</v>
      </c>
      <c r="K34" s="124">
        <v>0</v>
      </c>
      <c r="L34" s="124">
        <v>0</v>
      </c>
      <c r="M34" s="124">
        <v>0</v>
      </c>
    </row>
    <row r="35" spans="1:13">
      <c r="A35" s="124">
        <v>915000</v>
      </c>
      <c r="B35" s="124">
        <v>920000</v>
      </c>
      <c r="C35" s="124">
        <v>0</v>
      </c>
      <c r="D35" s="124">
        <v>0</v>
      </c>
      <c r="E35" s="124">
        <v>0</v>
      </c>
      <c r="F35" s="124">
        <v>0</v>
      </c>
      <c r="G35" s="124">
        <v>0</v>
      </c>
      <c r="H35" s="125">
        <v>0</v>
      </c>
      <c r="I35" s="124">
        <v>0</v>
      </c>
      <c r="J35" s="124">
        <v>0</v>
      </c>
      <c r="K35" s="124">
        <v>0</v>
      </c>
      <c r="L35" s="124">
        <v>0</v>
      </c>
      <c r="M35" s="124">
        <v>0</v>
      </c>
    </row>
    <row r="36" spans="1:13">
      <c r="A36" s="124">
        <v>920000</v>
      </c>
      <c r="B36" s="124">
        <v>925000</v>
      </c>
      <c r="C36" s="124">
        <v>0</v>
      </c>
      <c r="D36" s="124">
        <v>0</v>
      </c>
      <c r="E36" s="124">
        <v>0</v>
      </c>
      <c r="F36" s="124">
        <v>0</v>
      </c>
      <c r="G36" s="124">
        <v>0</v>
      </c>
      <c r="H36" s="125">
        <v>0</v>
      </c>
      <c r="I36" s="124">
        <v>0</v>
      </c>
      <c r="J36" s="124">
        <v>0</v>
      </c>
      <c r="K36" s="124">
        <v>0</v>
      </c>
      <c r="L36" s="124">
        <v>0</v>
      </c>
      <c r="M36" s="124">
        <v>0</v>
      </c>
    </row>
    <row r="37" spans="1:13">
      <c r="A37" s="124">
        <v>925000</v>
      </c>
      <c r="B37" s="124">
        <v>930000</v>
      </c>
      <c r="C37" s="124">
        <v>0</v>
      </c>
      <c r="D37" s="124">
        <v>0</v>
      </c>
      <c r="E37" s="124">
        <v>0</v>
      </c>
      <c r="F37" s="124">
        <v>0</v>
      </c>
      <c r="G37" s="124">
        <v>0</v>
      </c>
      <c r="H37" s="125">
        <v>0</v>
      </c>
      <c r="I37" s="124">
        <v>0</v>
      </c>
      <c r="J37" s="124">
        <v>0</v>
      </c>
      <c r="K37" s="124">
        <v>0</v>
      </c>
      <c r="L37" s="124">
        <v>0</v>
      </c>
      <c r="M37" s="124">
        <v>0</v>
      </c>
    </row>
    <row r="38" spans="1:13">
      <c r="A38" s="124">
        <v>930000</v>
      </c>
      <c r="B38" s="124">
        <v>935000</v>
      </c>
      <c r="C38" s="124">
        <v>0</v>
      </c>
      <c r="D38" s="124">
        <v>0</v>
      </c>
      <c r="E38" s="124">
        <v>0</v>
      </c>
      <c r="F38" s="124">
        <v>0</v>
      </c>
      <c r="G38" s="124">
        <v>0</v>
      </c>
      <c r="H38" s="125">
        <v>0</v>
      </c>
      <c r="I38" s="124">
        <v>0</v>
      </c>
      <c r="J38" s="124">
        <v>0</v>
      </c>
      <c r="K38" s="124">
        <v>0</v>
      </c>
      <c r="L38" s="124">
        <v>0</v>
      </c>
      <c r="M38" s="124">
        <v>0</v>
      </c>
    </row>
    <row r="39" spans="1:13">
      <c r="A39" s="124">
        <v>935000</v>
      </c>
      <c r="B39" s="124">
        <v>940000</v>
      </c>
      <c r="C39" s="124">
        <v>0</v>
      </c>
      <c r="D39" s="124">
        <v>0</v>
      </c>
      <c r="E39" s="124">
        <v>0</v>
      </c>
      <c r="F39" s="124">
        <v>0</v>
      </c>
      <c r="G39" s="124">
        <v>0</v>
      </c>
      <c r="H39" s="125">
        <v>0</v>
      </c>
      <c r="I39" s="124">
        <v>0</v>
      </c>
      <c r="J39" s="124">
        <v>0</v>
      </c>
      <c r="K39" s="124">
        <v>0</v>
      </c>
      <c r="L39" s="124">
        <v>0</v>
      </c>
      <c r="M39" s="124">
        <v>0</v>
      </c>
    </row>
    <row r="40" spans="1:13">
      <c r="A40" s="124">
        <v>940000</v>
      </c>
      <c r="B40" s="124">
        <v>945000</v>
      </c>
      <c r="C40" s="124">
        <v>0</v>
      </c>
      <c r="D40" s="124">
        <v>0</v>
      </c>
      <c r="E40" s="124">
        <v>0</v>
      </c>
      <c r="F40" s="124">
        <v>0</v>
      </c>
      <c r="G40" s="124">
        <v>0</v>
      </c>
      <c r="H40" s="125">
        <v>0</v>
      </c>
      <c r="I40" s="124">
        <v>0</v>
      </c>
      <c r="J40" s="124">
        <v>0</v>
      </c>
      <c r="K40" s="124">
        <v>0</v>
      </c>
      <c r="L40" s="124">
        <v>0</v>
      </c>
      <c r="M40" s="124">
        <v>0</v>
      </c>
    </row>
    <row r="41" spans="1:13">
      <c r="A41" s="124">
        <v>945000</v>
      </c>
      <c r="B41" s="124">
        <v>950000</v>
      </c>
      <c r="C41" s="124">
        <v>0</v>
      </c>
      <c r="D41" s="124">
        <v>0</v>
      </c>
      <c r="E41" s="124">
        <v>0</v>
      </c>
      <c r="F41" s="124">
        <v>0</v>
      </c>
      <c r="G41" s="124">
        <v>0</v>
      </c>
      <c r="H41" s="125">
        <v>0</v>
      </c>
      <c r="I41" s="124">
        <v>0</v>
      </c>
      <c r="J41" s="124">
        <v>0</v>
      </c>
      <c r="K41" s="124">
        <v>0</v>
      </c>
      <c r="L41" s="124">
        <v>0</v>
      </c>
      <c r="M41" s="124">
        <v>0</v>
      </c>
    </row>
    <row r="42" spans="1:13">
      <c r="A42" s="124">
        <v>950000</v>
      </c>
      <c r="B42" s="124">
        <v>955000</v>
      </c>
      <c r="C42" s="124">
        <v>0</v>
      </c>
      <c r="D42" s="124">
        <v>0</v>
      </c>
      <c r="E42" s="124">
        <v>0</v>
      </c>
      <c r="F42" s="124">
        <v>0</v>
      </c>
      <c r="G42" s="124">
        <v>0</v>
      </c>
      <c r="H42" s="125">
        <v>0</v>
      </c>
      <c r="I42" s="124">
        <v>0</v>
      </c>
      <c r="J42" s="124">
        <v>0</v>
      </c>
      <c r="K42" s="124">
        <v>0</v>
      </c>
      <c r="L42" s="124">
        <v>0</v>
      </c>
      <c r="M42" s="124">
        <v>0</v>
      </c>
    </row>
    <row r="43" spans="1:13">
      <c r="A43" s="124">
        <v>955000</v>
      </c>
      <c r="B43" s="124">
        <v>960000</v>
      </c>
      <c r="C43" s="124">
        <v>0</v>
      </c>
      <c r="D43" s="124">
        <v>0</v>
      </c>
      <c r="E43" s="124">
        <v>0</v>
      </c>
      <c r="F43" s="124">
        <v>0</v>
      </c>
      <c r="G43" s="124">
        <v>0</v>
      </c>
      <c r="H43" s="125">
        <v>0</v>
      </c>
      <c r="I43" s="124">
        <v>0</v>
      </c>
      <c r="J43" s="124">
        <v>0</v>
      </c>
      <c r="K43" s="124">
        <v>0</v>
      </c>
      <c r="L43" s="124">
        <v>0</v>
      </c>
      <c r="M43" s="124">
        <v>0</v>
      </c>
    </row>
    <row r="44" spans="1:13">
      <c r="A44" s="124">
        <v>960000</v>
      </c>
      <c r="B44" s="124">
        <v>965000</v>
      </c>
      <c r="C44" s="124">
        <v>0</v>
      </c>
      <c r="D44" s="124">
        <v>0</v>
      </c>
      <c r="E44" s="124">
        <v>0</v>
      </c>
      <c r="F44" s="124">
        <v>0</v>
      </c>
      <c r="G44" s="124">
        <v>0</v>
      </c>
      <c r="H44" s="125">
        <v>0</v>
      </c>
      <c r="I44" s="124">
        <v>0</v>
      </c>
      <c r="J44" s="124">
        <v>0</v>
      </c>
      <c r="K44" s="124">
        <v>0</v>
      </c>
      <c r="L44" s="124">
        <v>0</v>
      </c>
      <c r="M44" s="124">
        <v>0</v>
      </c>
    </row>
    <row r="45" spans="1:13">
      <c r="A45" s="124">
        <v>965000</v>
      </c>
      <c r="B45" s="124">
        <v>970000</v>
      </c>
      <c r="C45" s="124">
        <v>0</v>
      </c>
      <c r="D45" s="124">
        <v>0</v>
      </c>
      <c r="E45" s="124">
        <v>0</v>
      </c>
      <c r="F45" s="124">
        <v>0</v>
      </c>
      <c r="G45" s="124">
        <v>0</v>
      </c>
      <c r="H45" s="125">
        <v>0</v>
      </c>
      <c r="I45" s="124">
        <v>0</v>
      </c>
      <c r="J45" s="124">
        <v>0</v>
      </c>
      <c r="K45" s="124">
        <v>0</v>
      </c>
      <c r="L45" s="124">
        <v>0</v>
      </c>
      <c r="M45" s="124">
        <v>0</v>
      </c>
    </row>
    <row r="46" spans="1:13">
      <c r="A46" s="124">
        <v>970000</v>
      </c>
      <c r="B46" s="124">
        <v>975000</v>
      </c>
      <c r="C46" s="124">
        <v>0</v>
      </c>
      <c r="D46" s="124">
        <v>0</v>
      </c>
      <c r="E46" s="124">
        <v>0</v>
      </c>
      <c r="F46" s="124">
        <v>0</v>
      </c>
      <c r="G46" s="124">
        <v>0</v>
      </c>
      <c r="H46" s="125">
        <v>0</v>
      </c>
      <c r="I46" s="124">
        <v>0</v>
      </c>
      <c r="J46" s="124">
        <v>0</v>
      </c>
      <c r="K46" s="124">
        <v>0</v>
      </c>
      <c r="L46" s="124">
        <v>0</v>
      </c>
      <c r="M46" s="124">
        <v>0</v>
      </c>
    </row>
    <row r="47" spans="1:13">
      <c r="A47" s="124">
        <v>975000</v>
      </c>
      <c r="B47" s="124">
        <v>980000</v>
      </c>
      <c r="C47" s="124">
        <v>0</v>
      </c>
      <c r="D47" s="124">
        <v>0</v>
      </c>
      <c r="E47" s="124">
        <v>0</v>
      </c>
      <c r="F47" s="124">
        <v>0</v>
      </c>
      <c r="G47" s="124">
        <v>0</v>
      </c>
      <c r="H47" s="125">
        <v>0</v>
      </c>
      <c r="I47" s="124">
        <v>0</v>
      </c>
      <c r="J47" s="124">
        <v>0</v>
      </c>
      <c r="K47" s="124">
        <v>0</v>
      </c>
      <c r="L47" s="124">
        <v>0</v>
      </c>
      <c r="M47" s="124">
        <v>0</v>
      </c>
    </row>
    <row r="48" spans="1:13">
      <c r="A48" s="124">
        <v>980000</v>
      </c>
      <c r="B48" s="124">
        <v>985000</v>
      </c>
      <c r="C48" s="124">
        <v>0</v>
      </c>
      <c r="D48" s="124">
        <v>0</v>
      </c>
      <c r="E48" s="124">
        <v>0</v>
      </c>
      <c r="F48" s="124">
        <v>0</v>
      </c>
      <c r="G48" s="124">
        <v>0</v>
      </c>
      <c r="H48" s="125">
        <v>0</v>
      </c>
      <c r="I48" s="124">
        <v>0</v>
      </c>
      <c r="J48" s="124">
        <v>0</v>
      </c>
      <c r="K48" s="124">
        <v>0</v>
      </c>
      <c r="L48" s="124">
        <v>0</v>
      </c>
      <c r="M48" s="124">
        <v>0</v>
      </c>
    </row>
    <row r="49" spans="1:13">
      <c r="A49" s="124">
        <v>985000</v>
      </c>
      <c r="B49" s="124">
        <v>990000</v>
      </c>
      <c r="C49" s="124">
        <v>0</v>
      </c>
      <c r="D49" s="124">
        <v>0</v>
      </c>
      <c r="E49" s="124">
        <v>0</v>
      </c>
      <c r="F49" s="124">
        <v>0</v>
      </c>
      <c r="G49" s="124">
        <v>0</v>
      </c>
      <c r="H49" s="125">
        <v>0</v>
      </c>
      <c r="I49" s="124">
        <v>0</v>
      </c>
      <c r="J49" s="124">
        <v>0</v>
      </c>
      <c r="K49" s="124">
        <v>0</v>
      </c>
      <c r="L49" s="124">
        <v>0</v>
      </c>
      <c r="M49" s="124">
        <v>0</v>
      </c>
    </row>
    <row r="50" spans="1:13">
      <c r="A50" s="124">
        <v>990000</v>
      </c>
      <c r="B50" s="124">
        <v>995000</v>
      </c>
      <c r="C50" s="124">
        <v>0</v>
      </c>
      <c r="D50" s="124">
        <v>0</v>
      </c>
      <c r="E50" s="124">
        <v>0</v>
      </c>
      <c r="F50" s="124">
        <v>0</v>
      </c>
      <c r="G50" s="124">
        <v>0</v>
      </c>
      <c r="H50" s="125">
        <v>0</v>
      </c>
      <c r="I50" s="124">
        <v>0</v>
      </c>
      <c r="J50" s="124">
        <v>0</v>
      </c>
      <c r="K50" s="124">
        <v>0</v>
      </c>
      <c r="L50" s="124">
        <v>0</v>
      </c>
      <c r="M50" s="124">
        <v>0</v>
      </c>
    </row>
    <row r="51" spans="1:13">
      <c r="A51" s="124">
        <v>995000</v>
      </c>
      <c r="B51" s="124">
        <v>1000000</v>
      </c>
      <c r="C51" s="124">
        <v>0</v>
      </c>
      <c r="D51" s="124">
        <v>0</v>
      </c>
      <c r="E51" s="124">
        <v>0</v>
      </c>
      <c r="F51" s="124">
        <v>0</v>
      </c>
      <c r="G51" s="124">
        <v>0</v>
      </c>
      <c r="H51" s="125">
        <v>0</v>
      </c>
      <c r="I51" s="124">
        <v>0</v>
      </c>
      <c r="J51" s="124">
        <v>0</v>
      </c>
      <c r="K51" s="124">
        <v>0</v>
      </c>
      <c r="L51" s="124">
        <v>0</v>
      </c>
      <c r="M51" s="124">
        <v>0</v>
      </c>
    </row>
    <row r="52" spans="1:13">
      <c r="A52" s="124">
        <v>1000000</v>
      </c>
      <c r="B52" s="124">
        <v>1005000</v>
      </c>
      <c r="C52" s="124">
        <v>0</v>
      </c>
      <c r="D52" s="124">
        <v>0</v>
      </c>
      <c r="E52" s="124">
        <v>0</v>
      </c>
      <c r="F52" s="124">
        <v>0</v>
      </c>
      <c r="G52" s="124">
        <v>0</v>
      </c>
      <c r="H52" s="125">
        <v>0</v>
      </c>
      <c r="I52" s="124">
        <v>0</v>
      </c>
      <c r="J52" s="124">
        <v>0</v>
      </c>
      <c r="K52" s="124">
        <v>0</v>
      </c>
      <c r="L52" s="124">
        <v>0</v>
      </c>
      <c r="M52" s="124">
        <v>0</v>
      </c>
    </row>
    <row r="53" spans="1:13">
      <c r="A53" s="124">
        <v>1005000</v>
      </c>
      <c r="B53" s="124">
        <v>1010000</v>
      </c>
      <c r="C53" s="124">
        <v>0</v>
      </c>
      <c r="D53" s="124">
        <v>0</v>
      </c>
      <c r="E53" s="124">
        <v>0</v>
      </c>
      <c r="F53" s="124">
        <v>0</v>
      </c>
      <c r="G53" s="124">
        <v>0</v>
      </c>
      <c r="H53" s="125">
        <v>0</v>
      </c>
      <c r="I53" s="124">
        <v>0</v>
      </c>
      <c r="J53" s="124">
        <v>0</v>
      </c>
      <c r="K53" s="124">
        <v>0</v>
      </c>
      <c r="L53" s="124">
        <v>0</v>
      </c>
      <c r="M53" s="124">
        <v>0</v>
      </c>
    </row>
    <row r="54" spans="1:13">
      <c r="A54" s="124">
        <v>1010000</v>
      </c>
      <c r="B54" s="124">
        <v>1015000</v>
      </c>
      <c r="C54" s="124">
        <v>0</v>
      </c>
      <c r="D54" s="124">
        <v>0</v>
      </c>
      <c r="E54" s="124">
        <v>0</v>
      </c>
      <c r="F54" s="124">
        <v>0</v>
      </c>
      <c r="G54" s="124">
        <v>0</v>
      </c>
      <c r="H54" s="125">
        <v>0</v>
      </c>
      <c r="I54" s="124">
        <v>0</v>
      </c>
      <c r="J54" s="124">
        <v>0</v>
      </c>
      <c r="K54" s="124">
        <v>0</v>
      </c>
      <c r="L54" s="124">
        <v>0</v>
      </c>
      <c r="M54" s="124">
        <v>0</v>
      </c>
    </row>
    <row r="55" spans="1:13">
      <c r="A55" s="124">
        <v>1015000</v>
      </c>
      <c r="B55" s="124">
        <v>1020000</v>
      </c>
      <c r="C55" s="124">
        <v>0</v>
      </c>
      <c r="D55" s="124">
        <v>0</v>
      </c>
      <c r="E55" s="124">
        <v>0</v>
      </c>
      <c r="F55" s="124">
        <v>0</v>
      </c>
      <c r="G55" s="124">
        <v>0</v>
      </c>
      <c r="H55" s="125">
        <v>0</v>
      </c>
      <c r="I55" s="124">
        <v>0</v>
      </c>
      <c r="J55" s="124">
        <v>0</v>
      </c>
      <c r="K55" s="124">
        <v>0</v>
      </c>
      <c r="L55" s="124">
        <v>0</v>
      </c>
      <c r="M55" s="124">
        <v>0</v>
      </c>
    </row>
    <row r="56" spans="1:13">
      <c r="A56" s="124">
        <v>1020000</v>
      </c>
      <c r="B56" s="124">
        <v>1025000</v>
      </c>
      <c r="C56" s="124">
        <v>0</v>
      </c>
      <c r="D56" s="124">
        <v>0</v>
      </c>
      <c r="E56" s="124">
        <v>0</v>
      </c>
      <c r="F56" s="124">
        <v>0</v>
      </c>
      <c r="G56" s="124">
        <v>0</v>
      </c>
      <c r="H56" s="125">
        <v>0</v>
      </c>
      <c r="I56" s="124">
        <v>0</v>
      </c>
      <c r="J56" s="124">
        <v>0</v>
      </c>
      <c r="K56" s="124">
        <v>0</v>
      </c>
      <c r="L56" s="124">
        <v>0</v>
      </c>
      <c r="M56" s="124">
        <v>0</v>
      </c>
    </row>
    <row r="57" spans="1:13">
      <c r="A57" s="124">
        <v>1025000</v>
      </c>
      <c r="B57" s="124">
        <v>1030000</v>
      </c>
      <c r="C57" s="124">
        <v>0</v>
      </c>
      <c r="D57" s="124">
        <v>0</v>
      </c>
      <c r="E57" s="124">
        <v>0</v>
      </c>
      <c r="F57" s="124">
        <v>0</v>
      </c>
      <c r="G57" s="124">
        <v>0</v>
      </c>
      <c r="H57" s="125">
        <v>0</v>
      </c>
      <c r="I57" s="124">
        <v>0</v>
      </c>
      <c r="J57" s="124">
        <v>0</v>
      </c>
      <c r="K57" s="124">
        <v>0</v>
      </c>
      <c r="L57" s="124">
        <v>0</v>
      </c>
      <c r="M57" s="124">
        <v>0</v>
      </c>
    </row>
    <row r="58" spans="1:13">
      <c r="A58" s="124">
        <v>1030000</v>
      </c>
      <c r="B58" s="124">
        <v>1035000</v>
      </c>
      <c r="C58" s="124">
        <v>0</v>
      </c>
      <c r="D58" s="124">
        <v>0</v>
      </c>
      <c r="E58" s="124">
        <v>0</v>
      </c>
      <c r="F58" s="124">
        <v>0</v>
      </c>
      <c r="G58" s="124">
        <v>0</v>
      </c>
      <c r="H58" s="125">
        <v>0</v>
      </c>
      <c r="I58" s="124">
        <v>0</v>
      </c>
      <c r="J58" s="124">
        <v>0</v>
      </c>
      <c r="K58" s="124">
        <v>0</v>
      </c>
      <c r="L58" s="124">
        <v>0</v>
      </c>
      <c r="M58" s="124">
        <v>0</v>
      </c>
    </row>
    <row r="59" spans="1:13">
      <c r="A59" s="124">
        <v>1035000</v>
      </c>
      <c r="B59" s="124">
        <v>1040000</v>
      </c>
      <c r="C59" s="124">
        <v>0</v>
      </c>
      <c r="D59" s="124">
        <v>0</v>
      </c>
      <c r="E59" s="124">
        <v>0</v>
      </c>
      <c r="F59" s="124">
        <v>0</v>
      </c>
      <c r="G59" s="124">
        <v>0</v>
      </c>
      <c r="H59" s="125">
        <v>0</v>
      </c>
      <c r="I59" s="124">
        <v>0</v>
      </c>
      <c r="J59" s="124">
        <v>0</v>
      </c>
      <c r="K59" s="124">
        <v>0</v>
      </c>
      <c r="L59" s="124">
        <v>0</v>
      </c>
      <c r="M59" s="124">
        <v>0</v>
      </c>
    </row>
    <row r="60" spans="1:13">
      <c r="A60" s="124">
        <v>1040000</v>
      </c>
      <c r="B60" s="124">
        <v>1045000</v>
      </c>
      <c r="C60" s="124">
        <v>0</v>
      </c>
      <c r="D60" s="124">
        <v>0</v>
      </c>
      <c r="E60" s="124">
        <v>0</v>
      </c>
      <c r="F60" s="124">
        <v>0</v>
      </c>
      <c r="G60" s="124">
        <v>0</v>
      </c>
      <c r="H60" s="125">
        <v>0</v>
      </c>
      <c r="I60" s="124">
        <v>0</v>
      </c>
      <c r="J60" s="124">
        <v>0</v>
      </c>
      <c r="K60" s="124">
        <v>0</v>
      </c>
      <c r="L60" s="124">
        <v>0</v>
      </c>
      <c r="M60" s="124">
        <v>0</v>
      </c>
    </row>
    <row r="61" spans="1:13">
      <c r="A61" s="124">
        <v>1045000</v>
      </c>
      <c r="B61" s="124">
        <v>1050000</v>
      </c>
      <c r="C61" s="124">
        <v>0</v>
      </c>
      <c r="D61" s="124">
        <v>0</v>
      </c>
      <c r="E61" s="124">
        <v>0</v>
      </c>
      <c r="F61" s="124">
        <v>0</v>
      </c>
      <c r="G61" s="124">
        <v>0</v>
      </c>
      <c r="H61" s="125">
        <v>0</v>
      </c>
      <c r="I61" s="124">
        <v>0</v>
      </c>
      <c r="J61" s="124">
        <v>0</v>
      </c>
      <c r="K61" s="124">
        <v>0</v>
      </c>
      <c r="L61" s="124">
        <v>0</v>
      </c>
      <c r="M61" s="124">
        <v>0</v>
      </c>
    </row>
    <row r="62" spans="1:13">
      <c r="A62" s="124">
        <v>1050000</v>
      </c>
      <c r="B62" s="124">
        <v>1055000</v>
      </c>
      <c r="C62" s="124">
        <v>0</v>
      </c>
      <c r="D62" s="124">
        <v>0</v>
      </c>
      <c r="E62" s="124">
        <v>0</v>
      </c>
      <c r="F62" s="124">
        <v>0</v>
      </c>
      <c r="G62" s="124">
        <v>0</v>
      </c>
      <c r="H62" s="125">
        <v>0</v>
      </c>
      <c r="I62" s="124">
        <v>0</v>
      </c>
      <c r="J62" s="124">
        <v>0</v>
      </c>
      <c r="K62" s="124">
        <v>0</v>
      </c>
      <c r="L62" s="124">
        <v>0</v>
      </c>
      <c r="M62" s="124">
        <v>0</v>
      </c>
    </row>
    <row r="63" spans="1:13">
      <c r="A63" s="124">
        <v>1055000</v>
      </c>
      <c r="B63" s="124">
        <v>1060000</v>
      </c>
      <c r="C63" s="124">
        <v>0</v>
      </c>
      <c r="D63" s="124">
        <v>0</v>
      </c>
      <c r="E63" s="124">
        <v>0</v>
      </c>
      <c r="F63" s="124">
        <v>0</v>
      </c>
      <c r="G63" s="124">
        <v>0</v>
      </c>
      <c r="H63" s="125">
        <v>0</v>
      </c>
      <c r="I63" s="124">
        <v>0</v>
      </c>
      <c r="J63" s="124">
        <v>0</v>
      </c>
      <c r="K63" s="124">
        <v>0</v>
      </c>
      <c r="L63" s="124">
        <v>0</v>
      </c>
      <c r="M63" s="124">
        <v>0</v>
      </c>
    </row>
    <row r="64" spans="1:13">
      <c r="A64" s="124">
        <v>1060000</v>
      </c>
      <c r="B64" s="124">
        <v>1065000</v>
      </c>
      <c r="C64" s="124">
        <v>1040</v>
      </c>
      <c r="D64" s="124">
        <v>0</v>
      </c>
      <c r="E64" s="124">
        <v>0</v>
      </c>
      <c r="F64" s="124">
        <v>0</v>
      </c>
      <c r="G64" s="124">
        <v>0</v>
      </c>
      <c r="H64" s="125">
        <v>0</v>
      </c>
      <c r="I64" s="124">
        <v>0</v>
      </c>
      <c r="J64" s="124">
        <v>0</v>
      </c>
      <c r="K64" s="124">
        <v>0</v>
      </c>
      <c r="L64" s="124">
        <v>0</v>
      </c>
      <c r="M64" s="124">
        <v>0</v>
      </c>
    </row>
    <row r="65" spans="1:13">
      <c r="A65" s="124">
        <v>1065000</v>
      </c>
      <c r="B65" s="124">
        <v>1070000</v>
      </c>
      <c r="C65" s="124">
        <v>1110</v>
      </c>
      <c r="D65" s="124">
        <v>0</v>
      </c>
      <c r="E65" s="124">
        <v>0</v>
      </c>
      <c r="F65" s="124">
        <v>0</v>
      </c>
      <c r="G65" s="124">
        <v>0</v>
      </c>
      <c r="H65" s="125">
        <v>0</v>
      </c>
      <c r="I65" s="124">
        <v>0</v>
      </c>
      <c r="J65" s="124">
        <v>0</v>
      </c>
      <c r="K65" s="124">
        <v>0</v>
      </c>
      <c r="L65" s="124">
        <v>0</v>
      </c>
      <c r="M65" s="124">
        <v>0</v>
      </c>
    </row>
    <row r="66" spans="1:13">
      <c r="A66" s="124">
        <v>1070000</v>
      </c>
      <c r="B66" s="124">
        <v>1075000</v>
      </c>
      <c r="C66" s="124">
        <v>1180</v>
      </c>
      <c r="D66" s="124">
        <v>0</v>
      </c>
      <c r="E66" s="124">
        <v>0</v>
      </c>
      <c r="F66" s="124">
        <v>0</v>
      </c>
      <c r="G66" s="124">
        <v>0</v>
      </c>
      <c r="H66" s="125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</row>
    <row r="67" spans="1:13">
      <c r="A67" s="124">
        <v>1075000</v>
      </c>
      <c r="B67" s="124">
        <v>1080000</v>
      </c>
      <c r="C67" s="124">
        <v>1250</v>
      </c>
      <c r="D67" s="124">
        <v>0</v>
      </c>
      <c r="E67" s="124">
        <v>0</v>
      </c>
      <c r="F67" s="124">
        <v>0</v>
      </c>
      <c r="G67" s="124">
        <v>0</v>
      </c>
      <c r="H67" s="125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</row>
    <row r="68" spans="1:13">
      <c r="A68" s="124">
        <v>1080000</v>
      </c>
      <c r="B68" s="124">
        <v>1085000</v>
      </c>
      <c r="C68" s="124">
        <v>1320</v>
      </c>
      <c r="D68" s="124">
        <v>0</v>
      </c>
      <c r="E68" s="124">
        <v>0</v>
      </c>
      <c r="F68" s="124">
        <v>0</v>
      </c>
      <c r="G68" s="124">
        <v>0</v>
      </c>
      <c r="H68" s="125">
        <v>0</v>
      </c>
      <c r="I68" s="124">
        <v>0</v>
      </c>
      <c r="J68" s="124">
        <v>0</v>
      </c>
      <c r="K68" s="124">
        <v>0</v>
      </c>
      <c r="L68" s="124">
        <v>0</v>
      </c>
      <c r="M68" s="124">
        <v>0</v>
      </c>
    </row>
    <row r="69" spans="1:13">
      <c r="A69" s="124">
        <v>1085000</v>
      </c>
      <c r="B69" s="124">
        <v>1090000</v>
      </c>
      <c r="C69" s="124">
        <v>1390</v>
      </c>
      <c r="D69" s="124">
        <v>0</v>
      </c>
      <c r="E69" s="124">
        <v>0</v>
      </c>
      <c r="F69" s="124">
        <v>0</v>
      </c>
      <c r="G69" s="124">
        <v>0</v>
      </c>
      <c r="H69" s="125">
        <v>0</v>
      </c>
      <c r="I69" s="124">
        <v>0</v>
      </c>
      <c r="J69" s="124">
        <v>0</v>
      </c>
      <c r="K69" s="124">
        <v>0</v>
      </c>
      <c r="L69" s="124">
        <v>0</v>
      </c>
      <c r="M69" s="124">
        <v>0</v>
      </c>
    </row>
    <row r="70" spans="1:13">
      <c r="A70" s="124">
        <v>1090000</v>
      </c>
      <c r="B70" s="124">
        <v>1095000</v>
      </c>
      <c r="C70" s="124">
        <v>1460</v>
      </c>
      <c r="D70" s="124">
        <v>0</v>
      </c>
      <c r="E70" s="124">
        <v>0</v>
      </c>
      <c r="F70" s="124">
        <v>0</v>
      </c>
      <c r="G70" s="124">
        <v>0</v>
      </c>
      <c r="H70" s="125">
        <v>0</v>
      </c>
      <c r="I70" s="124">
        <v>0</v>
      </c>
      <c r="J70" s="124">
        <v>0</v>
      </c>
      <c r="K70" s="124">
        <v>0</v>
      </c>
      <c r="L70" s="124">
        <v>0</v>
      </c>
      <c r="M70" s="124">
        <v>0</v>
      </c>
    </row>
    <row r="71" spans="1:13">
      <c r="A71" s="124">
        <v>1095000</v>
      </c>
      <c r="B71" s="124">
        <v>1100000</v>
      </c>
      <c r="C71" s="124">
        <v>1530</v>
      </c>
      <c r="D71" s="124">
        <v>0</v>
      </c>
      <c r="E71" s="124">
        <v>0</v>
      </c>
      <c r="F71" s="124">
        <v>0</v>
      </c>
      <c r="G71" s="124">
        <v>0</v>
      </c>
      <c r="H71" s="125">
        <v>0</v>
      </c>
      <c r="I71" s="124">
        <v>0</v>
      </c>
      <c r="J71" s="124">
        <v>0</v>
      </c>
      <c r="K71" s="124">
        <v>0</v>
      </c>
      <c r="L71" s="124">
        <v>0</v>
      </c>
      <c r="M71" s="124">
        <v>0</v>
      </c>
    </row>
    <row r="72" spans="1:13">
      <c r="A72" s="124">
        <v>1100000</v>
      </c>
      <c r="B72" s="124">
        <v>1105000</v>
      </c>
      <c r="C72" s="124">
        <v>1600</v>
      </c>
      <c r="D72" s="124">
        <v>0</v>
      </c>
      <c r="E72" s="124">
        <v>0</v>
      </c>
      <c r="F72" s="124">
        <v>0</v>
      </c>
      <c r="G72" s="124">
        <v>0</v>
      </c>
      <c r="H72" s="125">
        <v>0</v>
      </c>
      <c r="I72" s="124">
        <v>0</v>
      </c>
      <c r="J72" s="124">
        <v>0</v>
      </c>
      <c r="K72" s="124">
        <v>0</v>
      </c>
      <c r="L72" s="124">
        <v>0</v>
      </c>
      <c r="M72" s="124">
        <v>0</v>
      </c>
    </row>
    <row r="73" spans="1:13">
      <c r="A73" s="124">
        <v>1105000</v>
      </c>
      <c r="B73" s="124">
        <v>1110000</v>
      </c>
      <c r="C73" s="124">
        <v>1670</v>
      </c>
      <c r="D73" s="124">
        <v>0</v>
      </c>
      <c r="E73" s="124">
        <v>0</v>
      </c>
      <c r="F73" s="124">
        <v>0</v>
      </c>
      <c r="G73" s="124">
        <v>0</v>
      </c>
      <c r="H73" s="125">
        <v>0</v>
      </c>
      <c r="I73" s="124">
        <v>0</v>
      </c>
      <c r="J73" s="124">
        <v>0</v>
      </c>
      <c r="K73" s="124">
        <v>0</v>
      </c>
      <c r="L73" s="124">
        <v>0</v>
      </c>
      <c r="M73" s="124">
        <v>0</v>
      </c>
    </row>
    <row r="74" spans="1:13">
      <c r="A74" s="124">
        <v>1110000</v>
      </c>
      <c r="B74" s="124">
        <v>1115000</v>
      </c>
      <c r="C74" s="124">
        <v>1740</v>
      </c>
      <c r="D74" s="124">
        <v>0</v>
      </c>
      <c r="E74" s="124">
        <v>0</v>
      </c>
      <c r="F74" s="124">
        <v>0</v>
      </c>
      <c r="G74" s="124">
        <v>0</v>
      </c>
      <c r="H74" s="125">
        <v>0</v>
      </c>
      <c r="I74" s="124">
        <v>0</v>
      </c>
      <c r="J74" s="124">
        <v>0</v>
      </c>
      <c r="K74" s="124">
        <v>0</v>
      </c>
      <c r="L74" s="124">
        <v>0</v>
      </c>
      <c r="M74" s="124">
        <v>0</v>
      </c>
    </row>
    <row r="75" spans="1:13">
      <c r="A75" s="124">
        <v>1115000</v>
      </c>
      <c r="B75" s="124">
        <v>1120000</v>
      </c>
      <c r="C75" s="124">
        <v>1810</v>
      </c>
      <c r="D75" s="124">
        <v>0</v>
      </c>
      <c r="E75" s="124">
        <v>0</v>
      </c>
      <c r="F75" s="124">
        <v>0</v>
      </c>
      <c r="G75" s="124">
        <v>0</v>
      </c>
      <c r="H75" s="125">
        <v>0</v>
      </c>
      <c r="I75" s="124">
        <v>0</v>
      </c>
      <c r="J75" s="124">
        <v>0</v>
      </c>
      <c r="K75" s="124">
        <v>0</v>
      </c>
      <c r="L75" s="124">
        <v>0</v>
      </c>
      <c r="M75" s="124">
        <v>0</v>
      </c>
    </row>
    <row r="76" spans="1:13">
      <c r="A76" s="124">
        <v>1120000</v>
      </c>
      <c r="B76" s="124">
        <v>1125000</v>
      </c>
      <c r="C76" s="124">
        <v>1880</v>
      </c>
      <c r="D76" s="124">
        <v>0</v>
      </c>
      <c r="E76" s="124">
        <v>0</v>
      </c>
      <c r="F76" s="124">
        <v>0</v>
      </c>
      <c r="G76" s="124">
        <v>0</v>
      </c>
      <c r="H76" s="125">
        <v>0</v>
      </c>
      <c r="I76" s="124">
        <v>0</v>
      </c>
      <c r="J76" s="124">
        <v>0</v>
      </c>
      <c r="K76" s="124">
        <v>0</v>
      </c>
      <c r="L76" s="124">
        <v>0</v>
      </c>
      <c r="M76" s="124">
        <v>0</v>
      </c>
    </row>
    <row r="77" spans="1:13">
      <c r="A77" s="124">
        <v>1125000</v>
      </c>
      <c r="B77" s="124">
        <v>1130000</v>
      </c>
      <c r="C77" s="124">
        <v>1950</v>
      </c>
      <c r="D77" s="124">
        <v>0</v>
      </c>
      <c r="E77" s="124">
        <v>0</v>
      </c>
      <c r="F77" s="124">
        <v>0</v>
      </c>
      <c r="G77" s="124">
        <v>0</v>
      </c>
      <c r="H77" s="125">
        <v>0</v>
      </c>
      <c r="I77" s="124">
        <v>0</v>
      </c>
      <c r="J77" s="124">
        <v>0</v>
      </c>
      <c r="K77" s="124">
        <v>0</v>
      </c>
      <c r="L77" s="124">
        <v>0</v>
      </c>
      <c r="M77" s="124">
        <v>0</v>
      </c>
    </row>
    <row r="78" spans="1:13">
      <c r="A78" s="124">
        <v>1130000</v>
      </c>
      <c r="B78" s="124">
        <v>1135000</v>
      </c>
      <c r="C78" s="124">
        <v>2020</v>
      </c>
      <c r="D78" s="124">
        <v>0</v>
      </c>
      <c r="E78" s="124">
        <v>0</v>
      </c>
      <c r="F78" s="124">
        <v>0</v>
      </c>
      <c r="G78" s="124">
        <v>0</v>
      </c>
      <c r="H78" s="125">
        <v>0</v>
      </c>
      <c r="I78" s="124">
        <v>0</v>
      </c>
      <c r="J78" s="124">
        <v>0</v>
      </c>
      <c r="K78" s="124">
        <v>0</v>
      </c>
      <c r="L78" s="124">
        <v>0</v>
      </c>
      <c r="M78" s="124">
        <v>0</v>
      </c>
    </row>
    <row r="79" spans="1:13">
      <c r="A79" s="124">
        <v>1135000</v>
      </c>
      <c r="B79" s="124">
        <v>1140000</v>
      </c>
      <c r="C79" s="124">
        <v>2090</v>
      </c>
      <c r="D79" s="124">
        <v>0</v>
      </c>
      <c r="E79" s="124">
        <v>0</v>
      </c>
      <c r="F79" s="124">
        <v>0</v>
      </c>
      <c r="G79" s="124">
        <v>0</v>
      </c>
      <c r="H79" s="125">
        <v>0</v>
      </c>
      <c r="I79" s="124">
        <v>0</v>
      </c>
      <c r="J79" s="124">
        <v>0</v>
      </c>
      <c r="K79" s="124">
        <v>0</v>
      </c>
      <c r="L79" s="124">
        <v>0</v>
      </c>
      <c r="M79" s="124">
        <v>0</v>
      </c>
    </row>
    <row r="80" spans="1:13">
      <c r="A80" s="124">
        <v>1140000</v>
      </c>
      <c r="B80" s="124">
        <v>1145000</v>
      </c>
      <c r="C80" s="124">
        <v>2160</v>
      </c>
      <c r="D80" s="124">
        <v>0</v>
      </c>
      <c r="E80" s="124">
        <v>0</v>
      </c>
      <c r="F80" s="124">
        <v>0</v>
      </c>
      <c r="G80" s="124">
        <v>0</v>
      </c>
      <c r="H80" s="125">
        <v>0</v>
      </c>
      <c r="I80" s="124">
        <v>0</v>
      </c>
      <c r="J80" s="124">
        <v>0</v>
      </c>
      <c r="K80" s="124">
        <v>0</v>
      </c>
      <c r="L80" s="124">
        <v>0</v>
      </c>
      <c r="M80" s="124">
        <v>0</v>
      </c>
    </row>
    <row r="81" spans="1:13">
      <c r="A81" s="124">
        <v>1145000</v>
      </c>
      <c r="B81" s="124">
        <v>1150000</v>
      </c>
      <c r="C81" s="124">
        <v>2230</v>
      </c>
      <c r="D81" s="124">
        <v>0</v>
      </c>
      <c r="E81" s="124">
        <v>0</v>
      </c>
      <c r="F81" s="124">
        <v>0</v>
      </c>
      <c r="G81" s="124">
        <v>0</v>
      </c>
      <c r="H81" s="125">
        <v>0</v>
      </c>
      <c r="I81" s="124">
        <v>0</v>
      </c>
      <c r="J81" s="124">
        <v>0</v>
      </c>
      <c r="K81" s="124">
        <v>0</v>
      </c>
      <c r="L81" s="124">
        <v>0</v>
      </c>
      <c r="M81" s="124">
        <v>0</v>
      </c>
    </row>
    <row r="82" spans="1:13">
      <c r="A82" s="124">
        <v>1150000</v>
      </c>
      <c r="B82" s="124">
        <v>1155000</v>
      </c>
      <c r="C82" s="124">
        <v>2300</v>
      </c>
      <c r="D82" s="124">
        <v>0</v>
      </c>
      <c r="E82" s="124">
        <v>0</v>
      </c>
      <c r="F82" s="124">
        <v>0</v>
      </c>
      <c r="G82" s="124">
        <v>0</v>
      </c>
      <c r="H82" s="125">
        <v>0</v>
      </c>
      <c r="I82" s="124">
        <v>0</v>
      </c>
      <c r="J82" s="124">
        <v>0</v>
      </c>
      <c r="K82" s="124">
        <v>0</v>
      </c>
      <c r="L82" s="124">
        <v>0</v>
      </c>
      <c r="M82" s="124">
        <v>0</v>
      </c>
    </row>
    <row r="83" spans="1:13">
      <c r="A83" s="124">
        <v>1155000</v>
      </c>
      <c r="B83" s="124">
        <v>1160000</v>
      </c>
      <c r="C83" s="124">
        <v>2370</v>
      </c>
      <c r="D83" s="124">
        <v>0</v>
      </c>
      <c r="E83" s="124">
        <v>0</v>
      </c>
      <c r="F83" s="124">
        <v>0</v>
      </c>
      <c r="G83" s="124">
        <v>0</v>
      </c>
      <c r="H83" s="125">
        <v>0</v>
      </c>
      <c r="I83" s="124">
        <v>0</v>
      </c>
      <c r="J83" s="124">
        <v>0</v>
      </c>
      <c r="K83" s="124">
        <v>0</v>
      </c>
      <c r="L83" s="124">
        <v>0</v>
      </c>
      <c r="M83" s="124">
        <v>0</v>
      </c>
    </row>
    <row r="84" spans="1:13">
      <c r="A84" s="124">
        <v>1160000</v>
      </c>
      <c r="B84" s="124">
        <v>1165000</v>
      </c>
      <c r="C84" s="124">
        <v>2440</v>
      </c>
      <c r="D84" s="124">
        <v>0</v>
      </c>
      <c r="E84" s="124">
        <v>0</v>
      </c>
      <c r="F84" s="124">
        <v>0</v>
      </c>
      <c r="G84" s="124">
        <v>0</v>
      </c>
      <c r="H84" s="125">
        <v>0</v>
      </c>
      <c r="I84" s="124">
        <v>0</v>
      </c>
      <c r="J84" s="124">
        <v>0</v>
      </c>
      <c r="K84" s="124">
        <v>0</v>
      </c>
      <c r="L84" s="124">
        <v>0</v>
      </c>
      <c r="M84" s="124">
        <v>0</v>
      </c>
    </row>
    <row r="85" spans="1:13">
      <c r="A85" s="124">
        <v>1165000</v>
      </c>
      <c r="B85" s="124">
        <v>1170000</v>
      </c>
      <c r="C85" s="124">
        <v>2500</v>
      </c>
      <c r="D85" s="124">
        <v>0</v>
      </c>
      <c r="E85" s="124">
        <v>0</v>
      </c>
      <c r="F85" s="124">
        <v>0</v>
      </c>
      <c r="G85" s="124">
        <v>0</v>
      </c>
      <c r="H85" s="125">
        <v>0</v>
      </c>
      <c r="I85" s="124">
        <v>0</v>
      </c>
      <c r="J85" s="124">
        <v>0</v>
      </c>
      <c r="K85" s="124">
        <v>0</v>
      </c>
      <c r="L85" s="124">
        <v>0</v>
      </c>
      <c r="M85" s="124">
        <v>0</v>
      </c>
    </row>
    <row r="86" spans="1:13">
      <c r="A86" s="124">
        <v>1170000</v>
      </c>
      <c r="B86" s="124">
        <v>1175000</v>
      </c>
      <c r="C86" s="124">
        <v>2570</v>
      </c>
      <c r="D86" s="124">
        <v>0</v>
      </c>
      <c r="E86" s="124">
        <v>0</v>
      </c>
      <c r="F86" s="124">
        <v>0</v>
      </c>
      <c r="G86" s="124">
        <v>0</v>
      </c>
      <c r="H86" s="125">
        <v>0</v>
      </c>
      <c r="I86" s="124">
        <v>0</v>
      </c>
      <c r="J86" s="124">
        <v>0</v>
      </c>
      <c r="K86" s="124">
        <v>0</v>
      </c>
      <c r="L86" s="124">
        <v>0</v>
      </c>
      <c r="M86" s="124">
        <v>0</v>
      </c>
    </row>
    <row r="87" spans="1:13">
      <c r="A87" s="124">
        <v>1175000</v>
      </c>
      <c r="B87" s="124">
        <v>1180000</v>
      </c>
      <c r="C87" s="124">
        <v>2640</v>
      </c>
      <c r="D87" s="124">
        <v>0</v>
      </c>
      <c r="E87" s="124">
        <v>0</v>
      </c>
      <c r="F87" s="124">
        <v>0</v>
      </c>
      <c r="G87" s="124">
        <v>0</v>
      </c>
      <c r="H87" s="125">
        <v>0</v>
      </c>
      <c r="I87" s="124">
        <v>0</v>
      </c>
      <c r="J87" s="124">
        <v>0</v>
      </c>
      <c r="K87" s="124">
        <v>0</v>
      </c>
      <c r="L87" s="124">
        <v>0</v>
      </c>
      <c r="M87" s="124">
        <v>0</v>
      </c>
    </row>
    <row r="88" spans="1:13">
      <c r="A88" s="124">
        <v>1180000</v>
      </c>
      <c r="B88" s="124">
        <v>1185000</v>
      </c>
      <c r="C88" s="124">
        <v>2710</v>
      </c>
      <c r="D88" s="124">
        <v>0</v>
      </c>
      <c r="E88" s="124">
        <v>0</v>
      </c>
      <c r="F88" s="124">
        <v>0</v>
      </c>
      <c r="G88" s="124">
        <v>0</v>
      </c>
      <c r="H88" s="125">
        <v>0</v>
      </c>
      <c r="I88" s="124">
        <v>0</v>
      </c>
      <c r="J88" s="124">
        <v>0</v>
      </c>
      <c r="K88" s="124">
        <v>0</v>
      </c>
      <c r="L88" s="124">
        <v>0</v>
      </c>
      <c r="M88" s="124">
        <v>0</v>
      </c>
    </row>
    <row r="89" spans="1:13">
      <c r="A89" s="124">
        <v>1185000</v>
      </c>
      <c r="B89" s="124">
        <v>1190000</v>
      </c>
      <c r="C89" s="124">
        <v>2780</v>
      </c>
      <c r="D89" s="124">
        <v>0</v>
      </c>
      <c r="E89" s="124">
        <v>0</v>
      </c>
      <c r="F89" s="124">
        <v>0</v>
      </c>
      <c r="G89" s="124">
        <v>0</v>
      </c>
      <c r="H89" s="125">
        <v>0</v>
      </c>
      <c r="I89" s="124">
        <v>0</v>
      </c>
      <c r="J89" s="124">
        <v>0</v>
      </c>
      <c r="K89" s="124">
        <v>0</v>
      </c>
      <c r="L89" s="124">
        <v>0</v>
      </c>
      <c r="M89" s="124">
        <v>0</v>
      </c>
    </row>
    <row r="90" spans="1:13">
      <c r="A90" s="124">
        <v>1190000</v>
      </c>
      <c r="B90" s="124">
        <v>1195000</v>
      </c>
      <c r="C90" s="124">
        <v>2850</v>
      </c>
      <c r="D90" s="124">
        <v>0</v>
      </c>
      <c r="E90" s="124">
        <v>0</v>
      </c>
      <c r="F90" s="124">
        <v>0</v>
      </c>
      <c r="G90" s="124">
        <v>0</v>
      </c>
      <c r="H90" s="125">
        <v>0</v>
      </c>
      <c r="I90" s="124">
        <v>0</v>
      </c>
      <c r="J90" s="124">
        <v>0</v>
      </c>
      <c r="K90" s="124">
        <v>0</v>
      </c>
      <c r="L90" s="124">
        <v>0</v>
      </c>
      <c r="M90" s="124">
        <v>0</v>
      </c>
    </row>
    <row r="91" spans="1:13">
      <c r="A91" s="124">
        <v>1195000</v>
      </c>
      <c r="B91" s="124">
        <v>1200000</v>
      </c>
      <c r="C91" s="124">
        <v>2920</v>
      </c>
      <c r="D91" s="124">
        <v>0</v>
      </c>
      <c r="E91" s="124">
        <v>0</v>
      </c>
      <c r="F91" s="124">
        <v>0</v>
      </c>
      <c r="G91" s="124">
        <v>0</v>
      </c>
      <c r="H91" s="125">
        <v>0</v>
      </c>
      <c r="I91" s="124">
        <v>0</v>
      </c>
      <c r="J91" s="124">
        <v>0</v>
      </c>
      <c r="K91" s="124">
        <v>0</v>
      </c>
      <c r="L91" s="124">
        <v>0</v>
      </c>
      <c r="M91" s="124">
        <v>0</v>
      </c>
    </row>
    <row r="92" spans="1:13">
      <c r="A92" s="124">
        <v>1200000</v>
      </c>
      <c r="B92" s="124">
        <v>1205000</v>
      </c>
      <c r="C92" s="124">
        <v>2990</v>
      </c>
      <c r="D92" s="124">
        <v>0</v>
      </c>
      <c r="E92" s="124">
        <v>0</v>
      </c>
      <c r="F92" s="124">
        <v>0</v>
      </c>
      <c r="G92" s="124">
        <v>0</v>
      </c>
      <c r="H92" s="125">
        <v>0</v>
      </c>
      <c r="I92" s="124">
        <v>0</v>
      </c>
      <c r="J92" s="124">
        <v>0</v>
      </c>
      <c r="K92" s="124">
        <v>0</v>
      </c>
      <c r="L92" s="124">
        <v>0</v>
      </c>
      <c r="M92" s="124">
        <v>0</v>
      </c>
    </row>
    <row r="93" spans="1:13">
      <c r="A93" s="124">
        <v>1205000</v>
      </c>
      <c r="B93" s="124">
        <v>1210000</v>
      </c>
      <c r="C93" s="124">
        <v>3060</v>
      </c>
      <c r="D93" s="124">
        <v>0</v>
      </c>
      <c r="E93" s="124">
        <v>0</v>
      </c>
      <c r="F93" s="124">
        <v>0</v>
      </c>
      <c r="G93" s="124">
        <v>0</v>
      </c>
      <c r="H93" s="125">
        <v>0</v>
      </c>
      <c r="I93" s="124">
        <v>0</v>
      </c>
      <c r="J93" s="124">
        <v>0</v>
      </c>
      <c r="K93" s="124">
        <v>0</v>
      </c>
      <c r="L93" s="124">
        <v>0</v>
      </c>
      <c r="M93" s="124">
        <v>0</v>
      </c>
    </row>
    <row r="94" spans="1:13">
      <c r="A94" s="124">
        <v>1210000</v>
      </c>
      <c r="B94" s="124">
        <v>1215000</v>
      </c>
      <c r="C94" s="124">
        <v>3130</v>
      </c>
      <c r="D94" s="124">
        <v>0</v>
      </c>
      <c r="E94" s="124">
        <v>0</v>
      </c>
      <c r="F94" s="124">
        <v>0</v>
      </c>
      <c r="G94" s="124">
        <v>0</v>
      </c>
      <c r="H94" s="125">
        <v>0</v>
      </c>
      <c r="I94" s="124">
        <v>0</v>
      </c>
      <c r="J94" s="124">
        <v>0</v>
      </c>
      <c r="K94" s="124">
        <v>0</v>
      </c>
      <c r="L94" s="124">
        <v>0</v>
      </c>
      <c r="M94" s="124">
        <v>0</v>
      </c>
    </row>
    <row r="95" spans="1:13">
      <c r="A95" s="124">
        <v>1215000</v>
      </c>
      <c r="B95" s="124">
        <v>1220000</v>
      </c>
      <c r="C95" s="124">
        <v>3200</v>
      </c>
      <c r="D95" s="124">
        <v>0</v>
      </c>
      <c r="E95" s="124">
        <v>0</v>
      </c>
      <c r="F95" s="124">
        <v>0</v>
      </c>
      <c r="G95" s="124">
        <v>0</v>
      </c>
      <c r="H95" s="125">
        <v>0</v>
      </c>
      <c r="I95" s="124">
        <v>0</v>
      </c>
      <c r="J95" s="124">
        <v>0</v>
      </c>
      <c r="K95" s="124">
        <v>0</v>
      </c>
      <c r="L95" s="124">
        <v>0</v>
      </c>
      <c r="M95" s="124">
        <v>0</v>
      </c>
    </row>
    <row r="96" spans="1:13">
      <c r="A96" s="124">
        <v>1220000</v>
      </c>
      <c r="B96" s="124">
        <v>1225000</v>
      </c>
      <c r="C96" s="124">
        <v>3270</v>
      </c>
      <c r="D96" s="124">
        <v>0</v>
      </c>
      <c r="E96" s="124">
        <v>0</v>
      </c>
      <c r="F96" s="124">
        <v>0</v>
      </c>
      <c r="G96" s="124">
        <v>0</v>
      </c>
      <c r="H96" s="125">
        <v>0</v>
      </c>
      <c r="I96" s="124">
        <v>0</v>
      </c>
      <c r="J96" s="124">
        <v>0</v>
      </c>
      <c r="K96" s="124">
        <v>0</v>
      </c>
      <c r="L96" s="124">
        <v>0</v>
      </c>
      <c r="M96" s="124">
        <v>0</v>
      </c>
    </row>
    <row r="97" spans="1:13">
      <c r="A97" s="124">
        <v>1225000</v>
      </c>
      <c r="B97" s="124">
        <v>1230000</v>
      </c>
      <c r="C97" s="124">
        <v>3340</v>
      </c>
      <c r="D97" s="124">
        <v>0</v>
      </c>
      <c r="E97" s="124">
        <v>0</v>
      </c>
      <c r="F97" s="124">
        <v>0</v>
      </c>
      <c r="G97" s="124">
        <v>0</v>
      </c>
      <c r="H97" s="125">
        <v>0</v>
      </c>
      <c r="I97" s="124">
        <v>0</v>
      </c>
      <c r="J97" s="124">
        <v>0</v>
      </c>
      <c r="K97" s="124">
        <v>0</v>
      </c>
      <c r="L97" s="124">
        <v>0</v>
      </c>
      <c r="M97" s="124">
        <v>0</v>
      </c>
    </row>
    <row r="98" spans="1:13">
      <c r="A98" s="124">
        <v>1230000</v>
      </c>
      <c r="B98" s="124">
        <v>1235000</v>
      </c>
      <c r="C98" s="124">
        <v>3410</v>
      </c>
      <c r="D98" s="124">
        <v>0</v>
      </c>
      <c r="E98" s="124">
        <v>0</v>
      </c>
      <c r="F98" s="124">
        <v>0</v>
      </c>
      <c r="G98" s="124">
        <v>0</v>
      </c>
      <c r="H98" s="125">
        <v>0</v>
      </c>
      <c r="I98" s="124">
        <v>0</v>
      </c>
      <c r="J98" s="124">
        <v>0</v>
      </c>
      <c r="K98" s="124">
        <v>0</v>
      </c>
      <c r="L98" s="124">
        <v>0</v>
      </c>
      <c r="M98" s="124">
        <v>0</v>
      </c>
    </row>
    <row r="99" spans="1:13">
      <c r="A99" s="124">
        <v>1235000</v>
      </c>
      <c r="B99" s="124">
        <v>1240000</v>
      </c>
      <c r="C99" s="124">
        <v>3480</v>
      </c>
      <c r="D99" s="124">
        <v>0</v>
      </c>
      <c r="E99" s="124">
        <v>0</v>
      </c>
      <c r="F99" s="124">
        <v>0</v>
      </c>
      <c r="G99" s="124">
        <v>0</v>
      </c>
      <c r="H99" s="125">
        <v>0</v>
      </c>
      <c r="I99" s="124">
        <v>0</v>
      </c>
      <c r="J99" s="124">
        <v>0</v>
      </c>
      <c r="K99" s="124">
        <v>0</v>
      </c>
      <c r="L99" s="124">
        <v>0</v>
      </c>
      <c r="M99" s="124">
        <v>0</v>
      </c>
    </row>
    <row r="100" spans="1:13">
      <c r="A100" s="124">
        <v>1240000</v>
      </c>
      <c r="B100" s="124">
        <v>1245000</v>
      </c>
      <c r="C100" s="124">
        <v>3550</v>
      </c>
      <c r="D100" s="124">
        <v>0</v>
      </c>
      <c r="E100" s="124">
        <v>0</v>
      </c>
      <c r="F100" s="124">
        <v>0</v>
      </c>
      <c r="G100" s="124">
        <v>0</v>
      </c>
      <c r="H100" s="125">
        <v>0</v>
      </c>
      <c r="I100" s="124">
        <v>0</v>
      </c>
      <c r="J100" s="124">
        <v>0</v>
      </c>
      <c r="K100" s="124">
        <v>0</v>
      </c>
      <c r="L100" s="124">
        <v>0</v>
      </c>
      <c r="M100" s="124">
        <v>0</v>
      </c>
    </row>
    <row r="101" spans="1:13">
      <c r="A101" s="124">
        <v>1245000</v>
      </c>
      <c r="B101" s="124">
        <v>1250000</v>
      </c>
      <c r="C101" s="124">
        <v>3620</v>
      </c>
      <c r="D101" s="124">
        <v>0</v>
      </c>
      <c r="E101" s="124">
        <v>0</v>
      </c>
      <c r="F101" s="124">
        <v>0</v>
      </c>
      <c r="G101" s="124">
        <v>0</v>
      </c>
      <c r="H101" s="125">
        <v>0</v>
      </c>
      <c r="I101" s="124">
        <v>0</v>
      </c>
      <c r="J101" s="124">
        <v>0</v>
      </c>
      <c r="K101" s="124">
        <v>0</v>
      </c>
      <c r="L101" s="124">
        <v>0</v>
      </c>
      <c r="M101" s="124">
        <v>0</v>
      </c>
    </row>
    <row r="102" spans="1:13">
      <c r="A102" s="124">
        <v>1250000</v>
      </c>
      <c r="B102" s="124">
        <v>1255000</v>
      </c>
      <c r="C102" s="124">
        <v>3700</v>
      </c>
      <c r="D102" s="124">
        <v>0</v>
      </c>
      <c r="E102" s="124">
        <v>0</v>
      </c>
      <c r="F102" s="124">
        <v>0</v>
      </c>
      <c r="G102" s="124">
        <v>0</v>
      </c>
      <c r="H102" s="125">
        <v>0</v>
      </c>
      <c r="I102" s="124">
        <v>0</v>
      </c>
      <c r="J102" s="124">
        <v>0</v>
      </c>
      <c r="K102" s="124">
        <v>0</v>
      </c>
      <c r="L102" s="124">
        <v>0</v>
      </c>
      <c r="M102" s="124">
        <v>0</v>
      </c>
    </row>
    <row r="103" spans="1:13">
      <c r="A103" s="124">
        <v>1255000</v>
      </c>
      <c r="B103" s="124">
        <v>1260000</v>
      </c>
      <c r="C103" s="124">
        <v>3810</v>
      </c>
      <c r="D103" s="124">
        <v>0</v>
      </c>
      <c r="E103" s="124">
        <v>0</v>
      </c>
      <c r="F103" s="124">
        <v>0</v>
      </c>
      <c r="G103" s="124">
        <v>0</v>
      </c>
      <c r="H103" s="125">
        <v>0</v>
      </c>
      <c r="I103" s="124">
        <v>0</v>
      </c>
      <c r="J103" s="124">
        <v>0</v>
      </c>
      <c r="K103" s="124">
        <v>0</v>
      </c>
      <c r="L103" s="124">
        <v>0</v>
      </c>
      <c r="M103" s="124">
        <v>0</v>
      </c>
    </row>
    <row r="104" spans="1:13">
      <c r="A104" s="124">
        <v>1260000</v>
      </c>
      <c r="B104" s="124">
        <v>1265000</v>
      </c>
      <c r="C104" s="124">
        <v>3910</v>
      </c>
      <c r="D104" s="124">
        <v>0</v>
      </c>
      <c r="E104" s="124">
        <v>0</v>
      </c>
      <c r="F104" s="124">
        <v>0</v>
      </c>
      <c r="G104" s="124">
        <v>0</v>
      </c>
      <c r="H104" s="125">
        <v>0</v>
      </c>
      <c r="I104" s="124">
        <v>0</v>
      </c>
      <c r="J104" s="124">
        <v>0</v>
      </c>
      <c r="K104" s="124">
        <v>0</v>
      </c>
      <c r="L104" s="124">
        <v>0</v>
      </c>
      <c r="M104" s="124">
        <v>0</v>
      </c>
    </row>
    <row r="105" spans="1:13">
      <c r="A105" s="124">
        <v>1265000</v>
      </c>
      <c r="B105" s="124">
        <v>1270000</v>
      </c>
      <c r="C105" s="124">
        <v>4010</v>
      </c>
      <c r="D105" s="124">
        <v>0</v>
      </c>
      <c r="E105" s="124">
        <v>0</v>
      </c>
      <c r="F105" s="124">
        <v>0</v>
      </c>
      <c r="G105" s="124">
        <v>0</v>
      </c>
      <c r="H105" s="125">
        <v>0</v>
      </c>
      <c r="I105" s="124">
        <v>0</v>
      </c>
      <c r="J105" s="124">
        <v>0</v>
      </c>
      <c r="K105" s="124">
        <v>0</v>
      </c>
      <c r="L105" s="124">
        <v>0</v>
      </c>
      <c r="M105" s="124">
        <v>0</v>
      </c>
    </row>
    <row r="106" spans="1:13">
      <c r="A106" s="124">
        <v>1270000</v>
      </c>
      <c r="B106" s="124">
        <v>1275000</v>
      </c>
      <c r="C106" s="124">
        <v>4120</v>
      </c>
      <c r="D106" s="124">
        <v>0</v>
      </c>
      <c r="E106" s="124">
        <v>0</v>
      </c>
      <c r="F106" s="124">
        <v>0</v>
      </c>
      <c r="G106" s="124">
        <v>0</v>
      </c>
      <c r="H106" s="125">
        <v>0</v>
      </c>
      <c r="I106" s="124">
        <v>0</v>
      </c>
      <c r="J106" s="124">
        <v>0</v>
      </c>
      <c r="K106" s="124">
        <v>0</v>
      </c>
      <c r="L106" s="124">
        <v>0</v>
      </c>
      <c r="M106" s="124">
        <v>0</v>
      </c>
    </row>
    <row r="107" spans="1:13">
      <c r="A107" s="124">
        <v>1275000</v>
      </c>
      <c r="B107" s="124">
        <v>1280000</v>
      </c>
      <c r="C107" s="124">
        <v>4220</v>
      </c>
      <c r="D107" s="124">
        <v>0</v>
      </c>
      <c r="E107" s="124">
        <v>0</v>
      </c>
      <c r="F107" s="124">
        <v>0</v>
      </c>
      <c r="G107" s="124">
        <v>0</v>
      </c>
      <c r="H107" s="125">
        <v>0</v>
      </c>
      <c r="I107" s="124">
        <v>0</v>
      </c>
      <c r="J107" s="124">
        <v>0</v>
      </c>
      <c r="K107" s="124">
        <v>0</v>
      </c>
      <c r="L107" s="124">
        <v>0</v>
      </c>
      <c r="M107" s="124">
        <v>0</v>
      </c>
    </row>
    <row r="108" spans="1:13">
      <c r="A108" s="124">
        <v>1280000</v>
      </c>
      <c r="B108" s="124">
        <v>1285000</v>
      </c>
      <c r="C108" s="124">
        <v>4320</v>
      </c>
      <c r="D108" s="124">
        <v>0</v>
      </c>
      <c r="E108" s="124">
        <v>0</v>
      </c>
      <c r="F108" s="124">
        <v>0</v>
      </c>
      <c r="G108" s="124">
        <v>0</v>
      </c>
      <c r="H108" s="125">
        <v>0</v>
      </c>
      <c r="I108" s="124">
        <v>0</v>
      </c>
      <c r="J108" s="124">
        <v>0</v>
      </c>
      <c r="K108" s="124">
        <v>0</v>
      </c>
      <c r="L108" s="124">
        <v>0</v>
      </c>
      <c r="M108" s="124">
        <v>0</v>
      </c>
    </row>
    <row r="109" spans="1:13">
      <c r="A109" s="124">
        <v>1285000</v>
      </c>
      <c r="B109" s="124">
        <v>1290000</v>
      </c>
      <c r="C109" s="124">
        <v>4430</v>
      </c>
      <c r="D109" s="124">
        <v>0</v>
      </c>
      <c r="E109" s="124">
        <v>0</v>
      </c>
      <c r="F109" s="124">
        <v>0</v>
      </c>
      <c r="G109" s="124">
        <v>0</v>
      </c>
      <c r="H109" s="125">
        <v>0</v>
      </c>
      <c r="I109" s="124">
        <v>0</v>
      </c>
      <c r="J109" s="124">
        <v>0</v>
      </c>
      <c r="K109" s="124">
        <v>0</v>
      </c>
      <c r="L109" s="124">
        <v>0</v>
      </c>
      <c r="M109" s="124">
        <v>0</v>
      </c>
    </row>
    <row r="110" spans="1:13">
      <c r="A110" s="124">
        <v>1290000</v>
      </c>
      <c r="B110" s="124">
        <v>1295000</v>
      </c>
      <c r="C110" s="124">
        <v>4530</v>
      </c>
      <c r="D110" s="124">
        <v>0</v>
      </c>
      <c r="E110" s="124">
        <v>0</v>
      </c>
      <c r="F110" s="124">
        <v>0</v>
      </c>
      <c r="G110" s="124">
        <v>0</v>
      </c>
      <c r="H110" s="125">
        <v>0</v>
      </c>
      <c r="I110" s="124">
        <v>0</v>
      </c>
      <c r="J110" s="124">
        <v>0</v>
      </c>
      <c r="K110" s="124">
        <v>0</v>
      </c>
      <c r="L110" s="124">
        <v>0</v>
      </c>
      <c r="M110" s="124">
        <v>0</v>
      </c>
    </row>
    <row r="111" spans="1:13">
      <c r="A111" s="124">
        <v>1295000</v>
      </c>
      <c r="B111" s="124">
        <v>1300000</v>
      </c>
      <c r="C111" s="124">
        <v>4630</v>
      </c>
      <c r="D111" s="124">
        <v>0</v>
      </c>
      <c r="E111" s="124">
        <v>0</v>
      </c>
      <c r="F111" s="124">
        <v>0</v>
      </c>
      <c r="G111" s="124">
        <v>0</v>
      </c>
      <c r="H111" s="125">
        <v>0</v>
      </c>
      <c r="I111" s="124">
        <v>0</v>
      </c>
      <c r="J111" s="124">
        <v>0</v>
      </c>
      <c r="K111" s="124">
        <v>0</v>
      </c>
      <c r="L111" s="124">
        <v>0</v>
      </c>
      <c r="M111" s="124">
        <v>0</v>
      </c>
    </row>
    <row r="112" spans="1:13">
      <c r="A112" s="124">
        <v>1300000</v>
      </c>
      <c r="B112" s="124">
        <v>1305000</v>
      </c>
      <c r="C112" s="124">
        <v>4740</v>
      </c>
      <c r="D112" s="124">
        <v>0</v>
      </c>
      <c r="E112" s="124">
        <v>0</v>
      </c>
      <c r="F112" s="124">
        <v>0</v>
      </c>
      <c r="G112" s="124">
        <v>0</v>
      </c>
      <c r="H112" s="125">
        <v>0</v>
      </c>
      <c r="I112" s="124">
        <v>0</v>
      </c>
      <c r="J112" s="124">
        <v>0</v>
      </c>
      <c r="K112" s="124">
        <v>0</v>
      </c>
      <c r="L112" s="124">
        <v>0</v>
      </c>
      <c r="M112" s="124">
        <v>0</v>
      </c>
    </row>
    <row r="113" spans="1:13">
      <c r="A113" s="124">
        <v>1305000</v>
      </c>
      <c r="B113" s="124">
        <v>1310000</v>
      </c>
      <c r="C113" s="124">
        <v>4840</v>
      </c>
      <c r="D113" s="124">
        <v>0</v>
      </c>
      <c r="E113" s="124">
        <v>0</v>
      </c>
      <c r="F113" s="124">
        <v>0</v>
      </c>
      <c r="G113" s="124">
        <v>0</v>
      </c>
      <c r="H113" s="125">
        <v>0</v>
      </c>
      <c r="I113" s="124">
        <v>0</v>
      </c>
      <c r="J113" s="124">
        <v>0</v>
      </c>
      <c r="K113" s="124">
        <v>0</v>
      </c>
      <c r="L113" s="124">
        <v>0</v>
      </c>
      <c r="M113" s="124">
        <v>0</v>
      </c>
    </row>
    <row r="114" spans="1:13">
      <c r="A114" s="124">
        <v>1310000</v>
      </c>
      <c r="B114" s="124">
        <v>1315000</v>
      </c>
      <c r="C114" s="124">
        <v>4940</v>
      </c>
      <c r="D114" s="124">
        <v>0</v>
      </c>
      <c r="E114" s="124">
        <v>0</v>
      </c>
      <c r="F114" s="124">
        <v>0</v>
      </c>
      <c r="G114" s="124">
        <v>0</v>
      </c>
      <c r="H114" s="125">
        <v>0</v>
      </c>
      <c r="I114" s="124">
        <v>0</v>
      </c>
      <c r="J114" s="124">
        <v>0</v>
      </c>
      <c r="K114" s="124">
        <v>0</v>
      </c>
      <c r="L114" s="124">
        <v>0</v>
      </c>
      <c r="M114" s="124">
        <v>0</v>
      </c>
    </row>
    <row r="115" spans="1:13">
      <c r="A115" s="124">
        <v>1315000</v>
      </c>
      <c r="B115" s="124">
        <v>1320000</v>
      </c>
      <c r="C115" s="124">
        <v>5050</v>
      </c>
      <c r="D115" s="124">
        <v>0</v>
      </c>
      <c r="E115" s="124">
        <v>0</v>
      </c>
      <c r="F115" s="124">
        <v>0</v>
      </c>
      <c r="G115" s="124">
        <v>0</v>
      </c>
      <c r="H115" s="125">
        <v>0</v>
      </c>
      <c r="I115" s="124">
        <v>0</v>
      </c>
      <c r="J115" s="124">
        <v>0</v>
      </c>
      <c r="K115" s="124">
        <v>0</v>
      </c>
      <c r="L115" s="124">
        <v>0</v>
      </c>
      <c r="M115" s="124">
        <v>0</v>
      </c>
    </row>
    <row r="116" spans="1:13">
      <c r="A116" s="124">
        <v>1320000</v>
      </c>
      <c r="B116" s="124">
        <v>1325000</v>
      </c>
      <c r="C116" s="124">
        <v>5150</v>
      </c>
      <c r="D116" s="124">
        <v>0</v>
      </c>
      <c r="E116" s="124">
        <v>0</v>
      </c>
      <c r="F116" s="124">
        <v>0</v>
      </c>
      <c r="G116" s="124">
        <v>0</v>
      </c>
      <c r="H116" s="125">
        <v>0</v>
      </c>
      <c r="I116" s="124">
        <v>0</v>
      </c>
      <c r="J116" s="124">
        <v>0</v>
      </c>
      <c r="K116" s="124">
        <v>0</v>
      </c>
      <c r="L116" s="124">
        <v>0</v>
      </c>
      <c r="M116" s="124">
        <v>0</v>
      </c>
    </row>
    <row r="117" spans="1:13">
      <c r="A117" s="124">
        <v>1325000</v>
      </c>
      <c r="B117" s="124">
        <v>1330000</v>
      </c>
      <c r="C117" s="124">
        <v>5250</v>
      </c>
      <c r="D117" s="124">
        <v>0</v>
      </c>
      <c r="E117" s="124">
        <v>0</v>
      </c>
      <c r="F117" s="124">
        <v>0</v>
      </c>
      <c r="G117" s="124">
        <v>0</v>
      </c>
      <c r="H117" s="125">
        <v>0</v>
      </c>
      <c r="I117" s="124">
        <v>0</v>
      </c>
      <c r="J117" s="124">
        <v>0</v>
      </c>
      <c r="K117" s="124">
        <v>0</v>
      </c>
      <c r="L117" s="124">
        <v>0</v>
      </c>
      <c r="M117" s="124">
        <v>0</v>
      </c>
    </row>
    <row r="118" spans="1:13">
      <c r="A118" s="124">
        <v>1330000</v>
      </c>
      <c r="B118" s="124">
        <v>1335000</v>
      </c>
      <c r="C118" s="124">
        <v>5360</v>
      </c>
      <c r="D118" s="124">
        <v>0</v>
      </c>
      <c r="E118" s="124">
        <v>0</v>
      </c>
      <c r="F118" s="124">
        <v>0</v>
      </c>
      <c r="G118" s="124">
        <v>0</v>
      </c>
      <c r="H118" s="125">
        <v>0</v>
      </c>
      <c r="I118" s="124">
        <v>0</v>
      </c>
      <c r="J118" s="124">
        <v>0</v>
      </c>
      <c r="K118" s="124">
        <v>0</v>
      </c>
      <c r="L118" s="124">
        <v>0</v>
      </c>
      <c r="M118" s="124">
        <v>0</v>
      </c>
    </row>
    <row r="119" spans="1:13">
      <c r="A119" s="124">
        <v>1335000</v>
      </c>
      <c r="B119" s="124">
        <v>1340000</v>
      </c>
      <c r="C119" s="124">
        <v>5460</v>
      </c>
      <c r="D119" s="124">
        <v>0</v>
      </c>
      <c r="E119" s="124">
        <v>0</v>
      </c>
      <c r="F119" s="124">
        <v>0</v>
      </c>
      <c r="G119" s="124">
        <v>0</v>
      </c>
      <c r="H119" s="125">
        <v>0</v>
      </c>
      <c r="I119" s="124">
        <v>0</v>
      </c>
      <c r="J119" s="124">
        <v>0</v>
      </c>
      <c r="K119" s="124">
        <v>0</v>
      </c>
      <c r="L119" s="124">
        <v>0</v>
      </c>
      <c r="M119" s="124">
        <v>0</v>
      </c>
    </row>
    <row r="120" spans="1:13">
      <c r="A120" s="124">
        <v>1340000</v>
      </c>
      <c r="B120" s="124">
        <v>1345000</v>
      </c>
      <c r="C120" s="124">
        <v>5560</v>
      </c>
      <c r="D120" s="124">
        <v>1060</v>
      </c>
      <c r="E120" s="124">
        <v>0</v>
      </c>
      <c r="F120" s="124">
        <v>0</v>
      </c>
      <c r="G120" s="124">
        <v>0</v>
      </c>
      <c r="H120" s="125">
        <v>0</v>
      </c>
      <c r="I120" s="124">
        <v>0</v>
      </c>
      <c r="J120" s="124">
        <v>0</v>
      </c>
      <c r="K120" s="124">
        <v>0</v>
      </c>
      <c r="L120" s="124">
        <v>0</v>
      </c>
      <c r="M120" s="124">
        <v>0</v>
      </c>
    </row>
    <row r="121" spans="1:13">
      <c r="A121" s="124">
        <v>1345000</v>
      </c>
      <c r="B121" s="124">
        <v>1350000</v>
      </c>
      <c r="C121" s="124">
        <v>5670</v>
      </c>
      <c r="D121" s="124">
        <v>1170</v>
      </c>
      <c r="E121" s="124">
        <v>0</v>
      </c>
      <c r="F121" s="124">
        <v>0</v>
      </c>
      <c r="G121" s="124">
        <v>0</v>
      </c>
      <c r="H121" s="125">
        <v>0</v>
      </c>
      <c r="I121" s="124">
        <v>0</v>
      </c>
      <c r="J121" s="124">
        <v>0</v>
      </c>
      <c r="K121" s="124">
        <v>0</v>
      </c>
      <c r="L121" s="124">
        <v>0</v>
      </c>
      <c r="M121" s="124">
        <v>0</v>
      </c>
    </row>
    <row r="122" spans="1:13">
      <c r="A122" s="124">
        <v>1350000</v>
      </c>
      <c r="B122" s="124">
        <v>1355000</v>
      </c>
      <c r="C122" s="124">
        <v>5770</v>
      </c>
      <c r="D122" s="124">
        <v>1270</v>
      </c>
      <c r="E122" s="124">
        <v>0</v>
      </c>
      <c r="F122" s="124">
        <v>0</v>
      </c>
      <c r="G122" s="124">
        <v>0</v>
      </c>
      <c r="H122" s="125">
        <v>0</v>
      </c>
      <c r="I122" s="124">
        <v>0</v>
      </c>
      <c r="J122" s="124">
        <v>0</v>
      </c>
      <c r="K122" s="124">
        <v>0</v>
      </c>
      <c r="L122" s="124">
        <v>0</v>
      </c>
      <c r="M122" s="124">
        <v>0</v>
      </c>
    </row>
    <row r="123" spans="1:13">
      <c r="A123" s="124">
        <v>1355000</v>
      </c>
      <c r="B123" s="124">
        <v>1360000</v>
      </c>
      <c r="C123" s="124">
        <v>5870</v>
      </c>
      <c r="D123" s="124">
        <v>1370</v>
      </c>
      <c r="E123" s="124">
        <v>0</v>
      </c>
      <c r="F123" s="124">
        <v>0</v>
      </c>
      <c r="G123" s="124">
        <v>0</v>
      </c>
      <c r="H123" s="125">
        <v>0</v>
      </c>
      <c r="I123" s="124">
        <v>0</v>
      </c>
      <c r="J123" s="124">
        <v>0</v>
      </c>
      <c r="K123" s="124">
        <v>0</v>
      </c>
      <c r="L123" s="124">
        <v>0</v>
      </c>
      <c r="M123" s="124">
        <v>0</v>
      </c>
    </row>
    <row r="124" spans="1:13">
      <c r="A124" s="124">
        <v>1360000</v>
      </c>
      <c r="B124" s="124">
        <v>1365000</v>
      </c>
      <c r="C124" s="124">
        <v>5980</v>
      </c>
      <c r="D124" s="124">
        <v>1480</v>
      </c>
      <c r="E124" s="124">
        <v>0</v>
      </c>
      <c r="F124" s="124">
        <v>0</v>
      </c>
      <c r="G124" s="124">
        <v>0</v>
      </c>
      <c r="H124" s="125">
        <v>0</v>
      </c>
      <c r="I124" s="124">
        <v>0</v>
      </c>
      <c r="J124" s="124">
        <v>0</v>
      </c>
      <c r="K124" s="124">
        <v>0</v>
      </c>
      <c r="L124" s="124">
        <v>0</v>
      </c>
      <c r="M124" s="124">
        <v>0</v>
      </c>
    </row>
    <row r="125" spans="1:13">
      <c r="A125" s="124">
        <v>1365000</v>
      </c>
      <c r="B125" s="124">
        <v>1370000</v>
      </c>
      <c r="C125" s="124">
        <v>6080</v>
      </c>
      <c r="D125" s="124">
        <v>1580</v>
      </c>
      <c r="E125" s="124">
        <v>0</v>
      </c>
      <c r="F125" s="124">
        <v>0</v>
      </c>
      <c r="G125" s="124">
        <v>0</v>
      </c>
      <c r="H125" s="125">
        <v>0</v>
      </c>
      <c r="I125" s="124">
        <v>0</v>
      </c>
      <c r="J125" s="124">
        <v>0</v>
      </c>
      <c r="K125" s="124">
        <v>0</v>
      </c>
      <c r="L125" s="124">
        <v>0</v>
      </c>
      <c r="M125" s="124">
        <v>0</v>
      </c>
    </row>
    <row r="126" spans="1:13">
      <c r="A126" s="124">
        <v>1370000</v>
      </c>
      <c r="B126" s="124">
        <v>1375000</v>
      </c>
      <c r="C126" s="124">
        <v>6180</v>
      </c>
      <c r="D126" s="124">
        <v>1680</v>
      </c>
      <c r="E126" s="124">
        <v>0</v>
      </c>
      <c r="F126" s="124">
        <v>0</v>
      </c>
      <c r="G126" s="124">
        <v>0</v>
      </c>
      <c r="H126" s="125">
        <v>0</v>
      </c>
      <c r="I126" s="124">
        <v>0</v>
      </c>
      <c r="J126" s="124">
        <v>0</v>
      </c>
      <c r="K126" s="124">
        <v>0</v>
      </c>
      <c r="L126" s="124">
        <v>0</v>
      </c>
      <c r="M126" s="124">
        <v>0</v>
      </c>
    </row>
    <row r="127" spans="1:13">
      <c r="A127" s="124">
        <v>1375000</v>
      </c>
      <c r="B127" s="124">
        <v>1380000</v>
      </c>
      <c r="C127" s="124">
        <v>6290</v>
      </c>
      <c r="D127" s="124">
        <v>1790</v>
      </c>
      <c r="E127" s="124">
        <v>0</v>
      </c>
      <c r="F127" s="124">
        <v>0</v>
      </c>
      <c r="G127" s="124">
        <v>0</v>
      </c>
      <c r="H127" s="125">
        <v>0</v>
      </c>
      <c r="I127" s="124">
        <v>0</v>
      </c>
      <c r="J127" s="124">
        <v>0</v>
      </c>
      <c r="K127" s="124">
        <v>0</v>
      </c>
      <c r="L127" s="124">
        <v>0</v>
      </c>
      <c r="M127" s="124">
        <v>0</v>
      </c>
    </row>
    <row r="128" spans="1:13">
      <c r="A128" s="124">
        <v>1380000</v>
      </c>
      <c r="B128" s="124">
        <v>1385000</v>
      </c>
      <c r="C128" s="124">
        <v>6390</v>
      </c>
      <c r="D128" s="124">
        <v>1890</v>
      </c>
      <c r="E128" s="124">
        <v>0</v>
      </c>
      <c r="F128" s="124">
        <v>0</v>
      </c>
      <c r="G128" s="124">
        <v>0</v>
      </c>
      <c r="H128" s="125">
        <v>0</v>
      </c>
      <c r="I128" s="124">
        <v>0</v>
      </c>
      <c r="J128" s="124">
        <v>0</v>
      </c>
      <c r="K128" s="124">
        <v>0</v>
      </c>
      <c r="L128" s="124">
        <v>0</v>
      </c>
      <c r="M128" s="124">
        <v>0</v>
      </c>
    </row>
    <row r="129" spans="1:13">
      <c r="A129" s="124">
        <v>1385000</v>
      </c>
      <c r="B129" s="124">
        <v>1390000</v>
      </c>
      <c r="C129" s="124">
        <v>6490</v>
      </c>
      <c r="D129" s="124">
        <v>1990</v>
      </c>
      <c r="E129" s="124">
        <v>0</v>
      </c>
      <c r="F129" s="124">
        <v>0</v>
      </c>
      <c r="G129" s="124">
        <v>0</v>
      </c>
      <c r="H129" s="125">
        <v>0</v>
      </c>
      <c r="I129" s="124">
        <v>0</v>
      </c>
      <c r="J129" s="124">
        <v>0</v>
      </c>
      <c r="K129" s="124">
        <v>0</v>
      </c>
      <c r="L129" s="124">
        <v>0</v>
      </c>
      <c r="M129" s="124">
        <v>0</v>
      </c>
    </row>
    <row r="130" spans="1:13">
      <c r="A130" s="124">
        <v>1390000</v>
      </c>
      <c r="B130" s="124">
        <v>1395000</v>
      </c>
      <c r="C130" s="124">
        <v>6600</v>
      </c>
      <c r="D130" s="124">
        <v>2100</v>
      </c>
      <c r="E130" s="124">
        <v>0</v>
      </c>
      <c r="F130" s="124">
        <v>0</v>
      </c>
      <c r="G130" s="124">
        <v>0</v>
      </c>
      <c r="H130" s="125">
        <v>0</v>
      </c>
      <c r="I130" s="124">
        <v>0</v>
      </c>
      <c r="J130" s="124">
        <v>0</v>
      </c>
      <c r="K130" s="124">
        <v>0</v>
      </c>
      <c r="L130" s="124">
        <v>0</v>
      </c>
      <c r="M130" s="124">
        <v>0</v>
      </c>
    </row>
    <row r="131" spans="1:13">
      <c r="A131" s="124">
        <v>1395000</v>
      </c>
      <c r="B131" s="124">
        <v>1400000</v>
      </c>
      <c r="C131" s="124">
        <v>6700</v>
      </c>
      <c r="D131" s="124">
        <v>2200</v>
      </c>
      <c r="E131" s="124">
        <v>0</v>
      </c>
      <c r="F131" s="124">
        <v>0</v>
      </c>
      <c r="G131" s="124">
        <v>0</v>
      </c>
      <c r="H131" s="125">
        <v>0</v>
      </c>
      <c r="I131" s="124">
        <v>0</v>
      </c>
      <c r="J131" s="124">
        <v>0</v>
      </c>
      <c r="K131" s="124">
        <v>0</v>
      </c>
      <c r="L131" s="124">
        <v>0</v>
      </c>
      <c r="M131" s="124">
        <v>0</v>
      </c>
    </row>
    <row r="132" spans="1:13">
      <c r="A132" s="124">
        <v>1400000</v>
      </c>
      <c r="B132" s="124">
        <v>1405000</v>
      </c>
      <c r="C132" s="124">
        <v>6800</v>
      </c>
      <c r="D132" s="124">
        <v>2300</v>
      </c>
      <c r="E132" s="124">
        <v>0</v>
      </c>
      <c r="F132" s="124">
        <v>0</v>
      </c>
      <c r="G132" s="124">
        <v>0</v>
      </c>
      <c r="H132" s="125">
        <v>0</v>
      </c>
      <c r="I132" s="124">
        <v>0</v>
      </c>
      <c r="J132" s="124">
        <v>0</v>
      </c>
      <c r="K132" s="124">
        <v>0</v>
      </c>
      <c r="L132" s="124">
        <v>0</v>
      </c>
      <c r="M132" s="124">
        <v>0</v>
      </c>
    </row>
    <row r="133" spans="1:13">
      <c r="A133" s="124">
        <v>1405000</v>
      </c>
      <c r="B133" s="124">
        <v>1410000</v>
      </c>
      <c r="C133" s="124">
        <v>6910</v>
      </c>
      <c r="D133" s="124">
        <v>2410</v>
      </c>
      <c r="E133" s="124">
        <v>0</v>
      </c>
      <c r="F133" s="124">
        <v>0</v>
      </c>
      <c r="G133" s="124">
        <v>0</v>
      </c>
      <c r="H133" s="125">
        <v>0</v>
      </c>
      <c r="I133" s="124">
        <v>0</v>
      </c>
      <c r="J133" s="124">
        <v>0</v>
      </c>
      <c r="K133" s="124">
        <v>0</v>
      </c>
      <c r="L133" s="124">
        <v>0</v>
      </c>
      <c r="M133" s="124">
        <v>0</v>
      </c>
    </row>
    <row r="134" spans="1:13">
      <c r="A134" s="124">
        <v>1410000</v>
      </c>
      <c r="B134" s="124">
        <v>1415000</v>
      </c>
      <c r="C134" s="124">
        <v>7010</v>
      </c>
      <c r="D134" s="124">
        <v>2510</v>
      </c>
      <c r="E134" s="124">
        <v>0</v>
      </c>
      <c r="F134" s="124">
        <v>0</v>
      </c>
      <c r="G134" s="124">
        <v>0</v>
      </c>
      <c r="H134" s="125">
        <v>0</v>
      </c>
      <c r="I134" s="124">
        <v>0</v>
      </c>
      <c r="J134" s="124">
        <v>0</v>
      </c>
      <c r="K134" s="124">
        <v>0</v>
      </c>
      <c r="L134" s="124">
        <v>0</v>
      </c>
      <c r="M134" s="124">
        <v>0</v>
      </c>
    </row>
    <row r="135" spans="1:13">
      <c r="A135" s="124">
        <v>1415000</v>
      </c>
      <c r="B135" s="124">
        <v>1420000</v>
      </c>
      <c r="C135" s="124">
        <v>7110</v>
      </c>
      <c r="D135" s="124">
        <v>2610</v>
      </c>
      <c r="E135" s="124">
        <v>0</v>
      </c>
      <c r="F135" s="124">
        <v>0</v>
      </c>
      <c r="G135" s="124">
        <v>0</v>
      </c>
      <c r="H135" s="125">
        <v>0</v>
      </c>
      <c r="I135" s="124">
        <v>0</v>
      </c>
      <c r="J135" s="124">
        <v>0</v>
      </c>
      <c r="K135" s="124">
        <v>0</v>
      </c>
      <c r="L135" s="124">
        <v>0</v>
      </c>
      <c r="M135" s="124">
        <v>0</v>
      </c>
    </row>
    <row r="136" spans="1:13">
      <c r="A136" s="124">
        <v>1420000</v>
      </c>
      <c r="B136" s="124">
        <v>1425000</v>
      </c>
      <c r="C136" s="124">
        <v>7210</v>
      </c>
      <c r="D136" s="124">
        <v>2710</v>
      </c>
      <c r="E136" s="124">
        <v>0</v>
      </c>
      <c r="F136" s="124">
        <v>0</v>
      </c>
      <c r="G136" s="124">
        <v>0</v>
      </c>
      <c r="H136" s="125">
        <v>0</v>
      </c>
      <c r="I136" s="124">
        <v>0</v>
      </c>
      <c r="J136" s="124">
        <v>0</v>
      </c>
      <c r="K136" s="124">
        <v>0</v>
      </c>
      <c r="L136" s="124">
        <v>0</v>
      </c>
      <c r="M136" s="124">
        <v>0</v>
      </c>
    </row>
    <row r="137" spans="1:13">
      <c r="A137" s="124">
        <v>1425000</v>
      </c>
      <c r="B137" s="124">
        <v>1430000</v>
      </c>
      <c r="C137" s="124">
        <v>7320</v>
      </c>
      <c r="D137" s="124">
        <v>2820</v>
      </c>
      <c r="E137" s="124">
        <v>0</v>
      </c>
      <c r="F137" s="124">
        <v>0</v>
      </c>
      <c r="G137" s="124">
        <v>0</v>
      </c>
      <c r="H137" s="125">
        <v>0</v>
      </c>
      <c r="I137" s="124">
        <v>0</v>
      </c>
      <c r="J137" s="124">
        <v>0</v>
      </c>
      <c r="K137" s="124">
        <v>0</v>
      </c>
      <c r="L137" s="124">
        <v>0</v>
      </c>
      <c r="M137" s="124">
        <v>0</v>
      </c>
    </row>
    <row r="138" spans="1:13">
      <c r="A138" s="124">
        <v>1430000</v>
      </c>
      <c r="B138" s="124">
        <v>1435000</v>
      </c>
      <c r="C138" s="124">
        <v>7420</v>
      </c>
      <c r="D138" s="124">
        <v>2920</v>
      </c>
      <c r="E138" s="124">
        <v>0</v>
      </c>
      <c r="F138" s="124">
        <v>0</v>
      </c>
      <c r="G138" s="124">
        <v>0</v>
      </c>
      <c r="H138" s="125">
        <v>0</v>
      </c>
      <c r="I138" s="124">
        <v>0</v>
      </c>
      <c r="J138" s="124">
        <v>0</v>
      </c>
      <c r="K138" s="124">
        <v>0</v>
      </c>
      <c r="L138" s="124">
        <v>0</v>
      </c>
      <c r="M138" s="124">
        <v>0</v>
      </c>
    </row>
    <row r="139" spans="1:13">
      <c r="A139" s="124">
        <v>1435000</v>
      </c>
      <c r="B139" s="124">
        <v>1440000</v>
      </c>
      <c r="C139" s="124">
        <v>7520</v>
      </c>
      <c r="D139" s="124">
        <v>3020</v>
      </c>
      <c r="E139" s="124">
        <v>0</v>
      </c>
      <c r="F139" s="124">
        <v>0</v>
      </c>
      <c r="G139" s="124">
        <v>0</v>
      </c>
      <c r="H139" s="125">
        <v>0</v>
      </c>
      <c r="I139" s="124">
        <v>0</v>
      </c>
      <c r="J139" s="124">
        <v>0</v>
      </c>
      <c r="K139" s="124">
        <v>0</v>
      </c>
      <c r="L139" s="124">
        <v>0</v>
      </c>
      <c r="M139" s="124">
        <v>0</v>
      </c>
    </row>
    <row r="140" spans="1:13">
      <c r="A140" s="124">
        <v>1440000</v>
      </c>
      <c r="B140" s="124">
        <v>1445000</v>
      </c>
      <c r="C140" s="124">
        <v>7630</v>
      </c>
      <c r="D140" s="124">
        <v>3130</v>
      </c>
      <c r="E140" s="124">
        <v>0</v>
      </c>
      <c r="F140" s="124">
        <v>0</v>
      </c>
      <c r="G140" s="124">
        <v>0</v>
      </c>
      <c r="H140" s="125">
        <v>0</v>
      </c>
      <c r="I140" s="124">
        <v>0</v>
      </c>
      <c r="J140" s="124">
        <v>0</v>
      </c>
      <c r="K140" s="124">
        <v>0</v>
      </c>
      <c r="L140" s="124">
        <v>0</v>
      </c>
      <c r="M140" s="124">
        <v>0</v>
      </c>
    </row>
    <row r="141" spans="1:13">
      <c r="A141" s="124">
        <v>1445000</v>
      </c>
      <c r="B141" s="124">
        <v>1450000</v>
      </c>
      <c r="C141" s="124">
        <v>7730</v>
      </c>
      <c r="D141" s="124">
        <v>3230</v>
      </c>
      <c r="E141" s="124">
        <v>0</v>
      </c>
      <c r="F141" s="124">
        <v>0</v>
      </c>
      <c r="G141" s="124">
        <v>0</v>
      </c>
      <c r="H141" s="125">
        <v>0</v>
      </c>
      <c r="I141" s="124">
        <v>0</v>
      </c>
      <c r="J141" s="124">
        <v>0</v>
      </c>
      <c r="K141" s="124">
        <v>0</v>
      </c>
      <c r="L141" s="124">
        <v>0</v>
      </c>
      <c r="M141" s="124">
        <v>0</v>
      </c>
    </row>
    <row r="142" spans="1:13">
      <c r="A142" s="124">
        <v>1450000</v>
      </c>
      <c r="B142" s="124">
        <v>1455000</v>
      </c>
      <c r="C142" s="124">
        <v>7830</v>
      </c>
      <c r="D142" s="124">
        <v>3330</v>
      </c>
      <c r="E142" s="124">
        <v>0</v>
      </c>
      <c r="F142" s="124">
        <v>0</v>
      </c>
      <c r="G142" s="124">
        <v>0</v>
      </c>
      <c r="H142" s="125">
        <v>0</v>
      </c>
      <c r="I142" s="124">
        <v>0</v>
      </c>
      <c r="J142" s="124">
        <v>0</v>
      </c>
      <c r="K142" s="124">
        <v>0</v>
      </c>
      <c r="L142" s="124">
        <v>0</v>
      </c>
      <c r="M142" s="124">
        <v>0</v>
      </c>
    </row>
    <row r="143" spans="1:13">
      <c r="A143" s="124">
        <v>1455000</v>
      </c>
      <c r="B143" s="124">
        <v>1460000</v>
      </c>
      <c r="C143" s="124">
        <v>7940</v>
      </c>
      <c r="D143" s="124">
        <v>3440</v>
      </c>
      <c r="E143" s="124">
        <v>0</v>
      </c>
      <c r="F143" s="124">
        <v>0</v>
      </c>
      <c r="G143" s="124">
        <v>0</v>
      </c>
      <c r="H143" s="125">
        <v>0</v>
      </c>
      <c r="I143" s="124">
        <v>0</v>
      </c>
      <c r="J143" s="124">
        <v>0</v>
      </c>
      <c r="K143" s="124">
        <v>0</v>
      </c>
      <c r="L143" s="124">
        <v>0</v>
      </c>
      <c r="M143" s="124">
        <v>0</v>
      </c>
    </row>
    <row r="144" spans="1:13">
      <c r="A144" s="124">
        <v>1460000</v>
      </c>
      <c r="B144" s="124">
        <v>1465000</v>
      </c>
      <c r="C144" s="124">
        <v>8040</v>
      </c>
      <c r="D144" s="124">
        <v>3540</v>
      </c>
      <c r="E144" s="124">
        <v>0</v>
      </c>
      <c r="F144" s="124">
        <v>0</v>
      </c>
      <c r="G144" s="124">
        <v>0</v>
      </c>
      <c r="H144" s="125">
        <v>0</v>
      </c>
      <c r="I144" s="124">
        <v>0</v>
      </c>
      <c r="J144" s="124">
        <v>0</v>
      </c>
      <c r="K144" s="124">
        <v>0</v>
      </c>
      <c r="L144" s="124">
        <v>0</v>
      </c>
      <c r="M144" s="124">
        <v>0</v>
      </c>
    </row>
    <row r="145" spans="1:13">
      <c r="A145" s="124">
        <v>1465000</v>
      </c>
      <c r="B145" s="124">
        <v>1470000</v>
      </c>
      <c r="C145" s="124">
        <v>8140</v>
      </c>
      <c r="D145" s="124">
        <v>3640</v>
      </c>
      <c r="E145" s="124">
        <v>0</v>
      </c>
      <c r="F145" s="124">
        <v>0</v>
      </c>
      <c r="G145" s="124">
        <v>0</v>
      </c>
      <c r="H145" s="125">
        <v>0</v>
      </c>
      <c r="I145" s="124">
        <v>0</v>
      </c>
      <c r="J145" s="124">
        <v>0</v>
      </c>
      <c r="K145" s="124">
        <v>0</v>
      </c>
      <c r="L145" s="124">
        <v>0</v>
      </c>
      <c r="M145" s="124">
        <v>0</v>
      </c>
    </row>
    <row r="146" spans="1:13">
      <c r="A146" s="124">
        <v>1470000</v>
      </c>
      <c r="B146" s="124">
        <v>1475000</v>
      </c>
      <c r="C146" s="124">
        <v>8250</v>
      </c>
      <c r="D146" s="124">
        <v>3750</v>
      </c>
      <c r="E146" s="124">
        <v>0</v>
      </c>
      <c r="F146" s="124">
        <v>0</v>
      </c>
      <c r="G146" s="124">
        <v>0</v>
      </c>
      <c r="H146" s="125">
        <v>0</v>
      </c>
      <c r="I146" s="124">
        <v>0</v>
      </c>
      <c r="J146" s="124">
        <v>0</v>
      </c>
      <c r="K146" s="124">
        <v>0</v>
      </c>
      <c r="L146" s="124">
        <v>0</v>
      </c>
      <c r="M146" s="124">
        <v>0</v>
      </c>
    </row>
    <row r="147" spans="1:13">
      <c r="A147" s="124">
        <v>1475000</v>
      </c>
      <c r="B147" s="124">
        <v>1480000</v>
      </c>
      <c r="C147" s="124">
        <v>8350</v>
      </c>
      <c r="D147" s="124">
        <v>3850</v>
      </c>
      <c r="E147" s="124">
        <v>0</v>
      </c>
      <c r="F147" s="124">
        <v>0</v>
      </c>
      <c r="G147" s="124">
        <v>0</v>
      </c>
      <c r="H147" s="125">
        <v>0</v>
      </c>
      <c r="I147" s="124">
        <v>0</v>
      </c>
      <c r="J147" s="124">
        <v>0</v>
      </c>
      <c r="K147" s="124">
        <v>0</v>
      </c>
      <c r="L147" s="124">
        <v>0</v>
      </c>
      <c r="M147" s="124">
        <v>0</v>
      </c>
    </row>
    <row r="148" spans="1:13">
      <c r="A148" s="124">
        <v>1480000</v>
      </c>
      <c r="B148" s="124">
        <v>1485000</v>
      </c>
      <c r="C148" s="124">
        <v>8450</v>
      </c>
      <c r="D148" s="124">
        <v>3950</v>
      </c>
      <c r="E148" s="124">
        <v>0</v>
      </c>
      <c r="F148" s="124">
        <v>0</v>
      </c>
      <c r="G148" s="124">
        <v>0</v>
      </c>
      <c r="H148" s="125">
        <v>0</v>
      </c>
      <c r="I148" s="124">
        <v>0</v>
      </c>
      <c r="J148" s="124">
        <v>0</v>
      </c>
      <c r="K148" s="124">
        <v>0</v>
      </c>
      <c r="L148" s="124">
        <v>0</v>
      </c>
      <c r="M148" s="124">
        <v>0</v>
      </c>
    </row>
    <row r="149" spans="1:13">
      <c r="A149" s="124">
        <v>1485000</v>
      </c>
      <c r="B149" s="124">
        <v>1490000</v>
      </c>
      <c r="C149" s="124">
        <v>8560</v>
      </c>
      <c r="D149" s="124">
        <v>4060</v>
      </c>
      <c r="E149" s="124">
        <v>0</v>
      </c>
      <c r="F149" s="124">
        <v>0</v>
      </c>
      <c r="G149" s="124">
        <v>0</v>
      </c>
      <c r="H149" s="125">
        <v>0</v>
      </c>
      <c r="I149" s="124">
        <v>0</v>
      </c>
      <c r="J149" s="124">
        <v>0</v>
      </c>
      <c r="K149" s="124">
        <v>0</v>
      </c>
      <c r="L149" s="124">
        <v>0</v>
      </c>
      <c r="M149" s="124">
        <v>0</v>
      </c>
    </row>
    <row r="150" spans="1:13">
      <c r="A150" s="124">
        <v>1490000</v>
      </c>
      <c r="B150" s="124">
        <v>1495000</v>
      </c>
      <c r="C150" s="124">
        <v>8660</v>
      </c>
      <c r="D150" s="124">
        <v>4160</v>
      </c>
      <c r="E150" s="124">
        <v>0</v>
      </c>
      <c r="F150" s="124">
        <v>0</v>
      </c>
      <c r="G150" s="124">
        <v>0</v>
      </c>
      <c r="H150" s="125">
        <v>0</v>
      </c>
      <c r="I150" s="124">
        <v>0</v>
      </c>
      <c r="J150" s="124">
        <v>0</v>
      </c>
      <c r="K150" s="124">
        <v>0</v>
      </c>
      <c r="L150" s="124">
        <v>0</v>
      </c>
      <c r="M150" s="124">
        <v>0</v>
      </c>
    </row>
    <row r="151" spans="1:13">
      <c r="A151" s="124">
        <v>1495000</v>
      </c>
      <c r="B151" s="124">
        <v>1500000</v>
      </c>
      <c r="C151" s="124">
        <v>8760</v>
      </c>
      <c r="D151" s="124">
        <v>4260</v>
      </c>
      <c r="E151" s="124">
        <v>0</v>
      </c>
      <c r="F151" s="124">
        <v>0</v>
      </c>
      <c r="G151" s="124">
        <v>0</v>
      </c>
      <c r="H151" s="125">
        <v>0</v>
      </c>
      <c r="I151" s="124">
        <v>0</v>
      </c>
      <c r="J151" s="124">
        <v>0</v>
      </c>
      <c r="K151" s="124">
        <v>0</v>
      </c>
      <c r="L151" s="124">
        <v>0</v>
      </c>
      <c r="M151" s="124">
        <v>0</v>
      </c>
    </row>
    <row r="152" spans="1:13">
      <c r="A152" s="124">
        <v>1500000</v>
      </c>
      <c r="B152" s="124">
        <v>1510000</v>
      </c>
      <c r="C152" s="124">
        <v>8920</v>
      </c>
      <c r="D152" s="124">
        <v>4420</v>
      </c>
      <c r="E152" s="124">
        <v>0</v>
      </c>
      <c r="F152" s="124">
        <v>0</v>
      </c>
      <c r="G152" s="124">
        <v>0</v>
      </c>
      <c r="H152" s="125">
        <v>0</v>
      </c>
      <c r="I152" s="124">
        <v>0</v>
      </c>
      <c r="J152" s="124">
        <v>0</v>
      </c>
      <c r="K152" s="124">
        <v>0</v>
      </c>
      <c r="L152" s="124">
        <v>0</v>
      </c>
      <c r="M152" s="124">
        <v>0</v>
      </c>
    </row>
    <row r="153" spans="1:13">
      <c r="A153" s="124">
        <v>1510000</v>
      </c>
      <c r="B153" s="124">
        <v>1520000</v>
      </c>
      <c r="C153" s="124">
        <v>9120</v>
      </c>
      <c r="D153" s="124">
        <v>4620</v>
      </c>
      <c r="E153" s="124">
        <v>0</v>
      </c>
      <c r="F153" s="124">
        <v>0</v>
      </c>
      <c r="G153" s="124">
        <v>0</v>
      </c>
      <c r="H153" s="125">
        <v>0</v>
      </c>
      <c r="I153" s="124">
        <v>0</v>
      </c>
      <c r="J153" s="124">
        <v>0</v>
      </c>
      <c r="K153" s="124">
        <v>0</v>
      </c>
      <c r="L153" s="124">
        <v>0</v>
      </c>
      <c r="M153" s="124">
        <v>0</v>
      </c>
    </row>
    <row r="154" spans="1:13">
      <c r="A154" s="124">
        <v>1520000</v>
      </c>
      <c r="B154" s="124">
        <v>1530000</v>
      </c>
      <c r="C154" s="124">
        <v>9330</v>
      </c>
      <c r="D154" s="124">
        <v>4830</v>
      </c>
      <c r="E154" s="124">
        <v>0</v>
      </c>
      <c r="F154" s="124">
        <v>0</v>
      </c>
      <c r="G154" s="124">
        <v>0</v>
      </c>
      <c r="H154" s="125">
        <v>0</v>
      </c>
      <c r="I154" s="124">
        <v>0</v>
      </c>
      <c r="J154" s="124">
        <v>0</v>
      </c>
      <c r="K154" s="124">
        <v>0</v>
      </c>
      <c r="L154" s="124">
        <v>0</v>
      </c>
      <c r="M154" s="124">
        <v>0</v>
      </c>
    </row>
    <row r="155" spans="1:13">
      <c r="A155" s="124">
        <v>1530000</v>
      </c>
      <c r="B155" s="124">
        <v>1540000</v>
      </c>
      <c r="C155" s="124">
        <v>9540</v>
      </c>
      <c r="D155" s="124">
        <v>5040</v>
      </c>
      <c r="E155" s="124">
        <v>0</v>
      </c>
      <c r="F155" s="124">
        <v>0</v>
      </c>
      <c r="G155" s="124">
        <v>0</v>
      </c>
      <c r="H155" s="125">
        <v>0</v>
      </c>
      <c r="I155" s="124">
        <v>0</v>
      </c>
      <c r="J155" s="124">
        <v>0</v>
      </c>
      <c r="K155" s="124">
        <v>0</v>
      </c>
      <c r="L155" s="124">
        <v>0</v>
      </c>
      <c r="M155" s="124">
        <v>0</v>
      </c>
    </row>
    <row r="156" spans="1:13">
      <c r="A156" s="124">
        <v>1540000</v>
      </c>
      <c r="B156" s="124">
        <v>1550000</v>
      </c>
      <c r="C156" s="124">
        <v>9740</v>
      </c>
      <c r="D156" s="124">
        <v>5240</v>
      </c>
      <c r="E156" s="124">
        <v>0</v>
      </c>
      <c r="F156" s="124">
        <v>0</v>
      </c>
      <c r="G156" s="124">
        <v>0</v>
      </c>
      <c r="H156" s="125">
        <v>0</v>
      </c>
      <c r="I156" s="124">
        <v>0</v>
      </c>
      <c r="J156" s="124">
        <v>0</v>
      </c>
      <c r="K156" s="124">
        <v>0</v>
      </c>
      <c r="L156" s="124">
        <v>0</v>
      </c>
      <c r="M156" s="124">
        <v>0</v>
      </c>
    </row>
    <row r="157" spans="1:13">
      <c r="A157" s="124">
        <v>1550000</v>
      </c>
      <c r="B157" s="124">
        <v>1560000</v>
      </c>
      <c r="C157" s="124">
        <v>9950</v>
      </c>
      <c r="D157" s="124">
        <v>5450</v>
      </c>
      <c r="E157" s="124">
        <v>0</v>
      </c>
      <c r="F157" s="124">
        <v>0</v>
      </c>
      <c r="G157" s="124">
        <v>0</v>
      </c>
      <c r="H157" s="125">
        <v>0</v>
      </c>
      <c r="I157" s="124">
        <v>0</v>
      </c>
      <c r="J157" s="124">
        <v>0</v>
      </c>
      <c r="K157" s="124">
        <v>0</v>
      </c>
      <c r="L157" s="124">
        <v>0</v>
      </c>
      <c r="M157" s="124">
        <v>0</v>
      </c>
    </row>
    <row r="158" spans="1:13">
      <c r="A158" s="124">
        <v>1560000</v>
      </c>
      <c r="B158" s="124">
        <v>1570000</v>
      </c>
      <c r="C158" s="124">
        <v>10160</v>
      </c>
      <c r="D158" s="124">
        <v>5660</v>
      </c>
      <c r="E158" s="124">
        <v>0</v>
      </c>
      <c r="F158" s="124">
        <v>0</v>
      </c>
      <c r="G158" s="124">
        <v>0</v>
      </c>
      <c r="H158" s="125">
        <v>0</v>
      </c>
      <c r="I158" s="124">
        <v>0</v>
      </c>
      <c r="J158" s="124">
        <v>0</v>
      </c>
      <c r="K158" s="124">
        <v>0</v>
      </c>
      <c r="L158" s="124">
        <v>0</v>
      </c>
      <c r="M158" s="124">
        <v>0</v>
      </c>
    </row>
    <row r="159" spans="1:13">
      <c r="A159" s="124">
        <v>1570000</v>
      </c>
      <c r="B159" s="124">
        <v>1580000</v>
      </c>
      <c r="C159" s="124">
        <v>10360</v>
      </c>
      <c r="D159" s="124">
        <v>5860</v>
      </c>
      <c r="E159" s="124">
        <v>0</v>
      </c>
      <c r="F159" s="124">
        <v>0</v>
      </c>
      <c r="G159" s="124">
        <v>0</v>
      </c>
      <c r="H159" s="125">
        <v>0</v>
      </c>
      <c r="I159" s="124">
        <v>0</v>
      </c>
      <c r="J159" s="124">
        <v>0</v>
      </c>
      <c r="K159" s="124">
        <v>0</v>
      </c>
      <c r="L159" s="124">
        <v>0</v>
      </c>
      <c r="M159" s="124">
        <v>0</v>
      </c>
    </row>
    <row r="160" spans="1:13">
      <c r="A160" s="124">
        <v>1580000</v>
      </c>
      <c r="B160" s="124">
        <v>1590000</v>
      </c>
      <c r="C160" s="124">
        <v>10570</v>
      </c>
      <c r="D160" s="124">
        <v>6070</v>
      </c>
      <c r="E160" s="124">
        <v>0</v>
      </c>
      <c r="F160" s="124">
        <v>0</v>
      </c>
      <c r="G160" s="124">
        <v>0</v>
      </c>
      <c r="H160" s="125">
        <v>0</v>
      </c>
      <c r="I160" s="124">
        <v>0</v>
      </c>
      <c r="J160" s="124">
        <v>0</v>
      </c>
      <c r="K160" s="124">
        <v>0</v>
      </c>
      <c r="L160" s="124">
        <v>0</v>
      </c>
      <c r="M160" s="124">
        <v>0</v>
      </c>
    </row>
    <row r="161" spans="1:13">
      <c r="A161" s="124">
        <v>1590000</v>
      </c>
      <c r="B161" s="124">
        <v>1600000</v>
      </c>
      <c r="C161" s="124">
        <v>10780</v>
      </c>
      <c r="D161" s="124">
        <v>6280</v>
      </c>
      <c r="E161" s="124">
        <v>0</v>
      </c>
      <c r="F161" s="124">
        <v>0</v>
      </c>
      <c r="G161" s="124">
        <v>0</v>
      </c>
      <c r="H161" s="125">
        <v>0</v>
      </c>
      <c r="I161" s="124">
        <v>0</v>
      </c>
      <c r="J161" s="124">
        <v>0</v>
      </c>
      <c r="K161" s="124">
        <v>0</v>
      </c>
      <c r="L161" s="124">
        <v>0</v>
      </c>
      <c r="M161" s="124">
        <v>0</v>
      </c>
    </row>
    <row r="162" spans="1:13">
      <c r="A162" s="124">
        <v>1600000</v>
      </c>
      <c r="B162" s="124">
        <v>1610000</v>
      </c>
      <c r="C162" s="124">
        <v>10980</v>
      </c>
      <c r="D162" s="124">
        <v>6480</v>
      </c>
      <c r="E162" s="124">
        <v>0</v>
      </c>
      <c r="F162" s="124">
        <v>0</v>
      </c>
      <c r="G162" s="124">
        <v>0</v>
      </c>
      <c r="H162" s="125">
        <v>0</v>
      </c>
      <c r="I162" s="124">
        <v>0</v>
      </c>
      <c r="J162" s="124">
        <v>0</v>
      </c>
      <c r="K162" s="124">
        <v>0</v>
      </c>
      <c r="L162" s="124">
        <v>0</v>
      </c>
      <c r="M162" s="124">
        <v>0</v>
      </c>
    </row>
    <row r="163" spans="1:13">
      <c r="A163" s="124">
        <v>1610000</v>
      </c>
      <c r="B163" s="124">
        <v>1620000</v>
      </c>
      <c r="C163" s="124">
        <v>11190</v>
      </c>
      <c r="D163" s="124">
        <v>6690</v>
      </c>
      <c r="E163" s="124">
        <v>0</v>
      </c>
      <c r="F163" s="124">
        <v>0</v>
      </c>
      <c r="G163" s="124">
        <v>0</v>
      </c>
      <c r="H163" s="125">
        <v>0</v>
      </c>
      <c r="I163" s="124">
        <v>0</v>
      </c>
      <c r="J163" s="124">
        <v>0</v>
      </c>
      <c r="K163" s="124">
        <v>0</v>
      </c>
      <c r="L163" s="124">
        <v>0</v>
      </c>
      <c r="M163" s="124">
        <v>0</v>
      </c>
    </row>
    <row r="164" spans="1:13">
      <c r="A164" s="124">
        <v>1620000</v>
      </c>
      <c r="B164" s="124">
        <v>1630000</v>
      </c>
      <c r="C164" s="124">
        <v>11400</v>
      </c>
      <c r="D164" s="124">
        <v>6900</v>
      </c>
      <c r="E164" s="124">
        <v>0</v>
      </c>
      <c r="F164" s="124">
        <v>0</v>
      </c>
      <c r="G164" s="124">
        <v>0</v>
      </c>
      <c r="H164" s="125">
        <v>0</v>
      </c>
      <c r="I164" s="124">
        <v>0</v>
      </c>
      <c r="J164" s="124">
        <v>0</v>
      </c>
      <c r="K164" s="124">
        <v>0</v>
      </c>
      <c r="L164" s="124">
        <v>0</v>
      </c>
      <c r="M164" s="124">
        <v>0</v>
      </c>
    </row>
    <row r="165" spans="1:13">
      <c r="A165" s="124">
        <v>1630000</v>
      </c>
      <c r="B165" s="124">
        <v>1640000</v>
      </c>
      <c r="C165" s="124">
        <v>11600</v>
      </c>
      <c r="D165" s="124">
        <v>7100</v>
      </c>
      <c r="E165" s="124">
        <v>0</v>
      </c>
      <c r="F165" s="124">
        <v>0</v>
      </c>
      <c r="G165" s="124">
        <v>0</v>
      </c>
      <c r="H165" s="125">
        <v>0</v>
      </c>
      <c r="I165" s="124">
        <v>0</v>
      </c>
      <c r="J165" s="124">
        <v>0</v>
      </c>
      <c r="K165" s="124">
        <v>0</v>
      </c>
      <c r="L165" s="124">
        <v>0</v>
      </c>
      <c r="M165" s="124">
        <v>0</v>
      </c>
    </row>
    <row r="166" spans="1:13">
      <c r="A166" s="124">
        <v>1640000</v>
      </c>
      <c r="B166" s="124">
        <v>1650000</v>
      </c>
      <c r="C166" s="124">
        <v>11810</v>
      </c>
      <c r="D166" s="124">
        <v>7310</v>
      </c>
      <c r="E166" s="124">
        <v>0</v>
      </c>
      <c r="F166" s="124">
        <v>0</v>
      </c>
      <c r="G166" s="124">
        <v>0</v>
      </c>
      <c r="H166" s="125">
        <v>0</v>
      </c>
      <c r="I166" s="124">
        <v>0</v>
      </c>
      <c r="J166" s="124">
        <v>0</v>
      </c>
      <c r="K166" s="124">
        <v>0</v>
      </c>
      <c r="L166" s="124">
        <v>0</v>
      </c>
      <c r="M166" s="124">
        <v>0</v>
      </c>
    </row>
    <row r="167" spans="1:13">
      <c r="A167" s="124">
        <v>1650000</v>
      </c>
      <c r="B167" s="124">
        <v>1660000</v>
      </c>
      <c r="C167" s="124">
        <v>12020</v>
      </c>
      <c r="D167" s="124">
        <v>7520</v>
      </c>
      <c r="E167" s="124">
        <v>0</v>
      </c>
      <c r="F167" s="124">
        <v>0</v>
      </c>
      <c r="G167" s="124">
        <v>0</v>
      </c>
      <c r="H167" s="125">
        <v>0</v>
      </c>
      <c r="I167" s="124">
        <v>0</v>
      </c>
      <c r="J167" s="124">
        <v>0</v>
      </c>
      <c r="K167" s="124">
        <v>0</v>
      </c>
      <c r="L167" s="124">
        <v>0</v>
      </c>
      <c r="M167" s="124">
        <v>0</v>
      </c>
    </row>
    <row r="168" spans="1:13">
      <c r="A168" s="124">
        <v>1660000</v>
      </c>
      <c r="B168" s="124">
        <v>1670000</v>
      </c>
      <c r="C168" s="124">
        <v>12220</v>
      </c>
      <c r="D168" s="124">
        <v>7720</v>
      </c>
      <c r="E168" s="124">
        <v>0</v>
      </c>
      <c r="F168" s="124">
        <v>0</v>
      </c>
      <c r="G168" s="124">
        <v>0</v>
      </c>
      <c r="H168" s="125">
        <v>0</v>
      </c>
      <c r="I168" s="124">
        <v>0</v>
      </c>
      <c r="J168" s="124">
        <v>0</v>
      </c>
      <c r="K168" s="124">
        <v>0</v>
      </c>
      <c r="L168" s="124">
        <v>0</v>
      </c>
      <c r="M168" s="124">
        <v>0</v>
      </c>
    </row>
    <row r="169" spans="1:13">
      <c r="A169" s="124">
        <v>1670000</v>
      </c>
      <c r="B169" s="124">
        <v>1680000</v>
      </c>
      <c r="C169" s="124">
        <v>12430</v>
      </c>
      <c r="D169" s="124">
        <v>7930</v>
      </c>
      <c r="E169" s="124">
        <v>0</v>
      </c>
      <c r="F169" s="124">
        <v>0</v>
      </c>
      <c r="G169" s="124">
        <v>0</v>
      </c>
      <c r="H169" s="125">
        <v>0</v>
      </c>
      <c r="I169" s="124">
        <v>0</v>
      </c>
      <c r="J169" s="124">
        <v>0</v>
      </c>
      <c r="K169" s="124">
        <v>0</v>
      </c>
      <c r="L169" s="124">
        <v>0</v>
      </c>
      <c r="M169" s="124">
        <v>0</v>
      </c>
    </row>
    <row r="170" spans="1:13">
      <c r="A170" s="124">
        <v>1680000</v>
      </c>
      <c r="B170" s="124">
        <v>1690000</v>
      </c>
      <c r="C170" s="124">
        <v>12640</v>
      </c>
      <c r="D170" s="124">
        <v>8140</v>
      </c>
      <c r="E170" s="124">
        <v>0</v>
      </c>
      <c r="F170" s="124">
        <v>0</v>
      </c>
      <c r="G170" s="124">
        <v>0</v>
      </c>
      <c r="H170" s="125">
        <v>0</v>
      </c>
      <c r="I170" s="124">
        <v>0</v>
      </c>
      <c r="J170" s="124">
        <v>0</v>
      </c>
      <c r="K170" s="124">
        <v>0</v>
      </c>
      <c r="L170" s="124">
        <v>0</v>
      </c>
      <c r="M170" s="124">
        <v>0</v>
      </c>
    </row>
    <row r="171" spans="1:13">
      <c r="A171" s="124">
        <v>1690000</v>
      </c>
      <c r="B171" s="124">
        <v>1700000</v>
      </c>
      <c r="C171" s="124">
        <v>12840</v>
      </c>
      <c r="D171" s="124">
        <v>8340</v>
      </c>
      <c r="E171" s="124">
        <v>0</v>
      </c>
      <c r="F171" s="124">
        <v>0</v>
      </c>
      <c r="G171" s="124">
        <v>0</v>
      </c>
      <c r="H171" s="125">
        <v>0</v>
      </c>
      <c r="I171" s="124">
        <v>0</v>
      </c>
      <c r="J171" s="124">
        <v>0</v>
      </c>
      <c r="K171" s="124">
        <v>0</v>
      </c>
      <c r="L171" s="124">
        <v>0</v>
      </c>
      <c r="M171" s="124">
        <v>0</v>
      </c>
    </row>
    <row r="172" spans="1:13">
      <c r="A172" s="124">
        <v>1700000</v>
      </c>
      <c r="B172" s="124">
        <v>1710000</v>
      </c>
      <c r="C172" s="124">
        <v>13050</v>
      </c>
      <c r="D172" s="124">
        <v>8550</v>
      </c>
      <c r="E172" s="124">
        <v>0</v>
      </c>
      <c r="F172" s="124">
        <v>0</v>
      </c>
      <c r="G172" s="124">
        <v>0</v>
      </c>
      <c r="H172" s="125">
        <v>0</v>
      </c>
      <c r="I172" s="124">
        <v>0</v>
      </c>
      <c r="J172" s="124">
        <v>0</v>
      </c>
      <c r="K172" s="124">
        <v>0</v>
      </c>
      <c r="L172" s="124">
        <v>0</v>
      </c>
      <c r="M172" s="124">
        <v>0</v>
      </c>
    </row>
    <row r="173" spans="1:13">
      <c r="A173" s="124">
        <v>1710000</v>
      </c>
      <c r="B173" s="124">
        <v>1720000</v>
      </c>
      <c r="C173" s="124">
        <v>13260</v>
      </c>
      <c r="D173" s="124">
        <v>8760</v>
      </c>
      <c r="E173" s="124">
        <v>0</v>
      </c>
      <c r="F173" s="124">
        <v>0</v>
      </c>
      <c r="G173" s="124">
        <v>0</v>
      </c>
      <c r="H173" s="125">
        <v>0</v>
      </c>
      <c r="I173" s="124">
        <v>0</v>
      </c>
      <c r="J173" s="124">
        <v>0</v>
      </c>
      <c r="K173" s="124">
        <v>0</v>
      </c>
      <c r="L173" s="124">
        <v>0</v>
      </c>
      <c r="M173" s="124">
        <v>0</v>
      </c>
    </row>
    <row r="174" spans="1:13">
      <c r="A174" s="124">
        <v>1720000</v>
      </c>
      <c r="B174" s="124">
        <v>1730000</v>
      </c>
      <c r="C174" s="124">
        <v>13460</v>
      </c>
      <c r="D174" s="124">
        <v>8960</v>
      </c>
      <c r="E174" s="124">
        <v>1040</v>
      </c>
      <c r="F174" s="124">
        <v>0</v>
      </c>
      <c r="G174" s="124">
        <v>0</v>
      </c>
      <c r="H174" s="125">
        <v>0</v>
      </c>
      <c r="I174" s="124">
        <v>0</v>
      </c>
      <c r="J174" s="124">
        <v>0</v>
      </c>
      <c r="K174" s="124">
        <v>0</v>
      </c>
      <c r="L174" s="124">
        <v>0</v>
      </c>
      <c r="M174" s="124">
        <v>0</v>
      </c>
    </row>
    <row r="175" spans="1:13">
      <c r="A175" s="124">
        <v>1730000</v>
      </c>
      <c r="B175" s="124">
        <v>1740000</v>
      </c>
      <c r="C175" s="124">
        <v>13670</v>
      </c>
      <c r="D175" s="124">
        <v>9170</v>
      </c>
      <c r="E175" s="124">
        <v>1240</v>
      </c>
      <c r="F175" s="124">
        <v>0</v>
      </c>
      <c r="G175" s="124">
        <v>0</v>
      </c>
      <c r="H175" s="125">
        <v>0</v>
      </c>
      <c r="I175" s="124">
        <v>0</v>
      </c>
      <c r="J175" s="124">
        <v>0</v>
      </c>
      <c r="K175" s="124">
        <v>0</v>
      </c>
      <c r="L175" s="124">
        <v>0</v>
      </c>
      <c r="M175" s="124">
        <v>0</v>
      </c>
    </row>
    <row r="176" spans="1:13">
      <c r="A176" s="124">
        <v>1740000</v>
      </c>
      <c r="B176" s="124">
        <v>1750000</v>
      </c>
      <c r="C176" s="124">
        <v>13880</v>
      </c>
      <c r="D176" s="124">
        <v>9380</v>
      </c>
      <c r="E176" s="124">
        <v>1440</v>
      </c>
      <c r="F176" s="124">
        <v>0</v>
      </c>
      <c r="G176" s="124">
        <v>0</v>
      </c>
      <c r="H176" s="125">
        <v>0</v>
      </c>
      <c r="I176" s="124">
        <v>0</v>
      </c>
      <c r="J176" s="124">
        <v>0</v>
      </c>
      <c r="K176" s="124">
        <v>0</v>
      </c>
      <c r="L176" s="124">
        <v>0</v>
      </c>
      <c r="M176" s="124">
        <v>0</v>
      </c>
    </row>
    <row r="177" spans="1:13">
      <c r="A177" s="124">
        <v>1750000</v>
      </c>
      <c r="B177" s="124">
        <v>1760000</v>
      </c>
      <c r="C177" s="124">
        <v>14080</v>
      </c>
      <c r="D177" s="124">
        <v>9580</v>
      </c>
      <c r="E177" s="124">
        <v>1640</v>
      </c>
      <c r="F177" s="124">
        <v>0</v>
      </c>
      <c r="G177" s="124">
        <v>0</v>
      </c>
      <c r="H177" s="125">
        <v>0</v>
      </c>
      <c r="I177" s="124">
        <v>0</v>
      </c>
      <c r="J177" s="124">
        <v>0</v>
      </c>
      <c r="K177" s="124">
        <v>0</v>
      </c>
      <c r="L177" s="124">
        <v>0</v>
      </c>
      <c r="M177" s="124">
        <v>0</v>
      </c>
    </row>
    <row r="178" spans="1:13">
      <c r="A178" s="124">
        <v>1760000</v>
      </c>
      <c r="B178" s="124">
        <v>1770000</v>
      </c>
      <c r="C178" s="124">
        <v>14290</v>
      </c>
      <c r="D178" s="124">
        <v>9790</v>
      </c>
      <c r="E178" s="124">
        <v>1830</v>
      </c>
      <c r="F178" s="124">
        <v>0</v>
      </c>
      <c r="G178" s="124">
        <v>0</v>
      </c>
      <c r="H178" s="125">
        <v>0</v>
      </c>
      <c r="I178" s="124">
        <v>0</v>
      </c>
      <c r="J178" s="124">
        <v>0</v>
      </c>
      <c r="K178" s="124">
        <v>0</v>
      </c>
      <c r="L178" s="124">
        <v>0</v>
      </c>
      <c r="M178" s="124">
        <v>0</v>
      </c>
    </row>
    <row r="179" spans="1:13">
      <c r="A179" s="124">
        <v>1770000</v>
      </c>
      <c r="B179" s="124">
        <v>1780000</v>
      </c>
      <c r="C179" s="124">
        <v>14500</v>
      </c>
      <c r="D179" s="124">
        <v>10000</v>
      </c>
      <c r="E179" s="124">
        <v>2030</v>
      </c>
      <c r="F179" s="124">
        <v>0</v>
      </c>
      <c r="G179" s="124">
        <v>0</v>
      </c>
      <c r="H179" s="125">
        <v>0</v>
      </c>
      <c r="I179" s="124">
        <v>0</v>
      </c>
      <c r="J179" s="124">
        <v>0</v>
      </c>
      <c r="K179" s="124">
        <v>0</v>
      </c>
      <c r="L179" s="124">
        <v>0</v>
      </c>
      <c r="M179" s="124">
        <v>0</v>
      </c>
    </row>
    <row r="180" spans="1:13">
      <c r="A180" s="124">
        <v>1780000</v>
      </c>
      <c r="B180" s="124">
        <v>1790000</v>
      </c>
      <c r="C180" s="124">
        <v>14700</v>
      </c>
      <c r="D180" s="124">
        <v>10200</v>
      </c>
      <c r="E180" s="124">
        <v>2230</v>
      </c>
      <c r="F180" s="124">
        <v>0</v>
      </c>
      <c r="G180" s="124">
        <v>0</v>
      </c>
      <c r="H180" s="125">
        <v>0</v>
      </c>
      <c r="I180" s="124">
        <v>0</v>
      </c>
      <c r="J180" s="124">
        <v>0</v>
      </c>
      <c r="K180" s="124">
        <v>0</v>
      </c>
      <c r="L180" s="124">
        <v>0</v>
      </c>
      <c r="M180" s="124">
        <v>0</v>
      </c>
    </row>
    <row r="181" spans="1:13">
      <c r="A181" s="124">
        <v>1790000</v>
      </c>
      <c r="B181" s="124">
        <v>1800000</v>
      </c>
      <c r="C181" s="124">
        <v>14910</v>
      </c>
      <c r="D181" s="124">
        <v>10410</v>
      </c>
      <c r="E181" s="124">
        <v>2430</v>
      </c>
      <c r="F181" s="124">
        <v>0</v>
      </c>
      <c r="G181" s="124">
        <v>0</v>
      </c>
      <c r="H181" s="125">
        <v>0</v>
      </c>
      <c r="I181" s="124">
        <v>0</v>
      </c>
      <c r="J181" s="124">
        <v>0</v>
      </c>
      <c r="K181" s="124">
        <v>0</v>
      </c>
      <c r="L181" s="124">
        <v>0</v>
      </c>
      <c r="M181" s="124">
        <v>0</v>
      </c>
    </row>
    <row r="182" spans="1:13">
      <c r="A182" s="124">
        <v>1800000</v>
      </c>
      <c r="B182" s="124">
        <v>1810000</v>
      </c>
      <c r="C182" s="124">
        <v>15110</v>
      </c>
      <c r="D182" s="124">
        <v>10610</v>
      </c>
      <c r="E182" s="124">
        <v>2630</v>
      </c>
      <c r="F182" s="124">
        <v>0</v>
      </c>
      <c r="G182" s="124">
        <v>0</v>
      </c>
      <c r="H182" s="125">
        <v>0</v>
      </c>
      <c r="I182" s="124">
        <v>0</v>
      </c>
      <c r="J182" s="124">
        <v>0</v>
      </c>
      <c r="K182" s="124">
        <v>0</v>
      </c>
      <c r="L182" s="124">
        <v>0</v>
      </c>
      <c r="M182" s="124">
        <v>0</v>
      </c>
    </row>
    <row r="183" spans="1:13">
      <c r="A183" s="124">
        <v>1810000</v>
      </c>
      <c r="B183" s="124">
        <v>1820000</v>
      </c>
      <c r="C183" s="124">
        <v>15320</v>
      </c>
      <c r="D183" s="124">
        <v>10820</v>
      </c>
      <c r="E183" s="124">
        <v>2830</v>
      </c>
      <c r="F183" s="124">
        <v>0</v>
      </c>
      <c r="G183" s="124">
        <v>0</v>
      </c>
      <c r="H183" s="125">
        <v>0</v>
      </c>
      <c r="I183" s="124">
        <v>0</v>
      </c>
      <c r="J183" s="124">
        <v>0</v>
      </c>
      <c r="K183" s="124">
        <v>0</v>
      </c>
      <c r="L183" s="124">
        <v>0</v>
      </c>
      <c r="M183" s="124">
        <v>0</v>
      </c>
    </row>
    <row r="184" spans="1:13">
      <c r="A184" s="124">
        <v>1820000</v>
      </c>
      <c r="B184" s="124">
        <v>1830000</v>
      </c>
      <c r="C184" s="124">
        <v>15530</v>
      </c>
      <c r="D184" s="124">
        <v>11030</v>
      </c>
      <c r="E184" s="124">
        <v>3020</v>
      </c>
      <c r="F184" s="124">
        <v>0</v>
      </c>
      <c r="G184" s="124">
        <v>0</v>
      </c>
      <c r="H184" s="125">
        <v>0</v>
      </c>
      <c r="I184" s="124">
        <v>0</v>
      </c>
      <c r="J184" s="124">
        <v>0</v>
      </c>
      <c r="K184" s="124">
        <v>0</v>
      </c>
      <c r="L184" s="124">
        <v>0</v>
      </c>
      <c r="M184" s="124">
        <v>0</v>
      </c>
    </row>
    <row r="185" spans="1:13">
      <c r="A185" s="124">
        <v>1830000</v>
      </c>
      <c r="B185" s="124">
        <v>1840000</v>
      </c>
      <c r="C185" s="124">
        <v>15730</v>
      </c>
      <c r="D185" s="124">
        <v>11230</v>
      </c>
      <c r="E185" s="124">
        <v>3220</v>
      </c>
      <c r="F185" s="124">
        <v>0</v>
      </c>
      <c r="G185" s="124">
        <v>0</v>
      </c>
      <c r="H185" s="125">
        <v>0</v>
      </c>
      <c r="I185" s="124">
        <v>0</v>
      </c>
      <c r="J185" s="124">
        <v>0</v>
      </c>
      <c r="K185" s="124">
        <v>0</v>
      </c>
      <c r="L185" s="124">
        <v>0</v>
      </c>
      <c r="M185" s="124">
        <v>0</v>
      </c>
    </row>
    <row r="186" spans="1:13">
      <c r="A186" s="124">
        <v>1840000</v>
      </c>
      <c r="B186" s="124">
        <v>1850000</v>
      </c>
      <c r="C186" s="124">
        <v>15940</v>
      </c>
      <c r="D186" s="124">
        <v>11440</v>
      </c>
      <c r="E186" s="124">
        <v>3420</v>
      </c>
      <c r="F186" s="124">
        <v>0</v>
      </c>
      <c r="G186" s="124">
        <v>0</v>
      </c>
      <c r="H186" s="125">
        <v>0</v>
      </c>
      <c r="I186" s="124">
        <v>0</v>
      </c>
      <c r="J186" s="124">
        <v>0</v>
      </c>
      <c r="K186" s="124">
        <v>0</v>
      </c>
      <c r="L186" s="124">
        <v>0</v>
      </c>
      <c r="M186" s="124">
        <v>0</v>
      </c>
    </row>
    <row r="187" spans="1:13">
      <c r="A187" s="124">
        <v>1850000</v>
      </c>
      <c r="B187" s="124">
        <v>1860000</v>
      </c>
      <c r="C187" s="124">
        <v>16150</v>
      </c>
      <c r="D187" s="124">
        <v>11650</v>
      </c>
      <c r="E187" s="124">
        <v>3620</v>
      </c>
      <c r="F187" s="124">
        <v>0</v>
      </c>
      <c r="G187" s="124">
        <v>0</v>
      </c>
      <c r="H187" s="125">
        <v>0</v>
      </c>
      <c r="I187" s="124">
        <v>0</v>
      </c>
      <c r="J187" s="124">
        <v>0</v>
      </c>
      <c r="K187" s="124">
        <v>0</v>
      </c>
      <c r="L187" s="124">
        <v>0</v>
      </c>
      <c r="M187" s="124">
        <v>0</v>
      </c>
    </row>
    <row r="188" spans="1:13">
      <c r="A188" s="124">
        <v>1860000</v>
      </c>
      <c r="B188" s="124">
        <v>1870000</v>
      </c>
      <c r="C188" s="124">
        <v>16350</v>
      </c>
      <c r="D188" s="124">
        <v>11850</v>
      </c>
      <c r="E188" s="124">
        <v>3820</v>
      </c>
      <c r="F188" s="124">
        <v>0</v>
      </c>
      <c r="G188" s="124">
        <v>0</v>
      </c>
      <c r="H188" s="125">
        <v>0</v>
      </c>
      <c r="I188" s="124">
        <v>0</v>
      </c>
      <c r="J188" s="124">
        <v>0</v>
      </c>
      <c r="K188" s="124">
        <v>0</v>
      </c>
      <c r="L188" s="124">
        <v>0</v>
      </c>
      <c r="M188" s="124">
        <v>0</v>
      </c>
    </row>
    <row r="189" spans="1:13">
      <c r="A189" s="124">
        <v>1870000</v>
      </c>
      <c r="B189" s="124">
        <v>1880000</v>
      </c>
      <c r="C189" s="124">
        <v>16560</v>
      </c>
      <c r="D189" s="124">
        <v>12060</v>
      </c>
      <c r="E189" s="124">
        <v>4020</v>
      </c>
      <c r="F189" s="124">
        <v>0</v>
      </c>
      <c r="G189" s="124">
        <v>0</v>
      </c>
      <c r="H189" s="125">
        <v>0</v>
      </c>
      <c r="I189" s="124">
        <v>0</v>
      </c>
      <c r="J189" s="124">
        <v>0</v>
      </c>
      <c r="K189" s="124">
        <v>0</v>
      </c>
      <c r="L189" s="124">
        <v>0</v>
      </c>
      <c r="M189" s="124">
        <v>0</v>
      </c>
    </row>
    <row r="190" spans="1:13">
      <c r="A190" s="124">
        <v>1880000</v>
      </c>
      <c r="B190" s="124">
        <v>1890000</v>
      </c>
      <c r="C190" s="124">
        <v>16770</v>
      </c>
      <c r="D190" s="124">
        <v>12270</v>
      </c>
      <c r="E190" s="124">
        <v>4220</v>
      </c>
      <c r="F190" s="124">
        <v>0</v>
      </c>
      <c r="G190" s="124">
        <v>0</v>
      </c>
      <c r="H190" s="125">
        <v>0</v>
      </c>
      <c r="I190" s="124">
        <v>0</v>
      </c>
      <c r="J190" s="124">
        <v>0</v>
      </c>
      <c r="K190" s="124">
        <v>0</v>
      </c>
      <c r="L190" s="124">
        <v>0</v>
      </c>
      <c r="M190" s="124">
        <v>0</v>
      </c>
    </row>
    <row r="191" spans="1:13">
      <c r="A191" s="124">
        <v>1890000</v>
      </c>
      <c r="B191" s="124">
        <v>1900000</v>
      </c>
      <c r="C191" s="124">
        <v>16970</v>
      </c>
      <c r="D191" s="124">
        <v>12470</v>
      </c>
      <c r="E191" s="124">
        <v>4410</v>
      </c>
      <c r="F191" s="124">
        <v>1040</v>
      </c>
      <c r="G191" s="124">
        <v>0</v>
      </c>
      <c r="H191" s="125">
        <v>0</v>
      </c>
      <c r="I191" s="124">
        <v>0</v>
      </c>
      <c r="J191" s="124">
        <v>0</v>
      </c>
      <c r="K191" s="124">
        <v>0</v>
      </c>
      <c r="L191" s="124">
        <v>0</v>
      </c>
      <c r="M191" s="124">
        <v>0</v>
      </c>
    </row>
    <row r="192" spans="1:13">
      <c r="A192" s="124">
        <v>1900000</v>
      </c>
      <c r="B192" s="124">
        <v>1910000</v>
      </c>
      <c r="C192" s="124">
        <v>17180</v>
      </c>
      <c r="D192" s="124">
        <v>12680</v>
      </c>
      <c r="E192" s="124">
        <v>4610</v>
      </c>
      <c r="F192" s="124">
        <v>1240</v>
      </c>
      <c r="G192" s="124">
        <v>0</v>
      </c>
      <c r="H192" s="125">
        <v>0</v>
      </c>
      <c r="I192" s="124">
        <v>0</v>
      </c>
      <c r="J192" s="124">
        <v>0</v>
      </c>
      <c r="K192" s="124">
        <v>0</v>
      </c>
      <c r="L192" s="124">
        <v>0</v>
      </c>
      <c r="M192" s="124">
        <v>0</v>
      </c>
    </row>
    <row r="193" spans="1:13">
      <c r="A193" s="124">
        <v>1910000</v>
      </c>
      <c r="B193" s="124">
        <v>1920000</v>
      </c>
      <c r="C193" s="124">
        <v>17390</v>
      </c>
      <c r="D193" s="124">
        <v>12890</v>
      </c>
      <c r="E193" s="124">
        <v>4810</v>
      </c>
      <c r="F193" s="124">
        <v>1440</v>
      </c>
      <c r="G193" s="124">
        <v>0</v>
      </c>
      <c r="H193" s="125">
        <v>0</v>
      </c>
      <c r="I193" s="124">
        <v>0</v>
      </c>
      <c r="J193" s="124">
        <v>0</v>
      </c>
      <c r="K193" s="124">
        <v>0</v>
      </c>
      <c r="L193" s="124">
        <v>0</v>
      </c>
      <c r="M193" s="124">
        <v>0</v>
      </c>
    </row>
    <row r="194" spans="1:13">
      <c r="A194" s="124">
        <v>1920000</v>
      </c>
      <c r="B194" s="124">
        <v>1930000</v>
      </c>
      <c r="C194" s="124">
        <v>17590</v>
      </c>
      <c r="D194" s="124">
        <v>13090</v>
      </c>
      <c r="E194" s="124">
        <v>5010</v>
      </c>
      <c r="F194" s="124">
        <v>1630</v>
      </c>
      <c r="G194" s="124">
        <v>0</v>
      </c>
      <c r="H194" s="125">
        <v>0</v>
      </c>
      <c r="I194" s="124">
        <v>0</v>
      </c>
      <c r="J194" s="124">
        <v>0</v>
      </c>
      <c r="K194" s="124">
        <v>0</v>
      </c>
      <c r="L194" s="124">
        <v>0</v>
      </c>
      <c r="M194" s="124">
        <v>0</v>
      </c>
    </row>
    <row r="195" spans="1:13">
      <c r="A195" s="124">
        <v>1930000</v>
      </c>
      <c r="B195" s="124">
        <v>1940000</v>
      </c>
      <c r="C195" s="124">
        <v>17800</v>
      </c>
      <c r="D195" s="124">
        <v>13300</v>
      </c>
      <c r="E195" s="124">
        <v>5210</v>
      </c>
      <c r="F195" s="124">
        <v>1830</v>
      </c>
      <c r="G195" s="124">
        <v>0</v>
      </c>
      <c r="H195" s="125">
        <v>0</v>
      </c>
      <c r="I195" s="124">
        <v>0</v>
      </c>
      <c r="J195" s="124">
        <v>0</v>
      </c>
      <c r="K195" s="124">
        <v>0</v>
      </c>
      <c r="L195" s="124">
        <v>0</v>
      </c>
      <c r="M195" s="124">
        <v>0</v>
      </c>
    </row>
    <row r="196" spans="1:13">
      <c r="A196" s="124">
        <v>1940000</v>
      </c>
      <c r="B196" s="124">
        <v>1950000</v>
      </c>
      <c r="C196" s="124">
        <v>18010</v>
      </c>
      <c r="D196" s="124">
        <v>13510</v>
      </c>
      <c r="E196" s="124">
        <v>5410</v>
      </c>
      <c r="F196" s="124">
        <v>2030</v>
      </c>
      <c r="G196" s="124">
        <v>0</v>
      </c>
      <c r="H196" s="125">
        <v>0</v>
      </c>
      <c r="I196" s="124">
        <v>0</v>
      </c>
      <c r="J196" s="124">
        <v>0</v>
      </c>
      <c r="K196" s="124">
        <v>0</v>
      </c>
      <c r="L196" s="124">
        <v>0</v>
      </c>
      <c r="M196" s="124">
        <v>0</v>
      </c>
    </row>
    <row r="197" spans="1:13">
      <c r="A197" s="124">
        <v>1950000</v>
      </c>
      <c r="B197" s="124">
        <v>1960000</v>
      </c>
      <c r="C197" s="124">
        <v>18210</v>
      </c>
      <c r="D197" s="124">
        <v>13710</v>
      </c>
      <c r="E197" s="124">
        <v>5600</v>
      </c>
      <c r="F197" s="124">
        <v>2230</v>
      </c>
      <c r="G197" s="124">
        <v>0</v>
      </c>
      <c r="H197" s="125">
        <v>0</v>
      </c>
      <c r="I197" s="124">
        <v>0</v>
      </c>
      <c r="J197" s="124">
        <v>0</v>
      </c>
      <c r="K197" s="124">
        <v>0</v>
      </c>
      <c r="L197" s="124">
        <v>0</v>
      </c>
      <c r="M197" s="124">
        <v>0</v>
      </c>
    </row>
    <row r="198" spans="1:13">
      <c r="A198" s="124">
        <v>1960000</v>
      </c>
      <c r="B198" s="124">
        <v>1970000</v>
      </c>
      <c r="C198" s="124">
        <v>18420</v>
      </c>
      <c r="D198" s="124">
        <v>13920</v>
      </c>
      <c r="E198" s="124">
        <v>5800</v>
      </c>
      <c r="F198" s="124">
        <v>2430</v>
      </c>
      <c r="G198" s="124">
        <v>0</v>
      </c>
      <c r="H198" s="125">
        <v>0</v>
      </c>
      <c r="I198" s="124">
        <v>0</v>
      </c>
      <c r="J198" s="124">
        <v>0</v>
      </c>
      <c r="K198" s="124">
        <v>0</v>
      </c>
      <c r="L198" s="124">
        <v>0</v>
      </c>
      <c r="M198" s="124">
        <v>0</v>
      </c>
    </row>
    <row r="199" spans="1:13">
      <c r="A199" s="124">
        <v>1970000</v>
      </c>
      <c r="B199" s="124">
        <v>1980000</v>
      </c>
      <c r="C199" s="124">
        <v>18630</v>
      </c>
      <c r="D199" s="124">
        <v>14130</v>
      </c>
      <c r="E199" s="124">
        <v>6000</v>
      </c>
      <c r="F199" s="124">
        <v>2630</v>
      </c>
      <c r="G199" s="124">
        <v>0</v>
      </c>
      <c r="H199" s="125">
        <v>0</v>
      </c>
      <c r="I199" s="124">
        <v>0</v>
      </c>
      <c r="J199" s="124">
        <v>0</v>
      </c>
      <c r="K199" s="124">
        <v>0</v>
      </c>
      <c r="L199" s="124">
        <v>0</v>
      </c>
      <c r="M199" s="124">
        <v>0</v>
      </c>
    </row>
    <row r="200" spans="1:13">
      <c r="A200" s="124">
        <v>1980000</v>
      </c>
      <c r="B200" s="124">
        <v>1990000</v>
      </c>
      <c r="C200" s="124">
        <v>18880</v>
      </c>
      <c r="D200" s="124">
        <v>14330</v>
      </c>
      <c r="E200" s="124">
        <v>6200</v>
      </c>
      <c r="F200" s="124">
        <v>2820</v>
      </c>
      <c r="G200" s="124">
        <v>0</v>
      </c>
      <c r="H200" s="125">
        <v>0</v>
      </c>
      <c r="I200" s="124">
        <v>0</v>
      </c>
      <c r="J200" s="124">
        <v>0</v>
      </c>
      <c r="K200" s="124">
        <v>0</v>
      </c>
      <c r="L200" s="124">
        <v>0</v>
      </c>
      <c r="M200" s="124">
        <v>0</v>
      </c>
    </row>
    <row r="201" spans="1:13">
      <c r="A201" s="124">
        <v>1990000</v>
      </c>
      <c r="B201" s="124">
        <v>2000000</v>
      </c>
      <c r="C201" s="124">
        <v>19200</v>
      </c>
      <c r="D201" s="124">
        <v>14540</v>
      </c>
      <c r="E201" s="124">
        <v>6400</v>
      </c>
      <c r="F201" s="124">
        <v>3020</v>
      </c>
      <c r="G201" s="124">
        <v>0</v>
      </c>
      <c r="H201" s="125">
        <v>0</v>
      </c>
      <c r="I201" s="124">
        <v>0</v>
      </c>
      <c r="J201" s="124">
        <v>0</v>
      </c>
      <c r="K201" s="124">
        <v>0</v>
      </c>
      <c r="L201" s="124">
        <v>0</v>
      </c>
      <c r="M201" s="124">
        <v>0</v>
      </c>
    </row>
    <row r="202" spans="1:13">
      <c r="A202" s="124">
        <v>2000000</v>
      </c>
      <c r="B202" s="124">
        <v>2010000</v>
      </c>
      <c r="C202" s="124">
        <v>19520</v>
      </c>
      <c r="D202" s="124">
        <v>14750</v>
      </c>
      <c r="E202" s="124">
        <v>6600</v>
      </c>
      <c r="F202" s="124">
        <v>3220</v>
      </c>
      <c r="G202" s="124">
        <v>0</v>
      </c>
      <c r="H202" s="125">
        <v>0</v>
      </c>
      <c r="I202" s="124">
        <v>0</v>
      </c>
      <c r="J202" s="124">
        <v>0</v>
      </c>
      <c r="K202" s="124">
        <v>0</v>
      </c>
      <c r="L202" s="124">
        <v>0</v>
      </c>
      <c r="M202" s="124">
        <v>0</v>
      </c>
    </row>
    <row r="203" spans="1:13">
      <c r="A203" s="124">
        <v>2010000</v>
      </c>
      <c r="B203" s="124">
        <v>2020000</v>
      </c>
      <c r="C203" s="124">
        <v>19850</v>
      </c>
      <c r="D203" s="124">
        <v>14950</v>
      </c>
      <c r="E203" s="124">
        <v>6800</v>
      </c>
      <c r="F203" s="124">
        <v>3420</v>
      </c>
      <c r="G203" s="124">
        <v>0</v>
      </c>
      <c r="H203" s="125">
        <v>0</v>
      </c>
      <c r="I203" s="124">
        <v>0</v>
      </c>
      <c r="J203" s="124">
        <v>0</v>
      </c>
      <c r="K203" s="124">
        <v>0</v>
      </c>
      <c r="L203" s="124">
        <v>0</v>
      </c>
      <c r="M203" s="124">
        <v>0</v>
      </c>
    </row>
    <row r="204" spans="1:13">
      <c r="A204" s="124">
        <v>2020000</v>
      </c>
      <c r="B204" s="124">
        <v>2030000</v>
      </c>
      <c r="C204" s="124">
        <v>20170</v>
      </c>
      <c r="D204" s="124">
        <v>15160</v>
      </c>
      <c r="E204" s="124">
        <v>6990</v>
      </c>
      <c r="F204" s="124">
        <v>3620</v>
      </c>
      <c r="G204" s="124">
        <v>0</v>
      </c>
      <c r="H204" s="125">
        <v>0</v>
      </c>
      <c r="I204" s="124">
        <v>0</v>
      </c>
      <c r="J204" s="124">
        <v>0</v>
      </c>
      <c r="K204" s="124">
        <v>0</v>
      </c>
      <c r="L204" s="124">
        <v>0</v>
      </c>
      <c r="M204" s="124">
        <v>0</v>
      </c>
    </row>
    <row r="205" spans="1:13">
      <c r="A205" s="124">
        <v>2030000</v>
      </c>
      <c r="B205" s="124">
        <v>2040000</v>
      </c>
      <c r="C205" s="124">
        <v>20490</v>
      </c>
      <c r="D205" s="124">
        <v>15370</v>
      </c>
      <c r="E205" s="124">
        <v>7190</v>
      </c>
      <c r="F205" s="124">
        <v>3820</v>
      </c>
      <c r="G205" s="124">
        <v>0</v>
      </c>
      <c r="H205" s="125">
        <v>0</v>
      </c>
      <c r="I205" s="124">
        <v>0</v>
      </c>
      <c r="J205" s="124">
        <v>0</v>
      </c>
      <c r="K205" s="124">
        <v>0</v>
      </c>
      <c r="L205" s="124">
        <v>0</v>
      </c>
      <c r="M205" s="124">
        <v>0</v>
      </c>
    </row>
    <row r="206" spans="1:13">
      <c r="A206" s="124">
        <v>2040000</v>
      </c>
      <c r="B206" s="124">
        <v>2050000</v>
      </c>
      <c r="C206" s="124">
        <v>20810</v>
      </c>
      <c r="D206" s="124">
        <v>15570</v>
      </c>
      <c r="E206" s="124">
        <v>7390</v>
      </c>
      <c r="F206" s="124">
        <v>4020</v>
      </c>
      <c r="G206" s="124">
        <v>0</v>
      </c>
      <c r="H206" s="125">
        <v>0</v>
      </c>
      <c r="I206" s="124">
        <v>0</v>
      </c>
      <c r="J206" s="124">
        <v>0</v>
      </c>
      <c r="K206" s="124">
        <v>0</v>
      </c>
      <c r="L206" s="124">
        <v>0</v>
      </c>
      <c r="M206" s="124">
        <v>0</v>
      </c>
    </row>
    <row r="207" spans="1:13">
      <c r="A207" s="124">
        <v>2050000</v>
      </c>
      <c r="B207" s="124">
        <v>2060000</v>
      </c>
      <c r="C207" s="124">
        <v>21130</v>
      </c>
      <c r="D207" s="124">
        <v>15780</v>
      </c>
      <c r="E207" s="124">
        <v>7590</v>
      </c>
      <c r="F207" s="124">
        <v>4210</v>
      </c>
      <c r="G207" s="124">
        <v>0</v>
      </c>
      <c r="H207" s="125">
        <v>0</v>
      </c>
      <c r="I207" s="124">
        <v>0</v>
      </c>
      <c r="J207" s="124">
        <v>0</v>
      </c>
      <c r="K207" s="124">
        <v>0</v>
      </c>
      <c r="L207" s="124">
        <v>0</v>
      </c>
      <c r="M207" s="124">
        <v>0</v>
      </c>
    </row>
    <row r="208" spans="1:13">
      <c r="A208" s="124">
        <v>2060000</v>
      </c>
      <c r="B208" s="124">
        <v>2070000</v>
      </c>
      <c r="C208" s="124">
        <v>21450</v>
      </c>
      <c r="D208" s="124">
        <v>15990</v>
      </c>
      <c r="E208" s="124">
        <v>7790</v>
      </c>
      <c r="F208" s="124">
        <v>4410</v>
      </c>
      <c r="G208" s="124">
        <v>1040</v>
      </c>
      <c r="H208" s="125">
        <v>0</v>
      </c>
      <c r="I208" s="124">
        <v>0</v>
      </c>
      <c r="J208" s="124">
        <v>0</v>
      </c>
      <c r="K208" s="124">
        <v>0</v>
      </c>
      <c r="L208" s="124">
        <v>0</v>
      </c>
      <c r="M208" s="124">
        <v>0</v>
      </c>
    </row>
    <row r="209" spans="1:13">
      <c r="A209" s="124">
        <v>2070000</v>
      </c>
      <c r="B209" s="124">
        <v>2080000</v>
      </c>
      <c r="C209" s="124">
        <v>21770</v>
      </c>
      <c r="D209" s="124">
        <v>16190</v>
      </c>
      <c r="E209" s="124">
        <v>7990</v>
      </c>
      <c r="F209" s="124">
        <v>4610</v>
      </c>
      <c r="G209" s="124">
        <v>1240</v>
      </c>
      <c r="H209" s="125">
        <v>0</v>
      </c>
      <c r="I209" s="124">
        <v>0</v>
      </c>
      <c r="J209" s="124">
        <v>0</v>
      </c>
      <c r="K209" s="124">
        <v>0</v>
      </c>
      <c r="L209" s="124">
        <v>0</v>
      </c>
      <c r="M209" s="124">
        <v>0</v>
      </c>
    </row>
    <row r="210" spans="1:13">
      <c r="A210" s="124">
        <v>2080000</v>
      </c>
      <c r="B210" s="124">
        <v>2090000</v>
      </c>
      <c r="C210" s="124">
        <v>22090</v>
      </c>
      <c r="D210" s="124">
        <v>16400</v>
      </c>
      <c r="E210" s="124">
        <v>8180</v>
      </c>
      <c r="F210" s="124">
        <v>4810</v>
      </c>
      <c r="G210" s="124">
        <v>1430</v>
      </c>
      <c r="H210" s="125">
        <v>0</v>
      </c>
      <c r="I210" s="124">
        <v>0</v>
      </c>
      <c r="J210" s="124">
        <v>0</v>
      </c>
      <c r="K210" s="124">
        <v>0</v>
      </c>
      <c r="L210" s="124">
        <v>0</v>
      </c>
      <c r="M210" s="124">
        <v>0</v>
      </c>
    </row>
    <row r="211" spans="1:13">
      <c r="A211" s="124">
        <v>2090000</v>
      </c>
      <c r="B211" s="124">
        <v>2100000</v>
      </c>
      <c r="C211" s="124">
        <v>22420</v>
      </c>
      <c r="D211" s="124">
        <v>16600</v>
      </c>
      <c r="E211" s="124">
        <v>8380</v>
      </c>
      <c r="F211" s="124">
        <v>5010</v>
      </c>
      <c r="G211" s="124">
        <v>1630</v>
      </c>
      <c r="H211" s="125">
        <v>0</v>
      </c>
      <c r="I211" s="124">
        <v>0</v>
      </c>
      <c r="J211" s="124">
        <v>0</v>
      </c>
      <c r="K211" s="124">
        <v>0</v>
      </c>
      <c r="L211" s="124">
        <v>0</v>
      </c>
      <c r="M211" s="124">
        <v>0</v>
      </c>
    </row>
    <row r="212" spans="1:13">
      <c r="A212" s="124">
        <v>2100000</v>
      </c>
      <c r="B212" s="124">
        <v>2110000</v>
      </c>
      <c r="C212" s="124">
        <v>22740</v>
      </c>
      <c r="D212" s="124">
        <v>16810</v>
      </c>
      <c r="E212" s="124">
        <v>8580</v>
      </c>
      <c r="F212" s="124">
        <v>5210</v>
      </c>
      <c r="G212" s="124">
        <v>1830</v>
      </c>
      <c r="H212" s="125">
        <v>0</v>
      </c>
      <c r="I212" s="124">
        <v>0</v>
      </c>
      <c r="J212" s="124">
        <v>0</v>
      </c>
      <c r="K212" s="124">
        <v>0</v>
      </c>
      <c r="L212" s="124">
        <v>0</v>
      </c>
      <c r="M212" s="124">
        <v>0</v>
      </c>
    </row>
    <row r="213" spans="1:13">
      <c r="A213" s="124">
        <v>2110000</v>
      </c>
      <c r="B213" s="124">
        <v>2120000</v>
      </c>
      <c r="C213" s="124">
        <v>23060</v>
      </c>
      <c r="D213" s="124">
        <v>17020</v>
      </c>
      <c r="E213" s="124">
        <v>8780</v>
      </c>
      <c r="F213" s="124">
        <v>5400</v>
      </c>
      <c r="G213" s="124">
        <v>2030</v>
      </c>
      <c r="H213" s="125">
        <v>0</v>
      </c>
      <c r="I213" s="124">
        <v>0</v>
      </c>
      <c r="J213" s="124">
        <v>0</v>
      </c>
      <c r="K213" s="124">
        <v>0</v>
      </c>
      <c r="L213" s="124">
        <v>0</v>
      </c>
      <c r="M213" s="124">
        <v>0</v>
      </c>
    </row>
    <row r="214" spans="1:13">
      <c r="A214" s="124">
        <v>2120000</v>
      </c>
      <c r="B214" s="124">
        <v>2130000</v>
      </c>
      <c r="C214" s="124">
        <v>23380</v>
      </c>
      <c r="D214" s="124">
        <v>17220</v>
      </c>
      <c r="E214" s="124">
        <v>8980</v>
      </c>
      <c r="F214" s="124">
        <v>5600</v>
      </c>
      <c r="G214" s="124">
        <v>2230</v>
      </c>
      <c r="H214" s="125">
        <v>0</v>
      </c>
      <c r="I214" s="124">
        <v>0</v>
      </c>
      <c r="J214" s="124">
        <v>0</v>
      </c>
      <c r="K214" s="124">
        <v>0</v>
      </c>
      <c r="L214" s="124">
        <v>0</v>
      </c>
      <c r="M214" s="124">
        <v>0</v>
      </c>
    </row>
    <row r="215" spans="1:13">
      <c r="A215" s="124">
        <v>2130000</v>
      </c>
      <c r="B215" s="124">
        <v>2140000</v>
      </c>
      <c r="C215" s="124">
        <v>23700</v>
      </c>
      <c r="D215" s="124">
        <v>17430</v>
      </c>
      <c r="E215" s="124">
        <v>9180</v>
      </c>
      <c r="F215" s="124">
        <v>5800</v>
      </c>
      <c r="G215" s="124">
        <v>2430</v>
      </c>
      <c r="H215" s="125">
        <v>0</v>
      </c>
      <c r="I215" s="124">
        <v>0</v>
      </c>
      <c r="J215" s="124">
        <v>0</v>
      </c>
      <c r="K215" s="124">
        <v>0</v>
      </c>
      <c r="L215" s="124">
        <v>0</v>
      </c>
      <c r="M215" s="124">
        <v>0</v>
      </c>
    </row>
    <row r="216" spans="1:13">
      <c r="A216" s="124">
        <v>2140000</v>
      </c>
      <c r="B216" s="124">
        <v>2150000</v>
      </c>
      <c r="C216" s="124">
        <v>24020</v>
      </c>
      <c r="D216" s="124">
        <v>17640</v>
      </c>
      <c r="E216" s="124">
        <v>9380</v>
      </c>
      <c r="F216" s="124">
        <v>6000</v>
      </c>
      <c r="G216" s="124">
        <v>2630</v>
      </c>
      <c r="H216" s="125">
        <v>0</v>
      </c>
      <c r="I216" s="124">
        <v>0</v>
      </c>
      <c r="J216" s="124">
        <v>0</v>
      </c>
      <c r="K216" s="124">
        <v>0</v>
      </c>
      <c r="L216" s="124">
        <v>0</v>
      </c>
      <c r="M216" s="124">
        <v>0</v>
      </c>
    </row>
    <row r="217" spans="1:13">
      <c r="A217" s="124">
        <v>2150000</v>
      </c>
      <c r="B217" s="124">
        <v>2160000</v>
      </c>
      <c r="C217" s="124">
        <v>24340</v>
      </c>
      <c r="D217" s="124">
        <v>17840</v>
      </c>
      <c r="E217" s="124">
        <v>9570</v>
      </c>
      <c r="F217" s="124">
        <v>6200</v>
      </c>
      <c r="G217" s="124">
        <v>2820</v>
      </c>
      <c r="H217" s="125">
        <v>0</v>
      </c>
      <c r="I217" s="124">
        <v>0</v>
      </c>
      <c r="J217" s="124">
        <v>0</v>
      </c>
      <c r="K217" s="124">
        <v>0</v>
      </c>
      <c r="L217" s="124">
        <v>0</v>
      </c>
      <c r="M217" s="124">
        <v>0</v>
      </c>
    </row>
    <row r="218" spans="1:13">
      <c r="A218" s="124">
        <v>2160000</v>
      </c>
      <c r="B218" s="124">
        <v>2170000</v>
      </c>
      <c r="C218" s="124">
        <v>24660</v>
      </c>
      <c r="D218" s="124">
        <v>18050</v>
      </c>
      <c r="E218" s="124">
        <v>9770</v>
      </c>
      <c r="F218" s="124">
        <v>6400</v>
      </c>
      <c r="G218" s="124">
        <v>3020</v>
      </c>
      <c r="H218" s="125">
        <v>0</v>
      </c>
      <c r="I218" s="124">
        <v>0</v>
      </c>
      <c r="J218" s="124">
        <v>0</v>
      </c>
      <c r="K218" s="124">
        <v>0</v>
      </c>
      <c r="L218" s="124">
        <v>0</v>
      </c>
      <c r="M218" s="124">
        <v>0</v>
      </c>
    </row>
    <row r="219" spans="1:13">
      <c r="A219" s="124">
        <v>2170000</v>
      </c>
      <c r="B219" s="124">
        <v>2180000</v>
      </c>
      <c r="C219" s="124">
        <v>24990</v>
      </c>
      <c r="D219" s="124">
        <v>18260</v>
      </c>
      <c r="E219" s="124">
        <v>9970</v>
      </c>
      <c r="F219" s="124">
        <v>6600</v>
      </c>
      <c r="G219" s="124">
        <v>3220</v>
      </c>
      <c r="H219" s="125">
        <v>0</v>
      </c>
      <c r="I219" s="124">
        <v>0</v>
      </c>
      <c r="J219" s="124">
        <v>0</v>
      </c>
      <c r="K219" s="124">
        <v>0</v>
      </c>
      <c r="L219" s="124">
        <v>0</v>
      </c>
      <c r="M219" s="124">
        <v>0</v>
      </c>
    </row>
    <row r="220" spans="1:13">
      <c r="A220" s="124">
        <v>2180000</v>
      </c>
      <c r="B220" s="124">
        <v>2190000</v>
      </c>
      <c r="C220" s="124">
        <v>25310</v>
      </c>
      <c r="D220" s="124">
        <v>18460</v>
      </c>
      <c r="E220" s="124">
        <v>10170</v>
      </c>
      <c r="F220" s="124">
        <v>6790</v>
      </c>
      <c r="G220" s="124">
        <v>3420</v>
      </c>
      <c r="H220" s="125">
        <v>0</v>
      </c>
      <c r="I220" s="124">
        <v>0</v>
      </c>
      <c r="J220" s="124">
        <v>0</v>
      </c>
      <c r="K220" s="124">
        <v>0</v>
      </c>
      <c r="L220" s="124">
        <v>0</v>
      </c>
      <c r="M220" s="124">
        <v>0</v>
      </c>
    </row>
    <row r="221" spans="1:13">
      <c r="A221" s="124">
        <v>2190000</v>
      </c>
      <c r="B221" s="124">
        <v>2200000</v>
      </c>
      <c r="C221" s="124">
        <v>25630</v>
      </c>
      <c r="D221" s="124">
        <v>18670</v>
      </c>
      <c r="E221" s="124">
        <v>10370</v>
      </c>
      <c r="F221" s="124">
        <v>6990</v>
      </c>
      <c r="G221" s="124">
        <v>3620</v>
      </c>
      <c r="H221" s="125">
        <v>0</v>
      </c>
      <c r="I221" s="124">
        <v>0</v>
      </c>
      <c r="J221" s="124">
        <v>0</v>
      </c>
      <c r="K221" s="124">
        <v>0</v>
      </c>
      <c r="L221" s="124">
        <v>0</v>
      </c>
      <c r="M221" s="124">
        <v>0</v>
      </c>
    </row>
    <row r="222" spans="1:13">
      <c r="A222" s="124">
        <v>2200000</v>
      </c>
      <c r="B222" s="124">
        <v>2210000</v>
      </c>
      <c r="C222" s="124">
        <v>25950</v>
      </c>
      <c r="D222" s="124">
        <v>18950</v>
      </c>
      <c r="E222" s="124">
        <v>10570</v>
      </c>
      <c r="F222" s="124">
        <v>7190</v>
      </c>
      <c r="G222" s="124">
        <v>3820</v>
      </c>
      <c r="H222" s="125">
        <v>0</v>
      </c>
      <c r="I222" s="124">
        <v>0</v>
      </c>
      <c r="J222" s="124">
        <v>0</v>
      </c>
      <c r="K222" s="124">
        <v>0</v>
      </c>
      <c r="L222" s="124">
        <v>0</v>
      </c>
      <c r="M222" s="124">
        <v>0</v>
      </c>
    </row>
    <row r="223" spans="1:13">
      <c r="A223" s="124">
        <v>2210000</v>
      </c>
      <c r="B223" s="124">
        <v>2220000</v>
      </c>
      <c r="C223" s="124">
        <v>26270</v>
      </c>
      <c r="D223" s="124">
        <v>19270</v>
      </c>
      <c r="E223" s="124">
        <v>10760</v>
      </c>
      <c r="F223" s="124">
        <v>7390</v>
      </c>
      <c r="G223" s="124">
        <v>4010</v>
      </c>
      <c r="H223" s="125">
        <v>0</v>
      </c>
      <c r="I223" s="124">
        <v>0</v>
      </c>
      <c r="J223" s="124">
        <v>0</v>
      </c>
      <c r="K223" s="124">
        <v>0</v>
      </c>
      <c r="L223" s="124">
        <v>0</v>
      </c>
      <c r="M223" s="124">
        <v>0</v>
      </c>
    </row>
    <row r="224" spans="1:13">
      <c r="A224" s="124">
        <v>2220000</v>
      </c>
      <c r="B224" s="124">
        <v>2230000</v>
      </c>
      <c r="C224" s="124">
        <v>26590</v>
      </c>
      <c r="D224" s="124">
        <v>19590</v>
      </c>
      <c r="E224" s="124">
        <v>10960</v>
      </c>
      <c r="F224" s="124">
        <v>7590</v>
      </c>
      <c r="G224" s="124">
        <v>4210</v>
      </c>
      <c r="H224" s="125">
        <v>0</v>
      </c>
      <c r="I224" s="124">
        <v>0</v>
      </c>
      <c r="J224" s="124">
        <v>0</v>
      </c>
      <c r="K224" s="124">
        <v>0</v>
      </c>
      <c r="L224" s="124">
        <v>0</v>
      </c>
      <c r="M224" s="124">
        <v>0</v>
      </c>
    </row>
    <row r="225" spans="1:13">
      <c r="A225" s="124">
        <v>2230000</v>
      </c>
      <c r="B225" s="124">
        <v>2240000</v>
      </c>
      <c r="C225" s="124">
        <v>26910</v>
      </c>
      <c r="D225" s="124">
        <v>19910</v>
      </c>
      <c r="E225" s="124">
        <v>11160</v>
      </c>
      <c r="F225" s="124">
        <v>7790</v>
      </c>
      <c r="G225" s="124">
        <v>4410</v>
      </c>
      <c r="H225" s="125">
        <v>1040</v>
      </c>
      <c r="I225" s="124">
        <v>0</v>
      </c>
      <c r="J225" s="124">
        <v>0</v>
      </c>
      <c r="K225" s="124">
        <v>0</v>
      </c>
      <c r="L225" s="124">
        <v>0</v>
      </c>
      <c r="M225" s="124">
        <v>0</v>
      </c>
    </row>
    <row r="226" spans="1:13">
      <c r="A226" s="124">
        <v>2240000</v>
      </c>
      <c r="B226" s="124">
        <v>2250000</v>
      </c>
      <c r="C226" s="124">
        <v>27240</v>
      </c>
      <c r="D226" s="124">
        <v>20240</v>
      </c>
      <c r="E226" s="124">
        <v>11360</v>
      </c>
      <c r="F226" s="124">
        <v>7980</v>
      </c>
      <c r="G226" s="124">
        <v>4610</v>
      </c>
      <c r="H226" s="125">
        <v>1230</v>
      </c>
      <c r="I226" s="124">
        <v>0</v>
      </c>
      <c r="J226" s="124">
        <v>0</v>
      </c>
      <c r="K226" s="124">
        <v>0</v>
      </c>
      <c r="L226" s="124">
        <v>0</v>
      </c>
      <c r="M226" s="124">
        <v>0</v>
      </c>
    </row>
    <row r="227" spans="1:13">
      <c r="A227" s="124">
        <v>2250000</v>
      </c>
      <c r="B227" s="124">
        <v>2260000</v>
      </c>
      <c r="C227" s="124">
        <v>27560</v>
      </c>
      <c r="D227" s="124">
        <v>20560</v>
      </c>
      <c r="E227" s="124">
        <v>11560</v>
      </c>
      <c r="F227" s="124">
        <v>8180</v>
      </c>
      <c r="G227" s="124">
        <v>4810</v>
      </c>
      <c r="H227" s="125">
        <v>1430</v>
      </c>
      <c r="I227" s="124">
        <v>0</v>
      </c>
      <c r="J227" s="124">
        <v>0</v>
      </c>
      <c r="K227" s="124">
        <v>0</v>
      </c>
      <c r="L227" s="124">
        <v>0</v>
      </c>
      <c r="M227" s="124">
        <v>0</v>
      </c>
    </row>
    <row r="228" spans="1:13">
      <c r="A228" s="124">
        <v>2260000</v>
      </c>
      <c r="B228" s="124">
        <v>2270000</v>
      </c>
      <c r="C228" s="124">
        <v>27880</v>
      </c>
      <c r="D228" s="124">
        <v>20880</v>
      </c>
      <c r="E228" s="124">
        <v>11760</v>
      </c>
      <c r="F228" s="124">
        <v>8380</v>
      </c>
      <c r="G228" s="124">
        <v>5010</v>
      </c>
      <c r="H228" s="125">
        <v>1630</v>
      </c>
      <c r="I228" s="124">
        <v>0</v>
      </c>
      <c r="J228" s="124">
        <v>0</v>
      </c>
      <c r="K228" s="124">
        <v>0</v>
      </c>
      <c r="L228" s="124">
        <v>0</v>
      </c>
      <c r="M228" s="124">
        <v>0</v>
      </c>
    </row>
    <row r="229" spans="1:13">
      <c r="A229" s="124">
        <v>2270000</v>
      </c>
      <c r="B229" s="124">
        <v>2280000</v>
      </c>
      <c r="C229" s="124">
        <v>28200</v>
      </c>
      <c r="D229" s="124">
        <v>21200</v>
      </c>
      <c r="E229" s="124">
        <v>11960</v>
      </c>
      <c r="F229" s="124">
        <v>8580</v>
      </c>
      <c r="G229" s="124">
        <v>5210</v>
      </c>
      <c r="H229" s="125">
        <v>1830</v>
      </c>
      <c r="I229" s="124">
        <v>0</v>
      </c>
      <c r="J229" s="124">
        <v>0</v>
      </c>
      <c r="K229" s="124">
        <v>0</v>
      </c>
      <c r="L229" s="124">
        <v>0</v>
      </c>
      <c r="M229" s="124">
        <v>0</v>
      </c>
    </row>
    <row r="230" spans="1:13">
      <c r="A230" s="124">
        <v>2280000</v>
      </c>
      <c r="B230" s="124">
        <v>2290000</v>
      </c>
      <c r="C230" s="124">
        <v>28520</v>
      </c>
      <c r="D230" s="124">
        <v>21520</v>
      </c>
      <c r="E230" s="124">
        <v>12150</v>
      </c>
      <c r="F230" s="124">
        <v>8780</v>
      </c>
      <c r="G230" s="124">
        <v>5400</v>
      </c>
      <c r="H230" s="125">
        <v>2030</v>
      </c>
      <c r="I230" s="124">
        <v>0</v>
      </c>
      <c r="J230" s="124">
        <v>0</v>
      </c>
      <c r="K230" s="124">
        <v>0</v>
      </c>
      <c r="L230" s="124">
        <v>0</v>
      </c>
      <c r="M230" s="124">
        <v>0</v>
      </c>
    </row>
    <row r="231" spans="1:13">
      <c r="A231" s="124">
        <v>2290000</v>
      </c>
      <c r="B231" s="124">
        <v>2300000</v>
      </c>
      <c r="C231" s="124">
        <v>28840</v>
      </c>
      <c r="D231" s="124">
        <v>21840</v>
      </c>
      <c r="E231" s="124">
        <v>12350</v>
      </c>
      <c r="F231" s="124">
        <v>8980</v>
      </c>
      <c r="G231" s="124">
        <v>5600</v>
      </c>
      <c r="H231" s="125">
        <v>2230</v>
      </c>
      <c r="I231" s="124">
        <v>0</v>
      </c>
      <c r="J231" s="124">
        <v>0</v>
      </c>
      <c r="K231" s="124">
        <v>0</v>
      </c>
      <c r="L231" s="124">
        <v>0</v>
      </c>
      <c r="M231" s="124">
        <v>0</v>
      </c>
    </row>
    <row r="232" spans="1:13">
      <c r="A232" s="124">
        <v>2300000</v>
      </c>
      <c r="B232" s="124">
        <v>2310000</v>
      </c>
      <c r="C232" s="124">
        <v>29160</v>
      </c>
      <c r="D232" s="124">
        <v>22160</v>
      </c>
      <c r="E232" s="124">
        <v>12550</v>
      </c>
      <c r="F232" s="124">
        <v>9180</v>
      </c>
      <c r="G232" s="124">
        <v>5800</v>
      </c>
      <c r="H232" s="125">
        <v>2430</v>
      </c>
      <c r="I232" s="124">
        <v>0</v>
      </c>
      <c r="J232" s="124">
        <v>0</v>
      </c>
      <c r="K232" s="124">
        <v>0</v>
      </c>
      <c r="L232" s="124">
        <v>0</v>
      </c>
      <c r="M232" s="124">
        <v>0</v>
      </c>
    </row>
    <row r="233" spans="1:13">
      <c r="A233" s="124">
        <v>2310000</v>
      </c>
      <c r="B233" s="124">
        <v>2320000</v>
      </c>
      <c r="C233" s="124">
        <v>29480</v>
      </c>
      <c r="D233" s="124">
        <v>22480</v>
      </c>
      <c r="E233" s="124">
        <v>12750</v>
      </c>
      <c r="F233" s="124">
        <v>9370</v>
      </c>
      <c r="G233" s="124">
        <v>6000</v>
      </c>
      <c r="H233" s="125">
        <v>2620</v>
      </c>
      <c r="I233" s="124">
        <v>0</v>
      </c>
      <c r="J233" s="124">
        <v>0</v>
      </c>
      <c r="K233" s="124">
        <v>0</v>
      </c>
      <c r="L233" s="124">
        <v>0</v>
      </c>
      <c r="M233" s="124">
        <v>0</v>
      </c>
    </row>
    <row r="234" spans="1:13">
      <c r="A234" s="124">
        <v>2320000</v>
      </c>
      <c r="B234" s="124">
        <v>2330000</v>
      </c>
      <c r="C234" s="124">
        <v>29810</v>
      </c>
      <c r="D234" s="124">
        <v>22810</v>
      </c>
      <c r="E234" s="124">
        <v>12950</v>
      </c>
      <c r="F234" s="124">
        <v>9570</v>
      </c>
      <c r="G234" s="124">
        <v>6200</v>
      </c>
      <c r="H234" s="125">
        <v>2820</v>
      </c>
      <c r="I234" s="124">
        <v>0</v>
      </c>
      <c r="J234" s="124">
        <v>0</v>
      </c>
      <c r="K234" s="124">
        <v>0</v>
      </c>
      <c r="L234" s="124">
        <v>0</v>
      </c>
      <c r="M234" s="124">
        <v>0</v>
      </c>
    </row>
    <row r="235" spans="1:13">
      <c r="A235" s="124">
        <v>2330000</v>
      </c>
      <c r="B235" s="124">
        <v>2340000</v>
      </c>
      <c r="C235" s="124">
        <v>30130</v>
      </c>
      <c r="D235" s="124">
        <v>23130</v>
      </c>
      <c r="E235" s="124">
        <v>13150</v>
      </c>
      <c r="F235" s="124">
        <v>9770</v>
      </c>
      <c r="G235" s="124">
        <v>6400</v>
      </c>
      <c r="H235" s="125">
        <v>3020</v>
      </c>
      <c r="I235" s="124">
        <v>0</v>
      </c>
      <c r="J235" s="124">
        <v>0</v>
      </c>
      <c r="K235" s="124">
        <v>0</v>
      </c>
      <c r="L235" s="124">
        <v>0</v>
      </c>
      <c r="M235" s="124">
        <v>0</v>
      </c>
    </row>
    <row r="236" spans="1:13">
      <c r="A236" s="124">
        <v>2340000</v>
      </c>
      <c r="B236" s="124">
        <v>2350000</v>
      </c>
      <c r="C236" s="124">
        <v>30450</v>
      </c>
      <c r="D236" s="124">
        <v>23450</v>
      </c>
      <c r="E236" s="124">
        <v>13340</v>
      </c>
      <c r="F236" s="124">
        <v>9970</v>
      </c>
      <c r="G236" s="124">
        <v>6590</v>
      </c>
      <c r="H236" s="125">
        <v>3220</v>
      </c>
      <c r="I236" s="124">
        <v>0</v>
      </c>
      <c r="J236" s="124">
        <v>0</v>
      </c>
      <c r="K236" s="124">
        <v>0</v>
      </c>
      <c r="L236" s="124">
        <v>0</v>
      </c>
      <c r="M236" s="124">
        <v>0</v>
      </c>
    </row>
    <row r="237" spans="1:13">
      <c r="A237" s="124">
        <v>2350000</v>
      </c>
      <c r="B237" s="124">
        <v>2360000</v>
      </c>
      <c r="C237" s="124">
        <v>30770</v>
      </c>
      <c r="D237" s="124">
        <v>23770</v>
      </c>
      <c r="E237" s="124">
        <v>13540</v>
      </c>
      <c r="F237" s="124">
        <v>10170</v>
      </c>
      <c r="G237" s="124">
        <v>6790</v>
      </c>
      <c r="H237" s="125">
        <v>3420</v>
      </c>
      <c r="I237" s="124">
        <v>0</v>
      </c>
      <c r="J237" s="124">
        <v>0</v>
      </c>
      <c r="K237" s="124">
        <v>0</v>
      </c>
      <c r="L237" s="124">
        <v>0</v>
      </c>
      <c r="M237" s="124">
        <v>0</v>
      </c>
    </row>
    <row r="238" spans="1:13">
      <c r="A238" s="124">
        <v>2360000</v>
      </c>
      <c r="B238" s="124">
        <v>2370000</v>
      </c>
      <c r="C238" s="124">
        <v>31090</v>
      </c>
      <c r="D238" s="124">
        <v>24090</v>
      </c>
      <c r="E238" s="124">
        <v>13740</v>
      </c>
      <c r="F238" s="124">
        <v>10370</v>
      </c>
      <c r="G238" s="124">
        <v>6990</v>
      </c>
      <c r="H238" s="125">
        <v>3620</v>
      </c>
      <c r="I238" s="124">
        <v>0</v>
      </c>
      <c r="J238" s="124">
        <v>0</v>
      </c>
      <c r="K238" s="124">
        <v>0</v>
      </c>
      <c r="L238" s="124">
        <v>0</v>
      </c>
      <c r="M238" s="124">
        <v>0</v>
      </c>
    </row>
    <row r="239" spans="1:13">
      <c r="A239" s="124">
        <v>2370000</v>
      </c>
      <c r="B239" s="124">
        <v>2380000</v>
      </c>
      <c r="C239" s="124">
        <v>31410</v>
      </c>
      <c r="D239" s="124">
        <v>24410</v>
      </c>
      <c r="E239" s="124">
        <v>13940</v>
      </c>
      <c r="F239" s="124">
        <v>10560</v>
      </c>
      <c r="G239" s="124">
        <v>7190</v>
      </c>
      <c r="H239" s="125">
        <v>3810</v>
      </c>
      <c r="I239" s="124">
        <v>0</v>
      </c>
      <c r="J239" s="124">
        <v>0</v>
      </c>
      <c r="K239" s="124">
        <v>0</v>
      </c>
      <c r="L239" s="124">
        <v>0</v>
      </c>
      <c r="M239" s="124">
        <v>0</v>
      </c>
    </row>
    <row r="240" spans="1:13">
      <c r="A240" s="124">
        <v>2380000</v>
      </c>
      <c r="B240" s="124">
        <v>2390000</v>
      </c>
      <c r="C240" s="124">
        <v>31730</v>
      </c>
      <c r="D240" s="124">
        <v>24730</v>
      </c>
      <c r="E240" s="124">
        <v>14140</v>
      </c>
      <c r="F240" s="124">
        <v>10760</v>
      </c>
      <c r="G240" s="124">
        <v>7390</v>
      </c>
      <c r="H240" s="125">
        <v>4010</v>
      </c>
      <c r="I240" s="124">
        <v>0</v>
      </c>
      <c r="J240" s="124">
        <v>0</v>
      </c>
      <c r="K240" s="124">
        <v>0</v>
      </c>
      <c r="L240" s="124">
        <v>0</v>
      </c>
      <c r="M240" s="124">
        <v>0</v>
      </c>
    </row>
    <row r="241" spans="1:13">
      <c r="A241" s="124">
        <v>2390000</v>
      </c>
      <c r="B241" s="124">
        <v>2400000</v>
      </c>
      <c r="C241" s="124">
        <v>32050</v>
      </c>
      <c r="D241" s="124">
        <v>25050</v>
      </c>
      <c r="E241" s="124">
        <v>14340</v>
      </c>
      <c r="F241" s="124">
        <v>10960</v>
      </c>
      <c r="G241" s="124">
        <v>7590</v>
      </c>
      <c r="H241" s="125">
        <v>4210</v>
      </c>
      <c r="I241" s="124">
        <v>0</v>
      </c>
      <c r="J241" s="124">
        <v>0</v>
      </c>
      <c r="K241" s="124">
        <v>0</v>
      </c>
      <c r="L241" s="124">
        <v>0</v>
      </c>
      <c r="M241" s="124">
        <v>0</v>
      </c>
    </row>
    <row r="242" spans="1:13">
      <c r="A242" s="124">
        <v>2400000</v>
      </c>
      <c r="B242" s="124">
        <v>2410000</v>
      </c>
      <c r="C242" s="124">
        <v>32380</v>
      </c>
      <c r="D242" s="124">
        <v>25380</v>
      </c>
      <c r="E242" s="124">
        <v>14530</v>
      </c>
      <c r="F242" s="124">
        <v>11160</v>
      </c>
      <c r="G242" s="124">
        <v>7780</v>
      </c>
      <c r="H242" s="125">
        <v>4410</v>
      </c>
      <c r="I242" s="124">
        <v>1030</v>
      </c>
      <c r="J242" s="124">
        <v>0</v>
      </c>
      <c r="K242" s="124">
        <v>0</v>
      </c>
      <c r="L242" s="124">
        <v>0</v>
      </c>
      <c r="M242" s="124">
        <v>0</v>
      </c>
    </row>
    <row r="243" spans="1:13">
      <c r="A243" s="124">
        <v>2410000</v>
      </c>
      <c r="B243" s="124">
        <v>2420000</v>
      </c>
      <c r="C243" s="124">
        <v>32700</v>
      </c>
      <c r="D243" s="124">
        <v>25700</v>
      </c>
      <c r="E243" s="124">
        <v>14730</v>
      </c>
      <c r="F243" s="124">
        <v>11360</v>
      </c>
      <c r="G243" s="124">
        <v>7980</v>
      </c>
      <c r="H243" s="125">
        <v>4610</v>
      </c>
      <c r="I243" s="124">
        <v>1230</v>
      </c>
      <c r="J243" s="124">
        <v>0</v>
      </c>
      <c r="K243" s="124">
        <v>0</v>
      </c>
      <c r="L243" s="124">
        <v>0</v>
      </c>
      <c r="M243" s="124">
        <v>0</v>
      </c>
    </row>
    <row r="244" spans="1:13">
      <c r="A244" s="124">
        <v>2420000</v>
      </c>
      <c r="B244" s="124">
        <v>2430000</v>
      </c>
      <c r="C244" s="124">
        <v>33020</v>
      </c>
      <c r="D244" s="124">
        <v>26020</v>
      </c>
      <c r="E244" s="124">
        <v>14930</v>
      </c>
      <c r="F244" s="124">
        <v>11560</v>
      </c>
      <c r="G244" s="124">
        <v>8180</v>
      </c>
      <c r="H244" s="125">
        <v>4810</v>
      </c>
      <c r="I244" s="124">
        <v>1430</v>
      </c>
      <c r="J244" s="124">
        <v>0</v>
      </c>
      <c r="K244" s="124">
        <v>0</v>
      </c>
      <c r="L244" s="124">
        <v>0</v>
      </c>
      <c r="M244" s="124">
        <v>0</v>
      </c>
    </row>
    <row r="245" spans="1:13">
      <c r="A245" s="124">
        <v>2430000</v>
      </c>
      <c r="B245" s="124">
        <v>2440000</v>
      </c>
      <c r="C245" s="124">
        <v>33340</v>
      </c>
      <c r="D245" s="124">
        <v>26340</v>
      </c>
      <c r="E245" s="124">
        <v>15130</v>
      </c>
      <c r="F245" s="124">
        <v>11760</v>
      </c>
      <c r="G245" s="124">
        <v>8380</v>
      </c>
      <c r="H245" s="125">
        <v>5010</v>
      </c>
      <c r="I245" s="124">
        <v>1630</v>
      </c>
      <c r="J245" s="124">
        <v>0</v>
      </c>
      <c r="K245" s="124">
        <v>0</v>
      </c>
      <c r="L245" s="124">
        <v>0</v>
      </c>
      <c r="M245" s="124">
        <v>0</v>
      </c>
    </row>
    <row r="246" spans="1:13">
      <c r="A246" s="124">
        <v>2440000</v>
      </c>
      <c r="B246" s="124">
        <v>2450000</v>
      </c>
      <c r="C246" s="124">
        <v>33660</v>
      </c>
      <c r="D246" s="124">
        <v>26660</v>
      </c>
      <c r="E246" s="124">
        <v>15330</v>
      </c>
      <c r="F246" s="124">
        <v>11950</v>
      </c>
      <c r="G246" s="124">
        <v>8580</v>
      </c>
      <c r="H246" s="125">
        <v>5200</v>
      </c>
      <c r="I246" s="124">
        <v>1830</v>
      </c>
      <c r="J246" s="124">
        <v>0</v>
      </c>
      <c r="K246" s="124">
        <v>0</v>
      </c>
      <c r="L246" s="124">
        <v>0</v>
      </c>
      <c r="M246" s="124">
        <v>0</v>
      </c>
    </row>
    <row r="247" spans="1:13">
      <c r="A247" s="124">
        <v>2450000</v>
      </c>
      <c r="B247" s="124">
        <v>2460000</v>
      </c>
      <c r="C247" s="124">
        <v>33980</v>
      </c>
      <c r="D247" s="124">
        <v>26980</v>
      </c>
      <c r="E247" s="124">
        <v>15530</v>
      </c>
      <c r="F247" s="124">
        <v>12150</v>
      </c>
      <c r="G247" s="124">
        <v>8780</v>
      </c>
      <c r="H247" s="125">
        <v>5400</v>
      </c>
      <c r="I247" s="124">
        <v>2030</v>
      </c>
      <c r="J247" s="124">
        <v>0</v>
      </c>
      <c r="K247" s="124">
        <v>0</v>
      </c>
      <c r="L247" s="124">
        <v>0</v>
      </c>
      <c r="M247" s="124">
        <v>0</v>
      </c>
    </row>
    <row r="248" spans="1:13">
      <c r="A248" s="124">
        <v>2460000</v>
      </c>
      <c r="B248" s="124">
        <v>2470000</v>
      </c>
      <c r="C248" s="124">
        <v>34300</v>
      </c>
      <c r="D248" s="124">
        <v>27300</v>
      </c>
      <c r="E248" s="124">
        <v>15730</v>
      </c>
      <c r="F248" s="124">
        <v>12350</v>
      </c>
      <c r="G248" s="124">
        <v>8980</v>
      </c>
      <c r="H248" s="125">
        <v>5600</v>
      </c>
      <c r="I248" s="124">
        <v>2230</v>
      </c>
      <c r="J248" s="124">
        <v>0</v>
      </c>
      <c r="K248" s="124">
        <v>0</v>
      </c>
      <c r="L248" s="124">
        <v>0</v>
      </c>
      <c r="M248" s="124">
        <v>0</v>
      </c>
    </row>
    <row r="249" spans="1:13">
      <c r="A249" s="124">
        <v>2470000</v>
      </c>
      <c r="B249" s="124">
        <v>2480000</v>
      </c>
      <c r="C249" s="124">
        <v>34630</v>
      </c>
      <c r="D249" s="124">
        <v>27630</v>
      </c>
      <c r="E249" s="124">
        <v>15920</v>
      </c>
      <c r="F249" s="124">
        <v>12550</v>
      </c>
      <c r="G249" s="124">
        <v>9170</v>
      </c>
      <c r="H249" s="125">
        <v>5800</v>
      </c>
      <c r="I249" s="124">
        <v>2420</v>
      </c>
      <c r="J249" s="124">
        <v>0</v>
      </c>
      <c r="K249" s="124">
        <v>0</v>
      </c>
      <c r="L249" s="124">
        <v>0</v>
      </c>
      <c r="M249" s="124">
        <v>0</v>
      </c>
    </row>
    <row r="250" spans="1:13">
      <c r="A250" s="124">
        <v>2480000</v>
      </c>
      <c r="B250" s="124">
        <v>2490000</v>
      </c>
      <c r="C250" s="124">
        <v>34950</v>
      </c>
      <c r="D250" s="124">
        <v>27950</v>
      </c>
      <c r="E250" s="124">
        <v>16120</v>
      </c>
      <c r="F250" s="124">
        <v>12750</v>
      </c>
      <c r="G250" s="124">
        <v>9370</v>
      </c>
      <c r="H250" s="125">
        <v>6000</v>
      </c>
      <c r="I250" s="124">
        <v>2620</v>
      </c>
      <c r="J250" s="124">
        <v>0</v>
      </c>
      <c r="K250" s="124">
        <v>0</v>
      </c>
      <c r="L250" s="124">
        <v>0</v>
      </c>
      <c r="M250" s="124">
        <v>0</v>
      </c>
    </row>
    <row r="251" spans="1:13">
      <c r="A251" s="124">
        <v>2490000</v>
      </c>
      <c r="B251" s="124">
        <v>2500000</v>
      </c>
      <c r="C251" s="124">
        <v>35270</v>
      </c>
      <c r="D251" s="124">
        <v>28270</v>
      </c>
      <c r="E251" s="124">
        <v>16320</v>
      </c>
      <c r="F251" s="124">
        <v>12950</v>
      </c>
      <c r="G251" s="124">
        <v>9570</v>
      </c>
      <c r="H251" s="125">
        <v>6200</v>
      </c>
      <c r="I251" s="124">
        <v>2820</v>
      </c>
      <c r="J251" s="124">
        <v>0</v>
      </c>
      <c r="K251" s="124">
        <v>0</v>
      </c>
      <c r="L251" s="124">
        <v>0</v>
      </c>
      <c r="M251" s="124">
        <v>0</v>
      </c>
    </row>
    <row r="252" spans="1:13">
      <c r="A252" s="124">
        <v>2500000</v>
      </c>
      <c r="B252" s="124">
        <v>2510000</v>
      </c>
      <c r="C252" s="124">
        <v>35600</v>
      </c>
      <c r="D252" s="124">
        <v>28600</v>
      </c>
      <c r="E252" s="124">
        <v>16530</v>
      </c>
      <c r="F252" s="124">
        <v>13150</v>
      </c>
      <c r="G252" s="124">
        <v>9780</v>
      </c>
      <c r="H252" s="125">
        <v>6400</v>
      </c>
      <c r="I252" s="124">
        <v>3030</v>
      </c>
      <c r="J252" s="124">
        <v>0</v>
      </c>
      <c r="K252" s="124">
        <v>0</v>
      </c>
      <c r="L252" s="124">
        <v>0</v>
      </c>
      <c r="M252" s="124">
        <v>0</v>
      </c>
    </row>
    <row r="253" spans="1:13">
      <c r="A253" s="124">
        <v>2510000</v>
      </c>
      <c r="B253" s="124">
        <v>2520000</v>
      </c>
      <c r="C253" s="124">
        <v>35940</v>
      </c>
      <c r="D253" s="124">
        <v>28940</v>
      </c>
      <c r="E253" s="124">
        <v>16740</v>
      </c>
      <c r="F253" s="124">
        <v>13360</v>
      </c>
      <c r="G253" s="124">
        <v>9990</v>
      </c>
      <c r="H253" s="125">
        <v>6610</v>
      </c>
      <c r="I253" s="124">
        <v>3240</v>
      </c>
      <c r="J253" s="124">
        <v>0</v>
      </c>
      <c r="K253" s="124">
        <v>0</v>
      </c>
      <c r="L253" s="124">
        <v>0</v>
      </c>
      <c r="M253" s="124">
        <v>0</v>
      </c>
    </row>
    <row r="254" spans="1:13">
      <c r="A254" s="124">
        <v>2520000</v>
      </c>
      <c r="B254" s="124">
        <v>2530000</v>
      </c>
      <c r="C254" s="124">
        <v>36280</v>
      </c>
      <c r="D254" s="124">
        <v>29280</v>
      </c>
      <c r="E254" s="124">
        <v>16950</v>
      </c>
      <c r="F254" s="124">
        <v>13580</v>
      </c>
      <c r="G254" s="124">
        <v>10200</v>
      </c>
      <c r="H254" s="125">
        <v>6830</v>
      </c>
      <c r="I254" s="124">
        <v>3450</v>
      </c>
      <c r="J254" s="124">
        <v>0</v>
      </c>
      <c r="K254" s="124">
        <v>0</v>
      </c>
      <c r="L254" s="124">
        <v>0</v>
      </c>
      <c r="M254" s="124">
        <v>0</v>
      </c>
    </row>
    <row r="255" spans="1:13">
      <c r="A255" s="124">
        <v>2530000</v>
      </c>
      <c r="B255" s="124">
        <v>2540000</v>
      </c>
      <c r="C255" s="124">
        <v>36630</v>
      </c>
      <c r="D255" s="124">
        <v>29630</v>
      </c>
      <c r="E255" s="124">
        <v>17160</v>
      </c>
      <c r="F255" s="124">
        <v>13790</v>
      </c>
      <c r="G255" s="124">
        <v>10410</v>
      </c>
      <c r="H255" s="125">
        <v>7040</v>
      </c>
      <c r="I255" s="124">
        <v>3660</v>
      </c>
      <c r="J255" s="124">
        <v>0</v>
      </c>
      <c r="K255" s="124">
        <v>0</v>
      </c>
      <c r="L255" s="124">
        <v>0</v>
      </c>
      <c r="M255" s="124">
        <v>0</v>
      </c>
    </row>
    <row r="256" spans="1:13">
      <c r="A256" s="124">
        <v>2540000</v>
      </c>
      <c r="B256" s="124">
        <v>2550000</v>
      </c>
      <c r="C256" s="124">
        <v>36970</v>
      </c>
      <c r="D256" s="124">
        <v>29970</v>
      </c>
      <c r="E256" s="124">
        <v>17370</v>
      </c>
      <c r="F256" s="124">
        <v>14000</v>
      </c>
      <c r="G256" s="124">
        <v>10620</v>
      </c>
      <c r="H256" s="125">
        <v>7250</v>
      </c>
      <c r="I256" s="124">
        <v>3870</v>
      </c>
      <c r="J256" s="124">
        <v>0</v>
      </c>
      <c r="K256" s="124">
        <v>0</v>
      </c>
      <c r="L256" s="124">
        <v>0</v>
      </c>
      <c r="M256" s="124">
        <v>0</v>
      </c>
    </row>
    <row r="257" spans="1:13">
      <c r="A257" s="124">
        <v>2550000</v>
      </c>
      <c r="B257" s="124">
        <v>2560000</v>
      </c>
      <c r="C257" s="124">
        <v>37310</v>
      </c>
      <c r="D257" s="124">
        <v>30310</v>
      </c>
      <c r="E257" s="124">
        <v>17590</v>
      </c>
      <c r="F257" s="124">
        <v>14210</v>
      </c>
      <c r="G257" s="124">
        <v>10840</v>
      </c>
      <c r="H257" s="125">
        <v>7460</v>
      </c>
      <c r="I257" s="124">
        <v>4090</v>
      </c>
      <c r="J257" s="124">
        <v>0</v>
      </c>
      <c r="K257" s="124">
        <v>0</v>
      </c>
      <c r="L257" s="124">
        <v>0</v>
      </c>
      <c r="M257" s="124">
        <v>0</v>
      </c>
    </row>
    <row r="258" spans="1:13">
      <c r="A258" s="124">
        <v>2560000</v>
      </c>
      <c r="B258" s="124">
        <v>2570000</v>
      </c>
      <c r="C258" s="124">
        <v>37650</v>
      </c>
      <c r="D258" s="124">
        <v>30650</v>
      </c>
      <c r="E258" s="124">
        <v>17800</v>
      </c>
      <c r="F258" s="124">
        <v>14420</v>
      </c>
      <c r="G258" s="124">
        <v>11050</v>
      </c>
      <c r="H258" s="125">
        <v>7670</v>
      </c>
      <c r="I258" s="124">
        <v>4300</v>
      </c>
      <c r="J258" s="124">
        <v>0</v>
      </c>
      <c r="K258" s="124">
        <v>0</v>
      </c>
      <c r="L258" s="124">
        <v>0</v>
      </c>
      <c r="M258" s="124">
        <v>0</v>
      </c>
    </row>
    <row r="259" spans="1:13">
      <c r="A259" s="124">
        <v>2570000</v>
      </c>
      <c r="B259" s="124">
        <v>2580000</v>
      </c>
      <c r="C259" s="124">
        <v>38000</v>
      </c>
      <c r="D259" s="124">
        <v>31000</v>
      </c>
      <c r="E259" s="124">
        <v>18010</v>
      </c>
      <c r="F259" s="124">
        <v>14630</v>
      </c>
      <c r="G259" s="124">
        <v>11260</v>
      </c>
      <c r="H259" s="125">
        <v>7880</v>
      </c>
      <c r="I259" s="124">
        <v>4510</v>
      </c>
      <c r="J259" s="124">
        <v>1130</v>
      </c>
      <c r="K259" s="124">
        <v>0</v>
      </c>
      <c r="L259" s="124">
        <v>0</v>
      </c>
      <c r="M259" s="124">
        <v>0</v>
      </c>
    </row>
    <row r="260" spans="1:13">
      <c r="A260" s="124">
        <v>2580000</v>
      </c>
      <c r="B260" s="124">
        <v>2590000</v>
      </c>
      <c r="C260" s="124">
        <v>38340</v>
      </c>
      <c r="D260" s="124">
        <v>31340</v>
      </c>
      <c r="E260" s="124">
        <v>18220</v>
      </c>
      <c r="F260" s="124">
        <v>14850</v>
      </c>
      <c r="G260" s="124">
        <v>11470</v>
      </c>
      <c r="H260" s="125">
        <v>8100</v>
      </c>
      <c r="I260" s="124">
        <v>4720</v>
      </c>
      <c r="J260" s="124">
        <v>1350</v>
      </c>
      <c r="K260" s="124">
        <v>0</v>
      </c>
      <c r="L260" s="124">
        <v>0</v>
      </c>
      <c r="M260" s="124">
        <v>0</v>
      </c>
    </row>
    <row r="261" spans="1:13">
      <c r="A261" s="124">
        <v>2590000</v>
      </c>
      <c r="B261" s="124">
        <v>2600000</v>
      </c>
      <c r="C261" s="124">
        <v>38830</v>
      </c>
      <c r="D261" s="124">
        <v>31680</v>
      </c>
      <c r="E261" s="124">
        <v>18430</v>
      </c>
      <c r="F261" s="124">
        <v>15060</v>
      </c>
      <c r="G261" s="124">
        <v>11680</v>
      </c>
      <c r="H261" s="125">
        <v>8310</v>
      </c>
      <c r="I261" s="124">
        <v>4930</v>
      </c>
      <c r="J261" s="124">
        <v>1560</v>
      </c>
      <c r="K261" s="124">
        <v>0</v>
      </c>
      <c r="L261" s="124">
        <v>0</v>
      </c>
      <c r="M261" s="124">
        <v>0</v>
      </c>
    </row>
    <row r="262" spans="1:13">
      <c r="A262" s="124">
        <v>2600000</v>
      </c>
      <c r="B262" s="124">
        <v>2610000</v>
      </c>
      <c r="C262" s="124">
        <v>39690</v>
      </c>
      <c r="D262" s="124">
        <v>32020</v>
      </c>
      <c r="E262" s="124">
        <v>18650</v>
      </c>
      <c r="F262" s="124">
        <v>15270</v>
      </c>
      <c r="G262" s="124">
        <v>11900</v>
      </c>
      <c r="H262" s="125">
        <v>8520</v>
      </c>
      <c r="I262" s="124">
        <v>5150</v>
      </c>
      <c r="J262" s="124">
        <v>1770</v>
      </c>
      <c r="K262" s="124">
        <v>0</v>
      </c>
      <c r="L262" s="124">
        <v>0</v>
      </c>
      <c r="M262" s="124">
        <v>0</v>
      </c>
    </row>
    <row r="263" spans="1:13">
      <c r="A263" s="124">
        <v>2610000</v>
      </c>
      <c r="B263" s="124">
        <v>2620000</v>
      </c>
      <c r="C263" s="124">
        <v>40540</v>
      </c>
      <c r="D263" s="124">
        <v>32360</v>
      </c>
      <c r="E263" s="124">
        <v>18920</v>
      </c>
      <c r="F263" s="124">
        <v>15480</v>
      </c>
      <c r="G263" s="124">
        <v>12110</v>
      </c>
      <c r="H263" s="125">
        <v>8730</v>
      </c>
      <c r="I263" s="124">
        <v>5360</v>
      </c>
      <c r="J263" s="124">
        <v>1980</v>
      </c>
      <c r="K263" s="124">
        <v>0</v>
      </c>
      <c r="L263" s="124">
        <v>0</v>
      </c>
      <c r="M263" s="124">
        <v>0</v>
      </c>
    </row>
    <row r="264" spans="1:13">
      <c r="A264" s="124">
        <v>2620000</v>
      </c>
      <c r="B264" s="124">
        <v>2630000</v>
      </c>
      <c r="C264" s="124">
        <v>41400</v>
      </c>
      <c r="D264" s="124">
        <v>32710</v>
      </c>
      <c r="E264" s="124">
        <v>19250</v>
      </c>
      <c r="F264" s="124">
        <v>15690</v>
      </c>
      <c r="G264" s="124">
        <v>12320</v>
      </c>
      <c r="H264" s="125">
        <v>8940</v>
      </c>
      <c r="I264" s="124">
        <v>5570</v>
      </c>
      <c r="J264" s="124">
        <v>2190</v>
      </c>
      <c r="K264" s="124">
        <v>0</v>
      </c>
      <c r="L264" s="124">
        <v>0</v>
      </c>
      <c r="M264" s="124">
        <v>0</v>
      </c>
    </row>
    <row r="265" spans="1:13">
      <c r="A265" s="124">
        <v>2630000</v>
      </c>
      <c r="B265" s="124">
        <v>2640000</v>
      </c>
      <c r="C265" s="124">
        <v>42260</v>
      </c>
      <c r="D265" s="124">
        <v>33050</v>
      </c>
      <c r="E265" s="124">
        <v>19580</v>
      </c>
      <c r="F265" s="124">
        <v>15910</v>
      </c>
      <c r="G265" s="124">
        <v>12530</v>
      </c>
      <c r="H265" s="125">
        <v>9160</v>
      </c>
      <c r="I265" s="124">
        <v>5780</v>
      </c>
      <c r="J265" s="124">
        <v>2410</v>
      </c>
      <c r="K265" s="124">
        <v>0</v>
      </c>
      <c r="L265" s="124">
        <v>0</v>
      </c>
      <c r="M265" s="124">
        <v>0</v>
      </c>
    </row>
    <row r="266" spans="1:13">
      <c r="A266" s="124">
        <v>2640000</v>
      </c>
      <c r="B266" s="124">
        <v>2650000</v>
      </c>
      <c r="C266" s="124">
        <v>43110</v>
      </c>
      <c r="D266" s="124">
        <v>33390</v>
      </c>
      <c r="E266" s="124">
        <v>19910</v>
      </c>
      <c r="F266" s="124">
        <v>16120</v>
      </c>
      <c r="G266" s="124">
        <v>12740</v>
      </c>
      <c r="H266" s="125">
        <v>9370</v>
      </c>
      <c r="I266" s="124">
        <v>5990</v>
      </c>
      <c r="J266" s="124">
        <v>2620</v>
      </c>
      <c r="K266" s="124">
        <v>0</v>
      </c>
      <c r="L266" s="124">
        <v>0</v>
      </c>
      <c r="M266" s="124">
        <v>0</v>
      </c>
    </row>
    <row r="267" spans="1:13">
      <c r="A267" s="124">
        <v>2650000</v>
      </c>
      <c r="B267" s="124">
        <v>2660000</v>
      </c>
      <c r="C267" s="124">
        <v>43970</v>
      </c>
      <c r="D267" s="124">
        <v>33730</v>
      </c>
      <c r="E267" s="124">
        <v>20240</v>
      </c>
      <c r="F267" s="124">
        <v>16330</v>
      </c>
      <c r="G267" s="124">
        <v>12960</v>
      </c>
      <c r="H267" s="125">
        <v>9580</v>
      </c>
      <c r="I267" s="124">
        <v>6210</v>
      </c>
      <c r="J267" s="124">
        <v>2830</v>
      </c>
      <c r="K267" s="124">
        <v>0</v>
      </c>
      <c r="L267" s="124">
        <v>0</v>
      </c>
      <c r="M267" s="124">
        <v>0</v>
      </c>
    </row>
    <row r="268" spans="1:13">
      <c r="A268" s="124">
        <v>2660000</v>
      </c>
      <c r="B268" s="124">
        <v>2670000</v>
      </c>
      <c r="C268" s="124">
        <v>44820</v>
      </c>
      <c r="D268" s="124">
        <v>34080</v>
      </c>
      <c r="E268" s="124">
        <v>20570</v>
      </c>
      <c r="F268" s="124">
        <v>16540</v>
      </c>
      <c r="G268" s="124">
        <v>13170</v>
      </c>
      <c r="H268" s="125">
        <v>9790</v>
      </c>
      <c r="I268" s="124">
        <v>6420</v>
      </c>
      <c r="J268" s="124">
        <v>3040</v>
      </c>
      <c r="K268" s="124">
        <v>0</v>
      </c>
      <c r="L268" s="124">
        <v>0</v>
      </c>
      <c r="M268" s="124">
        <v>0</v>
      </c>
    </row>
    <row r="269" spans="1:13">
      <c r="A269" s="124">
        <v>2670000</v>
      </c>
      <c r="B269" s="124">
        <v>2680000</v>
      </c>
      <c r="C269" s="124">
        <v>45680</v>
      </c>
      <c r="D269" s="124">
        <v>34420</v>
      </c>
      <c r="E269" s="124">
        <v>20900</v>
      </c>
      <c r="F269" s="124">
        <v>16750</v>
      </c>
      <c r="G269" s="124">
        <v>13380</v>
      </c>
      <c r="H269" s="125">
        <v>10000</v>
      </c>
      <c r="I269" s="124">
        <v>6630</v>
      </c>
      <c r="J269" s="124">
        <v>3250</v>
      </c>
      <c r="K269" s="124">
        <v>0</v>
      </c>
      <c r="L269" s="124">
        <v>0</v>
      </c>
      <c r="M269" s="124">
        <v>0</v>
      </c>
    </row>
    <row r="270" spans="1:13">
      <c r="A270" s="124">
        <v>2680000</v>
      </c>
      <c r="B270" s="124">
        <v>2690000</v>
      </c>
      <c r="C270" s="124">
        <v>46540</v>
      </c>
      <c r="D270" s="124">
        <v>34760</v>
      </c>
      <c r="E270" s="124">
        <v>21230</v>
      </c>
      <c r="F270" s="124">
        <v>16970</v>
      </c>
      <c r="G270" s="124">
        <v>13590</v>
      </c>
      <c r="H270" s="125">
        <v>10220</v>
      </c>
      <c r="I270" s="124">
        <v>6840</v>
      </c>
      <c r="J270" s="124">
        <v>3470</v>
      </c>
      <c r="K270" s="124">
        <v>0</v>
      </c>
      <c r="L270" s="124">
        <v>0</v>
      </c>
      <c r="M270" s="124">
        <v>0</v>
      </c>
    </row>
    <row r="271" spans="1:13">
      <c r="A271" s="124">
        <v>2690000</v>
      </c>
      <c r="B271" s="124">
        <v>2700000</v>
      </c>
      <c r="C271" s="124">
        <v>47390</v>
      </c>
      <c r="D271" s="124">
        <v>35100</v>
      </c>
      <c r="E271" s="124">
        <v>21560</v>
      </c>
      <c r="F271" s="124">
        <v>17180</v>
      </c>
      <c r="G271" s="124">
        <v>13800</v>
      </c>
      <c r="H271" s="125">
        <v>10430</v>
      </c>
      <c r="I271" s="124">
        <v>7050</v>
      </c>
      <c r="J271" s="124">
        <v>3680</v>
      </c>
      <c r="K271" s="124">
        <v>0</v>
      </c>
      <c r="L271" s="124">
        <v>0</v>
      </c>
      <c r="M271" s="124">
        <v>0</v>
      </c>
    </row>
    <row r="272" spans="1:13">
      <c r="A272" s="124">
        <v>2700000</v>
      </c>
      <c r="B272" s="124">
        <v>2710000</v>
      </c>
      <c r="C272" s="124">
        <v>48250</v>
      </c>
      <c r="D272" s="124">
        <v>35450</v>
      </c>
      <c r="E272" s="124">
        <v>21890</v>
      </c>
      <c r="F272" s="124">
        <v>17390</v>
      </c>
      <c r="G272" s="124">
        <v>14020</v>
      </c>
      <c r="H272" s="125">
        <v>10640</v>
      </c>
      <c r="I272" s="124">
        <v>7270</v>
      </c>
      <c r="J272" s="124">
        <v>3890</v>
      </c>
      <c r="K272" s="124">
        <v>0</v>
      </c>
      <c r="L272" s="124">
        <v>0</v>
      </c>
      <c r="M272" s="124">
        <v>0</v>
      </c>
    </row>
    <row r="273" spans="1:13">
      <c r="A273" s="124">
        <v>2710000</v>
      </c>
      <c r="B273" s="124">
        <v>2720000</v>
      </c>
      <c r="C273" s="124">
        <v>49100</v>
      </c>
      <c r="D273" s="124">
        <v>35790</v>
      </c>
      <c r="E273" s="124">
        <v>22220</v>
      </c>
      <c r="F273" s="124">
        <v>17600</v>
      </c>
      <c r="G273" s="124">
        <v>14230</v>
      </c>
      <c r="H273" s="125">
        <v>10850</v>
      </c>
      <c r="I273" s="124">
        <v>7480</v>
      </c>
      <c r="J273" s="124">
        <v>4100</v>
      </c>
      <c r="K273" s="124">
        <v>0</v>
      </c>
      <c r="L273" s="124">
        <v>0</v>
      </c>
      <c r="M273" s="124">
        <v>0</v>
      </c>
    </row>
    <row r="274" spans="1:13">
      <c r="A274" s="124">
        <v>2720000</v>
      </c>
      <c r="B274" s="124">
        <v>2730000</v>
      </c>
      <c r="C274" s="124">
        <v>49960</v>
      </c>
      <c r="D274" s="124">
        <v>36130</v>
      </c>
      <c r="E274" s="124">
        <v>22550</v>
      </c>
      <c r="F274" s="124">
        <v>17810</v>
      </c>
      <c r="G274" s="124">
        <v>14440</v>
      </c>
      <c r="H274" s="125">
        <v>11060</v>
      </c>
      <c r="I274" s="124">
        <v>7690</v>
      </c>
      <c r="J274" s="124">
        <v>4310</v>
      </c>
      <c r="K274" s="124">
        <v>0</v>
      </c>
      <c r="L274" s="124">
        <v>0</v>
      </c>
      <c r="M274" s="124">
        <v>0</v>
      </c>
    </row>
    <row r="275" spans="1:13">
      <c r="A275" s="124">
        <v>2730000</v>
      </c>
      <c r="B275" s="124">
        <v>2740000</v>
      </c>
      <c r="C275" s="124">
        <v>50810</v>
      </c>
      <c r="D275" s="124">
        <v>36470</v>
      </c>
      <c r="E275" s="124">
        <v>22880</v>
      </c>
      <c r="F275" s="124">
        <v>18030</v>
      </c>
      <c r="G275" s="124">
        <v>14650</v>
      </c>
      <c r="H275" s="125">
        <v>11280</v>
      </c>
      <c r="I275" s="124">
        <v>7900</v>
      </c>
      <c r="J275" s="124">
        <v>4530</v>
      </c>
      <c r="K275" s="124">
        <v>1150</v>
      </c>
      <c r="L275" s="124">
        <v>0</v>
      </c>
      <c r="M275" s="124">
        <v>0</v>
      </c>
    </row>
    <row r="276" spans="1:13">
      <c r="A276" s="124">
        <v>2740000</v>
      </c>
      <c r="B276" s="124">
        <v>2750000</v>
      </c>
      <c r="C276" s="124">
        <v>51670</v>
      </c>
      <c r="D276" s="124">
        <v>36810</v>
      </c>
      <c r="E276" s="124">
        <v>23210</v>
      </c>
      <c r="F276" s="124">
        <v>18240</v>
      </c>
      <c r="G276" s="124">
        <v>14860</v>
      </c>
      <c r="H276" s="125">
        <v>11490</v>
      </c>
      <c r="I276" s="124">
        <v>8110</v>
      </c>
      <c r="J276" s="124">
        <v>4740</v>
      </c>
      <c r="K276" s="124">
        <v>1360</v>
      </c>
      <c r="L276" s="124">
        <v>0</v>
      </c>
      <c r="M276" s="124">
        <v>0</v>
      </c>
    </row>
    <row r="277" spans="1:13">
      <c r="A277" s="124">
        <v>2750000</v>
      </c>
      <c r="B277" s="124">
        <v>2760000</v>
      </c>
      <c r="C277" s="124">
        <v>52530</v>
      </c>
      <c r="D277" s="124">
        <v>37160</v>
      </c>
      <c r="E277" s="124">
        <v>23540</v>
      </c>
      <c r="F277" s="124">
        <v>18450</v>
      </c>
      <c r="G277" s="124">
        <v>15070</v>
      </c>
      <c r="H277" s="125">
        <v>11700</v>
      </c>
      <c r="I277" s="124">
        <v>8320</v>
      </c>
      <c r="J277" s="124">
        <v>4950</v>
      </c>
      <c r="K277" s="124">
        <v>1570</v>
      </c>
      <c r="L277" s="124">
        <v>0</v>
      </c>
      <c r="M277" s="124">
        <v>0</v>
      </c>
    </row>
    <row r="278" spans="1:13">
      <c r="A278" s="124">
        <v>2760000</v>
      </c>
      <c r="B278" s="124">
        <v>2770000</v>
      </c>
      <c r="C278" s="124">
        <v>53380</v>
      </c>
      <c r="D278" s="124">
        <v>37500</v>
      </c>
      <c r="E278" s="124">
        <v>23870</v>
      </c>
      <c r="F278" s="124">
        <v>18660</v>
      </c>
      <c r="G278" s="124">
        <v>15290</v>
      </c>
      <c r="H278" s="125">
        <v>11910</v>
      </c>
      <c r="I278" s="124">
        <v>8540</v>
      </c>
      <c r="J278" s="124">
        <v>5160</v>
      </c>
      <c r="K278" s="124">
        <v>1790</v>
      </c>
      <c r="L278" s="124">
        <v>0</v>
      </c>
      <c r="M278" s="124">
        <v>0</v>
      </c>
    </row>
    <row r="279" spans="1:13">
      <c r="A279" s="124">
        <v>2770000</v>
      </c>
      <c r="B279" s="124">
        <v>2780000</v>
      </c>
      <c r="C279" s="124">
        <v>54240</v>
      </c>
      <c r="D279" s="124">
        <v>37840</v>
      </c>
      <c r="E279" s="124">
        <v>24200</v>
      </c>
      <c r="F279" s="124">
        <v>18950</v>
      </c>
      <c r="G279" s="124">
        <v>15500</v>
      </c>
      <c r="H279" s="125">
        <v>12120</v>
      </c>
      <c r="I279" s="124">
        <v>8750</v>
      </c>
      <c r="J279" s="124">
        <v>5370</v>
      </c>
      <c r="K279" s="124">
        <v>2000</v>
      </c>
      <c r="L279" s="124">
        <v>0</v>
      </c>
      <c r="M279" s="124">
        <v>0</v>
      </c>
    </row>
    <row r="280" spans="1:13">
      <c r="A280" s="124">
        <v>2780000</v>
      </c>
      <c r="B280" s="124">
        <v>2790000</v>
      </c>
      <c r="C280" s="124">
        <v>55090</v>
      </c>
      <c r="D280" s="124">
        <v>38180</v>
      </c>
      <c r="E280" s="124">
        <v>24520</v>
      </c>
      <c r="F280" s="124">
        <v>19270</v>
      </c>
      <c r="G280" s="124">
        <v>15710</v>
      </c>
      <c r="H280" s="125">
        <v>12340</v>
      </c>
      <c r="I280" s="124">
        <v>8960</v>
      </c>
      <c r="J280" s="124">
        <v>5590</v>
      </c>
      <c r="K280" s="124">
        <v>2210</v>
      </c>
      <c r="L280" s="124">
        <v>0</v>
      </c>
      <c r="M280" s="124">
        <v>0</v>
      </c>
    </row>
    <row r="281" spans="1:13">
      <c r="A281" s="124">
        <v>2790000</v>
      </c>
      <c r="B281" s="124">
        <v>2800000</v>
      </c>
      <c r="C281" s="124">
        <v>55950</v>
      </c>
      <c r="D281" s="124">
        <v>38530</v>
      </c>
      <c r="E281" s="124">
        <v>24850</v>
      </c>
      <c r="F281" s="124">
        <v>19600</v>
      </c>
      <c r="G281" s="124">
        <v>15920</v>
      </c>
      <c r="H281" s="125">
        <v>12550</v>
      </c>
      <c r="I281" s="124">
        <v>9170</v>
      </c>
      <c r="J281" s="124">
        <v>5800</v>
      </c>
      <c r="K281" s="124">
        <v>2420</v>
      </c>
      <c r="L281" s="124">
        <v>0</v>
      </c>
      <c r="M281" s="124">
        <v>0</v>
      </c>
    </row>
    <row r="282" spans="1:13">
      <c r="A282" s="124">
        <v>2800000</v>
      </c>
      <c r="B282" s="124">
        <v>2810000</v>
      </c>
      <c r="C282" s="124">
        <v>56800</v>
      </c>
      <c r="D282" s="124">
        <v>39300</v>
      </c>
      <c r="E282" s="124">
        <v>25180</v>
      </c>
      <c r="F282" s="124">
        <v>19930</v>
      </c>
      <c r="G282" s="124">
        <v>16130</v>
      </c>
      <c r="H282" s="125">
        <v>12760</v>
      </c>
      <c r="I282" s="124">
        <v>9380</v>
      </c>
      <c r="J282" s="124">
        <v>6010</v>
      </c>
      <c r="K282" s="124">
        <v>2630</v>
      </c>
      <c r="L282" s="124">
        <v>0</v>
      </c>
      <c r="M282" s="124">
        <v>0</v>
      </c>
    </row>
    <row r="283" spans="1:13">
      <c r="A283" s="124">
        <v>2810000</v>
      </c>
      <c r="B283" s="124">
        <v>2820000</v>
      </c>
      <c r="C283" s="124">
        <v>57660</v>
      </c>
      <c r="D283" s="124">
        <v>40160</v>
      </c>
      <c r="E283" s="124">
        <v>25510</v>
      </c>
      <c r="F283" s="124">
        <v>20260</v>
      </c>
      <c r="G283" s="124">
        <v>16350</v>
      </c>
      <c r="H283" s="125">
        <v>12970</v>
      </c>
      <c r="I283" s="124">
        <v>9600</v>
      </c>
      <c r="J283" s="124">
        <v>6220</v>
      </c>
      <c r="K283" s="124">
        <v>2850</v>
      </c>
      <c r="L283" s="124">
        <v>0</v>
      </c>
      <c r="M283" s="124">
        <v>0</v>
      </c>
    </row>
    <row r="284" spans="1:13">
      <c r="A284" s="124">
        <v>2820000</v>
      </c>
      <c r="B284" s="124">
        <v>2830000</v>
      </c>
      <c r="C284" s="124">
        <v>58520</v>
      </c>
      <c r="D284" s="124">
        <v>41020</v>
      </c>
      <c r="E284" s="124">
        <v>25840</v>
      </c>
      <c r="F284" s="124">
        <v>20590</v>
      </c>
      <c r="G284" s="124">
        <v>16560</v>
      </c>
      <c r="H284" s="125">
        <v>13180</v>
      </c>
      <c r="I284" s="124">
        <v>9810</v>
      </c>
      <c r="J284" s="124">
        <v>6430</v>
      </c>
      <c r="K284" s="124">
        <v>3060</v>
      </c>
      <c r="L284" s="124">
        <v>0</v>
      </c>
      <c r="M284" s="124">
        <v>0</v>
      </c>
    </row>
    <row r="285" spans="1:13">
      <c r="A285" s="124">
        <v>2830000</v>
      </c>
      <c r="B285" s="124">
        <v>2840000</v>
      </c>
      <c r="C285" s="124">
        <v>59370</v>
      </c>
      <c r="D285" s="124">
        <v>41870</v>
      </c>
      <c r="E285" s="124">
        <v>26170</v>
      </c>
      <c r="F285" s="124">
        <v>20920</v>
      </c>
      <c r="G285" s="124">
        <v>16770</v>
      </c>
      <c r="H285" s="125">
        <v>13400</v>
      </c>
      <c r="I285" s="124">
        <v>10020</v>
      </c>
      <c r="J285" s="124">
        <v>6650</v>
      </c>
      <c r="K285" s="124">
        <v>3270</v>
      </c>
      <c r="L285" s="124">
        <v>0</v>
      </c>
      <c r="M285" s="124">
        <v>0</v>
      </c>
    </row>
    <row r="286" spans="1:13">
      <c r="A286" s="124">
        <v>2840000</v>
      </c>
      <c r="B286" s="124">
        <v>2850000</v>
      </c>
      <c r="C286" s="124">
        <v>60230</v>
      </c>
      <c r="D286" s="124">
        <v>42730</v>
      </c>
      <c r="E286" s="124">
        <v>26500</v>
      </c>
      <c r="F286" s="124">
        <v>21250</v>
      </c>
      <c r="G286" s="124">
        <v>16980</v>
      </c>
      <c r="H286" s="125">
        <v>13610</v>
      </c>
      <c r="I286" s="124">
        <v>10230</v>
      </c>
      <c r="J286" s="124">
        <v>6860</v>
      </c>
      <c r="K286" s="124">
        <v>3480</v>
      </c>
      <c r="L286" s="124">
        <v>0</v>
      </c>
      <c r="M286" s="124">
        <v>0</v>
      </c>
    </row>
    <row r="287" spans="1:13">
      <c r="A287" s="124">
        <v>2850000</v>
      </c>
      <c r="B287" s="124">
        <v>2860000</v>
      </c>
      <c r="C287" s="124">
        <v>61080</v>
      </c>
      <c r="D287" s="124">
        <v>43580</v>
      </c>
      <c r="E287" s="124">
        <v>26830</v>
      </c>
      <c r="F287" s="124">
        <v>21580</v>
      </c>
      <c r="G287" s="124">
        <v>17190</v>
      </c>
      <c r="H287" s="125">
        <v>13820</v>
      </c>
      <c r="I287" s="124">
        <v>10440</v>
      </c>
      <c r="J287" s="124">
        <v>7070</v>
      </c>
      <c r="K287" s="124">
        <v>3690</v>
      </c>
      <c r="L287" s="124">
        <v>0</v>
      </c>
      <c r="M287" s="124">
        <v>0</v>
      </c>
    </row>
    <row r="288" spans="1:13">
      <c r="A288" s="124">
        <v>2860000</v>
      </c>
      <c r="B288" s="124">
        <v>2870000</v>
      </c>
      <c r="C288" s="124">
        <v>61940</v>
      </c>
      <c r="D288" s="124">
        <v>44440</v>
      </c>
      <c r="E288" s="124">
        <v>27160</v>
      </c>
      <c r="F288" s="124">
        <v>21910</v>
      </c>
      <c r="G288" s="124">
        <v>17410</v>
      </c>
      <c r="H288" s="125">
        <v>14030</v>
      </c>
      <c r="I288" s="124">
        <v>10660</v>
      </c>
      <c r="J288" s="124">
        <v>7280</v>
      </c>
      <c r="K288" s="124">
        <v>3910</v>
      </c>
      <c r="L288" s="124">
        <v>0</v>
      </c>
      <c r="M288" s="124">
        <v>0</v>
      </c>
    </row>
    <row r="289" spans="1:13">
      <c r="A289" s="124">
        <v>2870000</v>
      </c>
      <c r="B289" s="124">
        <v>2880000</v>
      </c>
      <c r="C289" s="124">
        <v>62790</v>
      </c>
      <c r="D289" s="124">
        <v>45290</v>
      </c>
      <c r="E289" s="124">
        <v>27490</v>
      </c>
      <c r="F289" s="124">
        <v>22240</v>
      </c>
      <c r="G289" s="124">
        <v>17620</v>
      </c>
      <c r="H289" s="125">
        <v>14240</v>
      </c>
      <c r="I289" s="124">
        <v>10870</v>
      </c>
      <c r="J289" s="124">
        <v>7490</v>
      </c>
      <c r="K289" s="124">
        <v>4120</v>
      </c>
      <c r="L289" s="124">
        <v>0</v>
      </c>
      <c r="M289" s="124">
        <v>0</v>
      </c>
    </row>
    <row r="290" spans="1:13">
      <c r="A290" s="124">
        <v>2880000</v>
      </c>
      <c r="B290" s="124">
        <v>2890000</v>
      </c>
      <c r="C290" s="124">
        <v>63650</v>
      </c>
      <c r="D290" s="124">
        <v>46150</v>
      </c>
      <c r="E290" s="124">
        <v>27820</v>
      </c>
      <c r="F290" s="124">
        <v>22570</v>
      </c>
      <c r="G290" s="124">
        <v>17830</v>
      </c>
      <c r="H290" s="125">
        <v>14460</v>
      </c>
      <c r="I290" s="124">
        <v>11080</v>
      </c>
      <c r="J290" s="124">
        <v>7710</v>
      </c>
      <c r="K290" s="124">
        <v>4330</v>
      </c>
      <c r="L290" s="124">
        <v>0</v>
      </c>
      <c r="M290" s="124">
        <v>0</v>
      </c>
    </row>
    <row r="291" spans="1:13">
      <c r="A291" s="124">
        <v>2890000</v>
      </c>
      <c r="B291" s="124">
        <v>2900000</v>
      </c>
      <c r="C291" s="124">
        <v>64510</v>
      </c>
      <c r="D291" s="124">
        <v>47010</v>
      </c>
      <c r="E291" s="124">
        <v>28150</v>
      </c>
      <c r="F291" s="124">
        <v>22900</v>
      </c>
      <c r="G291" s="124">
        <v>18040</v>
      </c>
      <c r="H291" s="125">
        <v>14670</v>
      </c>
      <c r="I291" s="124">
        <v>11290</v>
      </c>
      <c r="J291" s="124">
        <v>7920</v>
      </c>
      <c r="K291" s="124">
        <v>4540</v>
      </c>
      <c r="L291" s="124">
        <v>1170</v>
      </c>
      <c r="M291" s="124">
        <v>0</v>
      </c>
    </row>
    <row r="292" spans="1:13">
      <c r="A292" s="124">
        <v>2900000</v>
      </c>
      <c r="B292" s="124">
        <v>2910000</v>
      </c>
      <c r="C292" s="124">
        <v>65360</v>
      </c>
      <c r="D292" s="124">
        <v>47860</v>
      </c>
      <c r="E292" s="124">
        <v>28480</v>
      </c>
      <c r="F292" s="124">
        <v>23230</v>
      </c>
      <c r="G292" s="124">
        <v>18250</v>
      </c>
      <c r="H292" s="125">
        <v>14880</v>
      </c>
      <c r="I292" s="124">
        <v>11500</v>
      </c>
      <c r="J292" s="124">
        <v>8130</v>
      </c>
      <c r="K292" s="124">
        <v>4750</v>
      </c>
      <c r="L292" s="124">
        <v>1380</v>
      </c>
      <c r="M292" s="124">
        <v>0</v>
      </c>
    </row>
    <row r="293" spans="1:13">
      <c r="A293" s="124">
        <v>2910000</v>
      </c>
      <c r="B293" s="124">
        <v>2920000</v>
      </c>
      <c r="C293" s="124">
        <v>66220</v>
      </c>
      <c r="D293" s="124">
        <v>48720</v>
      </c>
      <c r="E293" s="124">
        <v>28810</v>
      </c>
      <c r="F293" s="124">
        <v>23560</v>
      </c>
      <c r="G293" s="124">
        <v>18470</v>
      </c>
      <c r="H293" s="125">
        <v>15090</v>
      </c>
      <c r="I293" s="124">
        <v>11720</v>
      </c>
      <c r="J293" s="124">
        <v>8340</v>
      </c>
      <c r="K293" s="124">
        <v>4970</v>
      </c>
      <c r="L293" s="124">
        <v>1590</v>
      </c>
      <c r="M293" s="124">
        <v>0</v>
      </c>
    </row>
    <row r="294" spans="1:13">
      <c r="A294" s="124">
        <v>2920000</v>
      </c>
      <c r="B294" s="124">
        <v>2930000</v>
      </c>
      <c r="C294" s="124">
        <v>67070</v>
      </c>
      <c r="D294" s="124">
        <v>49570</v>
      </c>
      <c r="E294" s="124">
        <v>29140</v>
      </c>
      <c r="F294" s="124">
        <v>23890</v>
      </c>
      <c r="G294" s="124">
        <v>18680</v>
      </c>
      <c r="H294" s="125">
        <v>15300</v>
      </c>
      <c r="I294" s="124">
        <v>11930</v>
      </c>
      <c r="J294" s="124">
        <v>8550</v>
      </c>
      <c r="K294" s="124">
        <v>5180</v>
      </c>
      <c r="L294" s="124">
        <v>1800</v>
      </c>
      <c r="M294" s="124">
        <v>0</v>
      </c>
    </row>
    <row r="295" spans="1:13">
      <c r="A295" s="124">
        <v>2930000</v>
      </c>
      <c r="B295" s="124">
        <v>2940000</v>
      </c>
      <c r="C295" s="124">
        <v>67930</v>
      </c>
      <c r="D295" s="124">
        <v>50430</v>
      </c>
      <c r="E295" s="124">
        <v>29470</v>
      </c>
      <c r="F295" s="124">
        <v>24220</v>
      </c>
      <c r="G295" s="124">
        <v>18970</v>
      </c>
      <c r="H295" s="125">
        <v>15510</v>
      </c>
      <c r="I295" s="124">
        <v>12140</v>
      </c>
      <c r="J295" s="124">
        <v>8760</v>
      </c>
      <c r="K295" s="124">
        <v>5390</v>
      </c>
      <c r="L295" s="124">
        <v>2010</v>
      </c>
      <c r="M295" s="124">
        <v>0</v>
      </c>
    </row>
    <row r="296" spans="1:13">
      <c r="A296" s="124">
        <v>2940000</v>
      </c>
      <c r="B296" s="124">
        <v>2950000</v>
      </c>
      <c r="C296" s="124">
        <v>68780</v>
      </c>
      <c r="D296" s="124">
        <v>51280</v>
      </c>
      <c r="E296" s="124">
        <v>29800</v>
      </c>
      <c r="F296" s="124">
        <v>24550</v>
      </c>
      <c r="G296" s="124">
        <v>19300</v>
      </c>
      <c r="H296" s="125">
        <v>15730</v>
      </c>
      <c r="I296" s="124">
        <v>12350</v>
      </c>
      <c r="J296" s="124">
        <v>8980</v>
      </c>
      <c r="K296" s="124">
        <v>5600</v>
      </c>
      <c r="L296" s="124">
        <v>2230</v>
      </c>
      <c r="M296" s="124">
        <v>0</v>
      </c>
    </row>
    <row r="297" spans="1:13">
      <c r="A297" s="124">
        <v>2950000</v>
      </c>
      <c r="B297" s="124">
        <v>2960000</v>
      </c>
      <c r="C297" s="124">
        <v>69640</v>
      </c>
      <c r="D297" s="124">
        <v>52140</v>
      </c>
      <c r="E297" s="124">
        <v>30130</v>
      </c>
      <c r="F297" s="124">
        <v>24880</v>
      </c>
      <c r="G297" s="124">
        <v>19630</v>
      </c>
      <c r="H297" s="125">
        <v>15940</v>
      </c>
      <c r="I297" s="124">
        <v>12560</v>
      </c>
      <c r="J297" s="124">
        <v>9190</v>
      </c>
      <c r="K297" s="124">
        <v>5810</v>
      </c>
      <c r="L297" s="124">
        <v>2440</v>
      </c>
      <c r="M297" s="124">
        <v>0</v>
      </c>
    </row>
    <row r="298" spans="1:13">
      <c r="A298" s="124">
        <v>2960000</v>
      </c>
      <c r="B298" s="124">
        <v>2970000</v>
      </c>
      <c r="C298" s="124">
        <v>70500</v>
      </c>
      <c r="D298" s="124">
        <v>53000</v>
      </c>
      <c r="E298" s="124">
        <v>30460</v>
      </c>
      <c r="F298" s="124">
        <v>25210</v>
      </c>
      <c r="G298" s="124">
        <v>19960</v>
      </c>
      <c r="H298" s="125">
        <v>16150</v>
      </c>
      <c r="I298" s="124">
        <v>12780</v>
      </c>
      <c r="J298" s="124">
        <v>9400</v>
      </c>
      <c r="K298" s="124">
        <v>6030</v>
      </c>
      <c r="L298" s="124">
        <v>2650</v>
      </c>
      <c r="M298" s="124">
        <v>0</v>
      </c>
    </row>
    <row r="299" spans="1:13">
      <c r="A299" s="124">
        <v>2970000</v>
      </c>
      <c r="B299" s="124">
        <v>2980000</v>
      </c>
      <c r="C299" s="124">
        <v>71350</v>
      </c>
      <c r="D299" s="124">
        <v>53850</v>
      </c>
      <c r="E299" s="124">
        <v>30790</v>
      </c>
      <c r="F299" s="124">
        <v>25540</v>
      </c>
      <c r="G299" s="124">
        <v>20290</v>
      </c>
      <c r="H299" s="125">
        <v>16360</v>
      </c>
      <c r="I299" s="124">
        <v>12990</v>
      </c>
      <c r="J299" s="124">
        <v>9610</v>
      </c>
      <c r="K299" s="124">
        <v>6240</v>
      </c>
      <c r="L299" s="124">
        <v>2860</v>
      </c>
      <c r="M299" s="124">
        <v>0</v>
      </c>
    </row>
    <row r="300" spans="1:13">
      <c r="A300" s="124">
        <v>2980000</v>
      </c>
      <c r="B300" s="124">
        <v>2990000</v>
      </c>
      <c r="C300" s="124">
        <v>72210</v>
      </c>
      <c r="D300" s="124">
        <v>54710</v>
      </c>
      <c r="E300" s="124">
        <v>31120</v>
      </c>
      <c r="F300" s="124">
        <v>25870</v>
      </c>
      <c r="G300" s="124">
        <v>20620</v>
      </c>
      <c r="H300" s="125">
        <v>16570</v>
      </c>
      <c r="I300" s="124">
        <v>13200</v>
      </c>
      <c r="J300" s="124">
        <v>9820</v>
      </c>
      <c r="K300" s="124">
        <v>6450</v>
      </c>
      <c r="L300" s="124">
        <v>3070</v>
      </c>
      <c r="M300" s="124">
        <v>0</v>
      </c>
    </row>
    <row r="301" spans="1:13">
      <c r="A301" s="124">
        <v>2990000</v>
      </c>
      <c r="B301" s="124">
        <v>3000000</v>
      </c>
      <c r="C301" s="124">
        <v>73060</v>
      </c>
      <c r="D301" s="124">
        <v>55560</v>
      </c>
      <c r="E301" s="124">
        <v>31450</v>
      </c>
      <c r="F301" s="124">
        <v>26200</v>
      </c>
      <c r="G301" s="124">
        <v>20950</v>
      </c>
      <c r="H301" s="125">
        <v>16790</v>
      </c>
      <c r="I301" s="124">
        <v>13410</v>
      </c>
      <c r="J301" s="124">
        <v>10040</v>
      </c>
      <c r="K301" s="124">
        <v>6660</v>
      </c>
      <c r="L301" s="124">
        <v>3290</v>
      </c>
      <c r="M301" s="124">
        <v>0</v>
      </c>
    </row>
    <row r="302" spans="1:13">
      <c r="A302" s="124">
        <v>3000000</v>
      </c>
      <c r="B302" s="124">
        <v>3020000</v>
      </c>
      <c r="C302" s="124">
        <v>74350</v>
      </c>
      <c r="D302" s="124">
        <v>56850</v>
      </c>
      <c r="E302" s="124">
        <v>31940</v>
      </c>
      <c r="F302" s="124">
        <v>26690</v>
      </c>
      <c r="G302" s="124">
        <v>21440</v>
      </c>
      <c r="H302" s="125">
        <v>17100</v>
      </c>
      <c r="I302" s="124">
        <v>13730</v>
      </c>
      <c r="J302" s="124">
        <v>10350</v>
      </c>
      <c r="K302" s="124">
        <v>6980</v>
      </c>
      <c r="L302" s="124">
        <v>3600</v>
      </c>
      <c r="M302" s="124">
        <v>0</v>
      </c>
    </row>
    <row r="303" spans="1:13">
      <c r="A303" s="124">
        <v>3020000</v>
      </c>
      <c r="B303" s="124">
        <v>3040000</v>
      </c>
      <c r="C303" s="124">
        <v>76060</v>
      </c>
      <c r="D303" s="124">
        <v>58560</v>
      </c>
      <c r="E303" s="124">
        <v>32600</v>
      </c>
      <c r="F303" s="124">
        <v>27350</v>
      </c>
      <c r="G303" s="124">
        <v>22100</v>
      </c>
      <c r="H303" s="125">
        <v>17530</v>
      </c>
      <c r="I303" s="124">
        <v>14150</v>
      </c>
      <c r="J303" s="124">
        <v>10780</v>
      </c>
      <c r="K303" s="124">
        <v>7400</v>
      </c>
      <c r="L303" s="124">
        <v>4030</v>
      </c>
      <c r="M303" s="124">
        <v>0</v>
      </c>
    </row>
    <row r="304" spans="1:13">
      <c r="A304" s="124">
        <v>3040000</v>
      </c>
      <c r="B304" s="124">
        <v>3060000</v>
      </c>
      <c r="C304" s="124">
        <v>77770</v>
      </c>
      <c r="D304" s="124">
        <v>60270</v>
      </c>
      <c r="E304" s="124">
        <v>33260</v>
      </c>
      <c r="F304" s="124">
        <v>28010</v>
      </c>
      <c r="G304" s="124">
        <v>22760</v>
      </c>
      <c r="H304" s="125">
        <v>17950</v>
      </c>
      <c r="I304" s="124">
        <v>14580</v>
      </c>
      <c r="J304" s="124">
        <v>11200</v>
      </c>
      <c r="K304" s="124">
        <v>7830</v>
      </c>
      <c r="L304" s="124">
        <v>4450</v>
      </c>
      <c r="M304" s="124">
        <v>1080</v>
      </c>
    </row>
    <row r="305" spans="1:13">
      <c r="A305" s="124">
        <v>3060000</v>
      </c>
      <c r="B305" s="124">
        <v>3080000</v>
      </c>
      <c r="C305" s="124">
        <v>79480</v>
      </c>
      <c r="D305" s="124">
        <v>61980</v>
      </c>
      <c r="E305" s="124">
        <v>33920</v>
      </c>
      <c r="F305" s="124">
        <v>28670</v>
      </c>
      <c r="G305" s="124">
        <v>23420</v>
      </c>
      <c r="H305" s="125">
        <v>18380</v>
      </c>
      <c r="I305" s="124">
        <v>15000</v>
      </c>
      <c r="J305" s="124">
        <v>11630</v>
      </c>
      <c r="K305" s="124">
        <v>8250</v>
      </c>
      <c r="L305" s="124">
        <v>4880</v>
      </c>
      <c r="M305" s="124">
        <v>1500</v>
      </c>
    </row>
    <row r="306" spans="1:13">
      <c r="A306" s="124">
        <v>3080000</v>
      </c>
      <c r="B306" s="124">
        <v>3100000</v>
      </c>
      <c r="C306" s="124">
        <v>81190</v>
      </c>
      <c r="D306" s="124">
        <v>63690</v>
      </c>
      <c r="E306" s="124">
        <v>34580</v>
      </c>
      <c r="F306" s="124">
        <v>29330</v>
      </c>
      <c r="G306" s="124">
        <v>24080</v>
      </c>
      <c r="H306" s="125">
        <v>18830</v>
      </c>
      <c r="I306" s="124">
        <v>15430</v>
      </c>
      <c r="J306" s="124">
        <v>12050</v>
      </c>
      <c r="K306" s="124">
        <v>8680</v>
      </c>
      <c r="L306" s="124">
        <v>5300</v>
      </c>
      <c r="M306" s="124">
        <v>1930</v>
      </c>
    </row>
    <row r="307" spans="1:13">
      <c r="A307" s="124">
        <v>3100000</v>
      </c>
      <c r="B307" s="124">
        <v>3120000</v>
      </c>
      <c r="C307" s="124">
        <v>82900</v>
      </c>
      <c r="D307" s="124">
        <v>65400</v>
      </c>
      <c r="E307" s="124">
        <v>35240</v>
      </c>
      <c r="F307" s="124">
        <v>29990</v>
      </c>
      <c r="G307" s="124">
        <v>24740</v>
      </c>
      <c r="H307" s="125">
        <v>19490</v>
      </c>
      <c r="I307" s="124">
        <v>15850</v>
      </c>
      <c r="J307" s="124">
        <v>12470</v>
      </c>
      <c r="K307" s="124">
        <v>9100</v>
      </c>
      <c r="L307" s="124">
        <v>5720</v>
      </c>
      <c r="M307" s="124">
        <v>2350</v>
      </c>
    </row>
    <row r="308" spans="1:13">
      <c r="A308" s="124">
        <v>3120000</v>
      </c>
      <c r="B308" s="124">
        <v>3140000</v>
      </c>
      <c r="C308" s="124">
        <v>84620</v>
      </c>
      <c r="D308" s="124">
        <v>67120</v>
      </c>
      <c r="E308" s="124">
        <v>35900</v>
      </c>
      <c r="F308" s="124">
        <v>30650</v>
      </c>
      <c r="G308" s="124">
        <v>25400</v>
      </c>
      <c r="H308" s="125">
        <v>20150</v>
      </c>
      <c r="I308" s="124">
        <v>16270</v>
      </c>
      <c r="J308" s="124">
        <v>12900</v>
      </c>
      <c r="K308" s="124">
        <v>9520</v>
      </c>
      <c r="L308" s="124">
        <v>6150</v>
      </c>
      <c r="M308" s="124">
        <v>2770</v>
      </c>
    </row>
    <row r="309" spans="1:13">
      <c r="A309" s="124">
        <v>3140000</v>
      </c>
      <c r="B309" s="124">
        <v>3160000</v>
      </c>
      <c r="C309" s="124">
        <v>86330</v>
      </c>
      <c r="D309" s="124">
        <v>68830</v>
      </c>
      <c r="E309" s="124">
        <v>36560</v>
      </c>
      <c r="F309" s="124">
        <v>31310</v>
      </c>
      <c r="G309" s="124">
        <v>26060</v>
      </c>
      <c r="H309" s="125">
        <v>20810</v>
      </c>
      <c r="I309" s="124">
        <v>16700</v>
      </c>
      <c r="J309" s="124">
        <v>13320</v>
      </c>
      <c r="K309" s="124">
        <v>9950</v>
      </c>
      <c r="L309" s="124">
        <v>6570</v>
      </c>
      <c r="M309" s="124">
        <v>3200</v>
      </c>
    </row>
    <row r="310" spans="1:13">
      <c r="A310" s="124">
        <v>3160000</v>
      </c>
      <c r="B310" s="124">
        <v>3180000</v>
      </c>
      <c r="C310" s="124">
        <v>88040</v>
      </c>
      <c r="D310" s="124">
        <v>70540</v>
      </c>
      <c r="E310" s="124">
        <v>37220</v>
      </c>
      <c r="F310" s="124">
        <v>31970</v>
      </c>
      <c r="G310" s="124">
        <v>26720</v>
      </c>
      <c r="H310" s="125">
        <v>21470</v>
      </c>
      <c r="I310" s="124">
        <v>17120</v>
      </c>
      <c r="J310" s="124">
        <v>13750</v>
      </c>
      <c r="K310" s="124">
        <v>10370</v>
      </c>
      <c r="L310" s="124">
        <v>7000</v>
      </c>
      <c r="M310" s="124">
        <v>3620</v>
      </c>
    </row>
    <row r="311" spans="1:13">
      <c r="A311" s="124">
        <v>3180000</v>
      </c>
      <c r="B311" s="124">
        <v>3200000</v>
      </c>
      <c r="C311" s="124">
        <v>89750</v>
      </c>
      <c r="D311" s="124">
        <v>72250</v>
      </c>
      <c r="E311" s="124">
        <v>37880</v>
      </c>
      <c r="F311" s="124">
        <v>32630</v>
      </c>
      <c r="G311" s="124">
        <v>27380</v>
      </c>
      <c r="H311" s="125">
        <v>22130</v>
      </c>
      <c r="I311" s="124">
        <v>17540</v>
      </c>
      <c r="J311" s="124">
        <v>14170</v>
      </c>
      <c r="K311" s="124">
        <v>10790</v>
      </c>
      <c r="L311" s="124">
        <v>7420</v>
      </c>
      <c r="M311" s="124">
        <v>4040</v>
      </c>
    </row>
    <row r="312" spans="1:13">
      <c r="A312" s="124">
        <v>3200000</v>
      </c>
      <c r="B312" s="124">
        <v>3220000</v>
      </c>
      <c r="C312" s="124">
        <v>91460</v>
      </c>
      <c r="D312" s="124">
        <v>73960</v>
      </c>
      <c r="E312" s="124">
        <v>38540</v>
      </c>
      <c r="F312" s="124">
        <v>33290</v>
      </c>
      <c r="G312" s="124">
        <v>28040</v>
      </c>
      <c r="H312" s="125">
        <v>22790</v>
      </c>
      <c r="I312" s="124">
        <v>17970</v>
      </c>
      <c r="J312" s="124">
        <v>14590</v>
      </c>
      <c r="K312" s="124">
        <v>11220</v>
      </c>
      <c r="L312" s="124">
        <v>7840</v>
      </c>
      <c r="M312" s="124">
        <v>4470</v>
      </c>
    </row>
    <row r="313" spans="1:13">
      <c r="A313" s="124">
        <v>3220000</v>
      </c>
      <c r="B313" s="124">
        <v>3240000</v>
      </c>
      <c r="C313" s="124">
        <v>93170</v>
      </c>
      <c r="D313" s="124">
        <v>75670</v>
      </c>
      <c r="E313" s="124">
        <v>40120</v>
      </c>
      <c r="F313" s="124">
        <v>33950</v>
      </c>
      <c r="G313" s="124">
        <v>28700</v>
      </c>
      <c r="H313" s="125">
        <v>23450</v>
      </c>
      <c r="I313" s="124">
        <v>18390</v>
      </c>
      <c r="J313" s="124">
        <v>15020</v>
      </c>
      <c r="K313" s="124">
        <v>11640</v>
      </c>
      <c r="L313" s="124">
        <v>8270</v>
      </c>
      <c r="M313" s="124">
        <v>4890</v>
      </c>
    </row>
    <row r="314" spans="1:13">
      <c r="A314" s="124">
        <v>3240000</v>
      </c>
      <c r="B314" s="124">
        <v>3260000</v>
      </c>
      <c r="C314" s="124">
        <v>95430</v>
      </c>
      <c r="D314" s="124">
        <v>77380</v>
      </c>
      <c r="E314" s="124">
        <v>41770</v>
      </c>
      <c r="F314" s="124">
        <v>34610</v>
      </c>
      <c r="G314" s="124">
        <v>29360</v>
      </c>
      <c r="H314" s="125">
        <v>24110</v>
      </c>
      <c r="I314" s="124">
        <v>18860</v>
      </c>
      <c r="J314" s="124">
        <v>15440</v>
      </c>
      <c r="K314" s="124">
        <v>12070</v>
      </c>
      <c r="L314" s="124">
        <v>8690</v>
      </c>
      <c r="M314" s="124">
        <v>5320</v>
      </c>
    </row>
    <row r="315" spans="1:13">
      <c r="A315" s="124">
        <v>3260000</v>
      </c>
      <c r="B315" s="124">
        <v>3280000</v>
      </c>
      <c r="C315" s="124">
        <v>97880</v>
      </c>
      <c r="D315" s="124">
        <v>79100</v>
      </c>
      <c r="E315" s="124">
        <v>43420</v>
      </c>
      <c r="F315" s="124">
        <v>35270</v>
      </c>
      <c r="G315" s="124">
        <v>30020</v>
      </c>
      <c r="H315" s="125">
        <v>24770</v>
      </c>
      <c r="I315" s="124">
        <v>19520</v>
      </c>
      <c r="J315" s="124">
        <v>15870</v>
      </c>
      <c r="K315" s="124">
        <v>12490</v>
      </c>
      <c r="L315" s="124">
        <v>9120</v>
      </c>
      <c r="M315" s="124">
        <v>5740</v>
      </c>
    </row>
    <row r="316" spans="1:13">
      <c r="A316" s="124">
        <v>3280000</v>
      </c>
      <c r="B316" s="124">
        <v>3300000</v>
      </c>
      <c r="C316" s="124">
        <v>100320</v>
      </c>
      <c r="D316" s="124">
        <v>80810</v>
      </c>
      <c r="E316" s="124">
        <v>45070</v>
      </c>
      <c r="F316" s="124">
        <v>35920</v>
      </c>
      <c r="G316" s="124">
        <v>30670</v>
      </c>
      <c r="H316" s="125">
        <v>25420</v>
      </c>
      <c r="I316" s="124">
        <v>20170</v>
      </c>
      <c r="J316" s="124">
        <v>16290</v>
      </c>
      <c r="K316" s="124">
        <v>12910</v>
      </c>
      <c r="L316" s="124">
        <v>9540</v>
      </c>
      <c r="M316" s="124">
        <v>6160</v>
      </c>
    </row>
    <row r="317" spans="1:13">
      <c r="A317" s="124">
        <v>3300000</v>
      </c>
      <c r="B317" s="124">
        <v>3320000</v>
      </c>
      <c r="C317" s="124">
        <v>102770</v>
      </c>
      <c r="D317" s="124">
        <v>82520</v>
      </c>
      <c r="E317" s="124">
        <v>46720</v>
      </c>
      <c r="F317" s="124">
        <v>36580</v>
      </c>
      <c r="G317" s="124">
        <v>31330</v>
      </c>
      <c r="H317" s="125">
        <v>26080</v>
      </c>
      <c r="I317" s="124">
        <v>20830</v>
      </c>
      <c r="J317" s="124">
        <v>16710</v>
      </c>
      <c r="K317" s="124">
        <v>13340</v>
      </c>
      <c r="L317" s="124">
        <v>9960</v>
      </c>
      <c r="M317" s="124">
        <v>6590</v>
      </c>
    </row>
    <row r="318" spans="1:13">
      <c r="A318" s="124">
        <v>3320000</v>
      </c>
      <c r="B318" s="124">
        <v>3340000</v>
      </c>
      <c r="C318" s="124">
        <v>105210</v>
      </c>
      <c r="D318" s="124">
        <v>84230</v>
      </c>
      <c r="E318" s="124">
        <v>48370</v>
      </c>
      <c r="F318" s="124">
        <v>37240</v>
      </c>
      <c r="G318" s="124">
        <v>31990</v>
      </c>
      <c r="H318" s="125">
        <v>26740</v>
      </c>
      <c r="I318" s="124">
        <v>21490</v>
      </c>
      <c r="J318" s="124">
        <v>17140</v>
      </c>
      <c r="K318" s="124">
        <v>13760</v>
      </c>
      <c r="L318" s="124">
        <v>10390</v>
      </c>
      <c r="M318" s="124">
        <v>7010</v>
      </c>
    </row>
    <row r="319" spans="1:13">
      <c r="A319" s="124">
        <v>3340000</v>
      </c>
      <c r="B319" s="124">
        <v>3360000</v>
      </c>
      <c r="C319" s="124">
        <v>107660</v>
      </c>
      <c r="D319" s="124">
        <v>85940</v>
      </c>
      <c r="E319" s="124">
        <v>49940</v>
      </c>
      <c r="F319" s="124">
        <v>37870</v>
      </c>
      <c r="G319" s="124">
        <v>32620</v>
      </c>
      <c r="H319" s="125">
        <v>27370</v>
      </c>
      <c r="I319" s="124">
        <v>22120</v>
      </c>
      <c r="J319" s="124">
        <v>17540</v>
      </c>
      <c r="K319" s="124">
        <v>14170</v>
      </c>
      <c r="L319" s="124">
        <v>10790</v>
      </c>
      <c r="M319" s="124">
        <v>7420</v>
      </c>
    </row>
    <row r="320" spans="1:13">
      <c r="A320" s="124">
        <v>3360000</v>
      </c>
      <c r="B320" s="124">
        <v>3380000</v>
      </c>
      <c r="C320" s="124">
        <v>110100</v>
      </c>
      <c r="D320" s="124">
        <v>87650</v>
      </c>
      <c r="E320" s="124">
        <v>51510</v>
      </c>
      <c r="F320" s="124">
        <v>38500</v>
      </c>
      <c r="G320" s="124">
        <v>33250</v>
      </c>
      <c r="H320" s="125">
        <v>28000</v>
      </c>
      <c r="I320" s="124">
        <v>22750</v>
      </c>
      <c r="J320" s="124">
        <v>17950</v>
      </c>
      <c r="K320" s="124">
        <v>14570</v>
      </c>
      <c r="L320" s="124">
        <v>11200</v>
      </c>
      <c r="M320" s="124">
        <v>7820</v>
      </c>
    </row>
    <row r="321" spans="1:13">
      <c r="A321" s="124">
        <v>3380000</v>
      </c>
      <c r="B321" s="124">
        <v>3400000</v>
      </c>
      <c r="C321" s="124">
        <v>112550</v>
      </c>
      <c r="D321" s="124">
        <v>89370</v>
      </c>
      <c r="E321" s="124">
        <v>53070</v>
      </c>
      <c r="F321" s="124">
        <v>39950</v>
      </c>
      <c r="G321" s="124">
        <v>33880</v>
      </c>
      <c r="H321" s="125">
        <v>28630</v>
      </c>
      <c r="I321" s="124">
        <v>23380</v>
      </c>
      <c r="J321" s="124">
        <v>18350</v>
      </c>
      <c r="K321" s="124">
        <v>14970</v>
      </c>
      <c r="L321" s="124">
        <v>11600</v>
      </c>
      <c r="M321" s="124">
        <v>8220</v>
      </c>
    </row>
    <row r="322" spans="1:13">
      <c r="A322" s="124">
        <v>3400000</v>
      </c>
      <c r="B322" s="124">
        <v>3420000</v>
      </c>
      <c r="C322" s="124">
        <v>114990</v>
      </c>
      <c r="D322" s="124">
        <v>91080</v>
      </c>
      <c r="E322" s="124">
        <v>54640</v>
      </c>
      <c r="F322" s="124">
        <v>41510</v>
      </c>
      <c r="G322" s="124">
        <v>34500</v>
      </c>
      <c r="H322" s="125">
        <v>29250</v>
      </c>
      <c r="I322" s="124">
        <v>24000</v>
      </c>
      <c r="J322" s="124">
        <v>18750</v>
      </c>
      <c r="K322" s="124">
        <v>15370</v>
      </c>
      <c r="L322" s="124">
        <v>12000</v>
      </c>
      <c r="M322" s="124">
        <v>8620</v>
      </c>
    </row>
    <row r="323" spans="1:13">
      <c r="A323" s="124">
        <v>3420000</v>
      </c>
      <c r="B323" s="124">
        <v>3440000</v>
      </c>
      <c r="C323" s="124">
        <v>117440</v>
      </c>
      <c r="D323" s="124">
        <v>92790</v>
      </c>
      <c r="E323" s="124">
        <v>56200</v>
      </c>
      <c r="F323" s="124">
        <v>43080</v>
      </c>
      <c r="G323" s="124">
        <v>35130</v>
      </c>
      <c r="H323" s="125">
        <v>29880</v>
      </c>
      <c r="I323" s="124">
        <v>24630</v>
      </c>
      <c r="J323" s="124">
        <v>19380</v>
      </c>
      <c r="K323" s="124">
        <v>15780</v>
      </c>
      <c r="L323" s="124">
        <v>12400</v>
      </c>
      <c r="M323" s="124">
        <v>9030</v>
      </c>
    </row>
    <row r="324" spans="1:13">
      <c r="A324" s="124">
        <v>3440000</v>
      </c>
      <c r="B324" s="124">
        <v>3460000</v>
      </c>
      <c r="C324" s="124">
        <v>119880</v>
      </c>
      <c r="D324" s="124">
        <v>94880</v>
      </c>
      <c r="E324" s="124">
        <v>57770</v>
      </c>
      <c r="F324" s="124">
        <v>44640</v>
      </c>
      <c r="G324" s="124">
        <v>35750</v>
      </c>
      <c r="H324" s="125">
        <v>30500</v>
      </c>
      <c r="I324" s="124">
        <v>25250</v>
      </c>
      <c r="J324" s="124">
        <v>20000</v>
      </c>
      <c r="K324" s="124">
        <v>16180</v>
      </c>
      <c r="L324" s="124">
        <v>12800</v>
      </c>
      <c r="M324" s="124">
        <v>9430</v>
      </c>
    </row>
    <row r="325" spans="1:13">
      <c r="A325" s="124">
        <v>3460000</v>
      </c>
      <c r="B325" s="124">
        <v>3480000</v>
      </c>
      <c r="C325" s="124">
        <v>122330</v>
      </c>
      <c r="D325" s="124">
        <v>97330</v>
      </c>
      <c r="E325" s="124">
        <v>59330</v>
      </c>
      <c r="F325" s="124">
        <v>46210</v>
      </c>
      <c r="G325" s="124">
        <v>36380</v>
      </c>
      <c r="H325" s="125">
        <v>31130</v>
      </c>
      <c r="I325" s="124">
        <v>25880</v>
      </c>
      <c r="J325" s="124">
        <v>20630</v>
      </c>
      <c r="K325" s="124">
        <v>16580</v>
      </c>
      <c r="L325" s="124">
        <v>13210</v>
      </c>
      <c r="M325" s="124">
        <v>9830</v>
      </c>
    </row>
    <row r="326" spans="1:13">
      <c r="A326" s="124">
        <v>3480000</v>
      </c>
      <c r="B326" s="124">
        <v>3500000</v>
      </c>
      <c r="C326" s="124">
        <v>124770</v>
      </c>
      <c r="D326" s="124">
        <v>99770</v>
      </c>
      <c r="E326" s="124">
        <v>60900</v>
      </c>
      <c r="F326" s="124">
        <v>47770</v>
      </c>
      <c r="G326" s="124">
        <v>37010</v>
      </c>
      <c r="H326" s="125">
        <v>31760</v>
      </c>
      <c r="I326" s="124">
        <v>26510</v>
      </c>
      <c r="J326" s="124">
        <v>21260</v>
      </c>
      <c r="K326" s="124">
        <v>16980</v>
      </c>
      <c r="L326" s="124">
        <v>13610</v>
      </c>
      <c r="M326" s="124">
        <v>10230</v>
      </c>
    </row>
    <row r="327" spans="1:13">
      <c r="A327" s="124">
        <v>3500000</v>
      </c>
      <c r="B327" s="124">
        <v>3520000</v>
      </c>
      <c r="C327" s="124">
        <v>127220</v>
      </c>
      <c r="D327" s="124">
        <v>102220</v>
      </c>
      <c r="E327" s="124">
        <v>62460</v>
      </c>
      <c r="F327" s="124">
        <v>49340</v>
      </c>
      <c r="G327" s="124">
        <v>37630</v>
      </c>
      <c r="H327" s="125">
        <v>32380</v>
      </c>
      <c r="I327" s="124">
        <v>27130</v>
      </c>
      <c r="J327" s="124">
        <v>21880</v>
      </c>
      <c r="K327" s="124">
        <v>17390</v>
      </c>
      <c r="L327" s="124">
        <v>14010</v>
      </c>
      <c r="M327" s="124">
        <v>10640</v>
      </c>
    </row>
    <row r="328" spans="1:13">
      <c r="A328" s="124">
        <v>3520000</v>
      </c>
      <c r="B328" s="124">
        <v>3540000</v>
      </c>
      <c r="C328" s="124">
        <v>129660</v>
      </c>
      <c r="D328" s="124">
        <v>104660</v>
      </c>
      <c r="E328" s="124">
        <v>64030</v>
      </c>
      <c r="F328" s="124">
        <v>50900</v>
      </c>
      <c r="G328" s="124">
        <v>38260</v>
      </c>
      <c r="H328" s="125">
        <v>33010</v>
      </c>
      <c r="I328" s="124">
        <v>27760</v>
      </c>
      <c r="J328" s="124">
        <v>22510</v>
      </c>
      <c r="K328" s="124">
        <v>17790</v>
      </c>
      <c r="L328" s="124">
        <v>14410</v>
      </c>
      <c r="M328" s="124">
        <v>11040</v>
      </c>
    </row>
    <row r="329" spans="1:13">
      <c r="A329" s="124">
        <v>3540000</v>
      </c>
      <c r="B329" s="124">
        <v>3560000</v>
      </c>
      <c r="C329" s="124">
        <v>132110</v>
      </c>
      <c r="D329" s="124">
        <v>107110</v>
      </c>
      <c r="E329" s="124">
        <v>65590</v>
      </c>
      <c r="F329" s="124">
        <v>52460</v>
      </c>
      <c r="G329" s="124">
        <v>39340</v>
      </c>
      <c r="H329" s="125">
        <v>33630</v>
      </c>
      <c r="I329" s="124">
        <v>28380</v>
      </c>
      <c r="J329" s="124">
        <v>23130</v>
      </c>
      <c r="K329" s="124">
        <v>18190</v>
      </c>
      <c r="L329" s="124">
        <v>14820</v>
      </c>
      <c r="M329" s="124">
        <v>11440</v>
      </c>
    </row>
    <row r="330" spans="1:13">
      <c r="A330" s="124">
        <v>3560000</v>
      </c>
      <c r="B330" s="124">
        <v>3580000</v>
      </c>
      <c r="C330" s="124">
        <v>134550</v>
      </c>
      <c r="D330" s="124">
        <v>109550</v>
      </c>
      <c r="E330" s="124">
        <v>67150</v>
      </c>
      <c r="F330" s="124">
        <v>54030</v>
      </c>
      <c r="G330" s="124">
        <v>40900</v>
      </c>
      <c r="H330" s="125">
        <v>34260</v>
      </c>
      <c r="I330" s="124">
        <v>29010</v>
      </c>
      <c r="J330" s="124">
        <v>23760</v>
      </c>
      <c r="K330" s="124">
        <v>18590</v>
      </c>
      <c r="L330" s="124">
        <v>15220</v>
      </c>
      <c r="M330" s="124">
        <v>11840</v>
      </c>
    </row>
    <row r="331" spans="1:13">
      <c r="A331" s="124">
        <v>3580000</v>
      </c>
      <c r="B331" s="124">
        <v>3600000</v>
      </c>
      <c r="C331" s="124">
        <v>137000</v>
      </c>
      <c r="D331" s="124">
        <v>112000</v>
      </c>
      <c r="E331" s="124">
        <v>68720</v>
      </c>
      <c r="F331" s="124">
        <v>55590</v>
      </c>
      <c r="G331" s="124">
        <v>42470</v>
      </c>
      <c r="H331" s="125">
        <v>34880</v>
      </c>
      <c r="I331" s="124">
        <v>29630</v>
      </c>
      <c r="J331" s="124">
        <v>24380</v>
      </c>
      <c r="K331" s="124">
        <v>19130</v>
      </c>
      <c r="L331" s="124">
        <v>15620</v>
      </c>
      <c r="M331" s="124">
        <v>12250</v>
      </c>
    </row>
    <row r="332" spans="1:13">
      <c r="A332" s="124">
        <v>3600000</v>
      </c>
      <c r="B332" s="124">
        <v>3620000</v>
      </c>
      <c r="C332" s="124">
        <v>139440</v>
      </c>
      <c r="D332" s="124">
        <v>114440</v>
      </c>
      <c r="E332" s="124">
        <v>70280</v>
      </c>
      <c r="F332" s="124">
        <v>57160</v>
      </c>
      <c r="G332" s="124">
        <v>44030</v>
      </c>
      <c r="H332" s="125">
        <v>35510</v>
      </c>
      <c r="I332" s="124">
        <v>30260</v>
      </c>
      <c r="J332" s="124">
        <v>25010</v>
      </c>
      <c r="K332" s="124">
        <v>19760</v>
      </c>
      <c r="L332" s="124">
        <v>16020</v>
      </c>
      <c r="M332" s="124">
        <v>12650</v>
      </c>
    </row>
    <row r="333" spans="1:13">
      <c r="A333" s="124">
        <v>3620000</v>
      </c>
      <c r="B333" s="124">
        <v>3640000</v>
      </c>
      <c r="C333" s="124">
        <v>141890</v>
      </c>
      <c r="D333" s="124">
        <v>116890</v>
      </c>
      <c r="E333" s="124">
        <v>71850</v>
      </c>
      <c r="F333" s="124">
        <v>58720</v>
      </c>
      <c r="G333" s="124">
        <v>45600</v>
      </c>
      <c r="H333" s="125">
        <v>36140</v>
      </c>
      <c r="I333" s="124">
        <v>30890</v>
      </c>
      <c r="J333" s="124">
        <v>25640</v>
      </c>
      <c r="K333" s="124">
        <v>20390</v>
      </c>
      <c r="L333" s="124">
        <v>16420</v>
      </c>
      <c r="M333" s="124">
        <v>13050</v>
      </c>
    </row>
    <row r="334" spans="1:13">
      <c r="A334" s="124">
        <v>3640000</v>
      </c>
      <c r="B334" s="124">
        <v>3660000</v>
      </c>
      <c r="C334" s="124">
        <v>144330</v>
      </c>
      <c r="D334" s="124">
        <v>119330</v>
      </c>
      <c r="E334" s="124">
        <v>73410</v>
      </c>
      <c r="F334" s="124">
        <v>60290</v>
      </c>
      <c r="G334" s="124">
        <v>47160</v>
      </c>
      <c r="H334" s="125">
        <v>36760</v>
      </c>
      <c r="I334" s="124">
        <v>31510</v>
      </c>
      <c r="J334" s="124">
        <v>26260</v>
      </c>
      <c r="K334" s="124">
        <v>21010</v>
      </c>
      <c r="L334" s="124">
        <v>16830</v>
      </c>
      <c r="M334" s="124">
        <v>13450</v>
      </c>
    </row>
    <row r="335" spans="1:13">
      <c r="A335" s="124">
        <v>3660000</v>
      </c>
      <c r="B335" s="124">
        <v>3680000</v>
      </c>
      <c r="C335" s="124">
        <v>146780</v>
      </c>
      <c r="D335" s="124">
        <v>121780</v>
      </c>
      <c r="E335" s="124">
        <v>74980</v>
      </c>
      <c r="F335" s="124">
        <v>61850</v>
      </c>
      <c r="G335" s="124">
        <v>48730</v>
      </c>
      <c r="H335" s="125">
        <v>37390</v>
      </c>
      <c r="I335" s="124">
        <v>32140</v>
      </c>
      <c r="J335" s="124">
        <v>26890</v>
      </c>
      <c r="K335" s="124">
        <v>21640</v>
      </c>
      <c r="L335" s="124">
        <v>17230</v>
      </c>
      <c r="M335" s="124">
        <v>13850</v>
      </c>
    </row>
    <row r="336" spans="1:13">
      <c r="A336" s="124">
        <v>3680000</v>
      </c>
      <c r="B336" s="124">
        <v>3700000</v>
      </c>
      <c r="C336" s="124">
        <v>149220</v>
      </c>
      <c r="D336" s="124">
        <v>124220</v>
      </c>
      <c r="E336" s="124">
        <v>76540</v>
      </c>
      <c r="F336" s="124">
        <v>63420</v>
      </c>
      <c r="G336" s="124">
        <v>50290</v>
      </c>
      <c r="H336" s="125">
        <v>38010</v>
      </c>
      <c r="I336" s="124">
        <v>32760</v>
      </c>
      <c r="J336" s="124">
        <v>27510</v>
      </c>
      <c r="K336" s="124">
        <v>22260</v>
      </c>
      <c r="L336" s="124">
        <v>17630</v>
      </c>
      <c r="M336" s="124">
        <v>14260</v>
      </c>
    </row>
    <row r="337" spans="1:13">
      <c r="A337" s="124">
        <v>3700000</v>
      </c>
      <c r="B337" s="124">
        <v>3720000</v>
      </c>
      <c r="C337" s="124">
        <v>151670</v>
      </c>
      <c r="D337" s="124">
        <v>126670</v>
      </c>
      <c r="E337" s="124">
        <v>78110</v>
      </c>
      <c r="F337" s="124">
        <v>64980</v>
      </c>
      <c r="G337" s="124">
        <v>51860</v>
      </c>
      <c r="H337" s="125">
        <v>38730</v>
      </c>
      <c r="I337" s="124">
        <v>33390</v>
      </c>
      <c r="J337" s="124">
        <v>28140</v>
      </c>
      <c r="K337" s="124">
        <v>22890</v>
      </c>
      <c r="L337" s="124">
        <v>18030</v>
      </c>
      <c r="M337" s="124">
        <v>14660</v>
      </c>
    </row>
    <row r="338" spans="1:13">
      <c r="A338" s="124">
        <v>3720000</v>
      </c>
      <c r="B338" s="124">
        <v>3740000</v>
      </c>
      <c r="C338" s="124">
        <v>154110</v>
      </c>
      <c r="D338" s="124">
        <v>129110</v>
      </c>
      <c r="E338" s="124">
        <v>79670</v>
      </c>
      <c r="F338" s="124">
        <v>66550</v>
      </c>
      <c r="G338" s="124">
        <v>53420</v>
      </c>
      <c r="H338" s="125">
        <v>40300</v>
      </c>
      <c r="I338" s="124">
        <v>34020</v>
      </c>
      <c r="J338" s="124">
        <v>28770</v>
      </c>
      <c r="K338" s="124">
        <v>23520</v>
      </c>
      <c r="L338" s="124">
        <v>18440</v>
      </c>
      <c r="M338" s="124">
        <v>15060</v>
      </c>
    </row>
    <row r="339" spans="1:13">
      <c r="A339" s="124">
        <v>3740000</v>
      </c>
      <c r="B339" s="124">
        <v>3760000</v>
      </c>
      <c r="C339" s="124">
        <v>156560</v>
      </c>
      <c r="D339" s="124">
        <v>131560</v>
      </c>
      <c r="E339" s="124">
        <v>81230</v>
      </c>
      <c r="F339" s="124">
        <v>68110</v>
      </c>
      <c r="G339" s="124">
        <v>54980</v>
      </c>
      <c r="H339" s="125">
        <v>41860</v>
      </c>
      <c r="I339" s="124">
        <v>34640</v>
      </c>
      <c r="J339" s="124">
        <v>29390</v>
      </c>
      <c r="K339" s="124">
        <v>24140</v>
      </c>
      <c r="L339" s="124">
        <v>18890</v>
      </c>
      <c r="M339" s="124">
        <v>15460</v>
      </c>
    </row>
    <row r="340" spans="1:13">
      <c r="A340" s="124">
        <v>3760000</v>
      </c>
      <c r="B340" s="124">
        <v>3780000</v>
      </c>
      <c r="C340" s="124">
        <v>163920</v>
      </c>
      <c r="D340" s="124">
        <v>136090</v>
      </c>
      <c r="E340" s="124">
        <v>84260</v>
      </c>
      <c r="F340" s="124">
        <v>71130</v>
      </c>
      <c r="G340" s="124">
        <v>58010</v>
      </c>
      <c r="H340" s="125">
        <v>44880</v>
      </c>
      <c r="I340" s="124">
        <v>35850</v>
      </c>
      <c r="J340" s="124">
        <v>30600</v>
      </c>
      <c r="K340" s="124">
        <v>25350</v>
      </c>
      <c r="L340" s="124">
        <v>20100</v>
      </c>
      <c r="M340" s="124">
        <v>16240</v>
      </c>
    </row>
    <row r="341" spans="1:13">
      <c r="A341" s="124">
        <v>3780000</v>
      </c>
      <c r="B341" s="124">
        <v>3800000</v>
      </c>
      <c r="C341" s="124">
        <v>166590</v>
      </c>
      <c r="D341" s="124">
        <v>138740</v>
      </c>
      <c r="E341" s="124">
        <v>85970</v>
      </c>
      <c r="F341" s="124">
        <v>72850</v>
      </c>
      <c r="G341" s="124">
        <v>59720</v>
      </c>
      <c r="H341" s="125">
        <v>46600</v>
      </c>
      <c r="I341" s="124">
        <v>36540</v>
      </c>
      <c r="J341" s="124">
        <v>31290</v>
      </c>
      <c r="K341" s="124">
        <v>26040</v>
      </c>
      <c r="L341" s="124">
        <v>20790</v>
      </c>
      <c r="M341" s="124">
        <v>16680</v>
      </c>
    </row>
    <row r="342" spans="1:13">
      <c r="A342" s="124">
        <v>3800000</v>
      </c>
      <c r="B342" s="124">
        <v>3820000</v>
      </c>
      <c r="C342" s="124">
        <v>169260</v>
      </c>
      <c r="D342" s="124">
        <v>141400</v>
      </c>
      <c r="E342" s="124">
        <v>87680</v>
      </c>
      <c r="F342" s="124">
        <v>74560</v>
      </c>
      <c r="G342" s="124">
        <v>61430</v>
      </c>
      <c r="H342" s="125">
        <v>48310</v>
      </c>
      <c r="I342" s="124">
        <v>37220</v>
      </c>
      <c r="J342" s="124">
        <v>31970</v>
      </c>
      <c r="K342" s="124">
        <v>26720</v>
      </c>
      <c r="L342" s="124">
        <v>21470</v>
      </c>
      <c r="M342" s="124">
        <v>17120</v>
      </c>
    </row>
    <row r="343" spans="1:13">
      <c r="A343" s="124">
        <v>3820000</v>
      </c>
      <c r="B343" s="124">
        <v>3840000</v>
      </c>
      <c r="C343" s="124">
        <v>171930</v>
      </c>
      <c r="D343" s="124">
        <v>144050</v>
      </c>
      <c r="E343" s="124">
        <v>89390</v>
      </c>
      <c r="F343" s="124">
        <v>76270</v>
      </c>
      <c r="G343" s="124">
        <v>63140</v>
      </c>
      <c r="H343" s="125">
        <v>50020</v>
      </c>
      <c r="I343" s="124">
        <v>37900</v>
      </c>
      <c r="J343" s="124">
        <v>32650</v>
      </c>
      <c r="K343" s="124">
        <v>27400</v>
      </c>
      <c r="L343" s="124">
        <v>22150</v>
      </c>
      <c r="M343" s="124">
        <v>17560</v>
      </c>
    </row>
    <row r="344" spans="1:13">
      <c r="A344" s="124">
        <v>3840000</v>
      </c>
      <c r="B344" s="124">
        <v>3860000</v>
      </c>
      <c r="C344" s="124">
        <v>174600</v>
      </c>
      <c r="D344" s="124">
        <v>146710</v>
      </c>
      <c r="E344" s="124">
        <v>91100</v>
      </c>
      <c r="F344" s="124">
        <v>77980</v>
      </c>
      <c r="G344" s="124">
        <v>64850</v>
      </c>
      <c r="H344" s="125">
        <v>51730</v>
      </c>
      <c r="I344" s="124">
        <v>38600</v>
      </c>
      <c r="J344" s="124">
        <v>33340</v>
      </c>
      <c r="K344" s="124">
        <v>28090</v>
      </c>
      <c r="L344" s="124">
        <v>22840</v>
      </c>
      <c r="M344" s="124">
        <v>18000</v>
      </c>
    </row>
    <row r="345" spans="1:13">
      <c r="A345" s="124">
        <v>3860000</v>
      </c>
      <c r="B345" s="124">
        <v>3880000</v>
      </c>
      <c r="C345" s="124">
        <v>177270</v>
      </c>
      <c r="D345" s="124">
        <v>149360</v>
      </c>
      <c r="E345" s="124">
        <v>92820</v>
      </c>
      <c r="F345" s="124">
        <v>79690</v>
      </c>
      <c r="G345" s="124">
        <v>66570</v>
      </c>
      <c r="H345" s="125">
        <v>53440</v>
      </c>
      <c r="I345" s="124">
        <v>40320</v>
      </c>
      <c r="J345" s="124">
        <v>34020</v>
      </c>
      <c r="K345" s="124">
        <v>28770</v>
      </c>
      <c r="L345" s="124">
        <v>23520</v>
      </c>
      <c r="M345" s="124">
        <v>18440</v>
      </c>
    </row>
    <row r="346" spans="1:13">
      <c r="A346" s="124">
        <v>3880000</v>
      </c>
      <c r="B346" s="124">
        <v>3900000</v>
      </c>
      <c r="C346" s="124">
        <v>179940</v>
      </c>
      <c r="D346" s="124">
        <v>152020</v>
      </c>
      <c r="E346" s="124">
        <v>94920</v>
      </c>
      <c r="F346" s="124">
        <v>81400</v>
      </c>
      <c r="G346" s="124">
        <v>68280</v>
      </c>
      <c r="H346" s="125">
        <v>55150</v>
      </c>
      <c r="I346" s="124">
        <v>42030</v>
      </c>
      <c r="J346" s="124">
        <v>34710</v>
      </c>
      <c r="K346" s="124">
        <v>29460</v>
      </c>
      <c r="L346" s="124">
        <v>24210</v>
      </c>
      <c r="M346" s="124">
        <v>18960</v>
      </c>
    </row>
    <row r="347" spans="1:13">
      <c r="A347" s="124">
        <v>3900000</v>
      </c>
      <c r="B347" s="124">
        <v>3920000</v>
      </c>
      <c r="C347" s="124">
        <v>182610</v>
      </c>
      <c r="D347" s="124">
        <v>154670</v>
      </c>
      <c r="E347" s="124">
        <v>97370</v>
      </c>
      <c r="F347" s="124">
        <v>83110</v>
      </c>
      <c r="G347" s="124">
        <v>69990</v>
      </c>
      <c r="H347" s="125">
        <v>56860</v>
      </c>
      <c r="I347" s="124">
        <v>43740</v>
      </c>
      <c r="J347" s="124">
        <v>35390</v>
      </c>
      <c r="K347" s="124">
        <v>30140</v>
      </c>
      <c r="L347" s="124">
        <v>24890</v>
      </c>
      <c r="M347" s="124">
        <v>19640</v>
      </c>
    </row>
    <row r="348" spans="1:13">
      <c r="A348" s="124">
        <v>3920000</v>
      </c>
      <c r="B348" s="124">
        <v>3940000</v>
      </c>
      <c r="C348" s="124">
        <v>185280</v>
      </c>
      <c r="D348" s="124">
        <v>157330</v>
      </c>
      <c r="E348" s="124">
        <v>99810</v>
      </c>
      <c r="F348" s="124">
        <v>84830</v>
      </c>
      <c r="G348" s="124">
        <v>71700</v>
      </c>
      <c r="H348" s="125">
        <v>58580</v>
      </c>
      <c r="I348" s="124">
        <v>45450</v>
      </c>
      <c r="J348" s="124">
        <v>36080</v>
      </c>
      <c r="K348" s="124">
        <v>30830</v>
      </c>
      <c r="L348" s="124">
        <v>25580</v>
      </c>
      <c r="M348" s="124">
        <v>20330</v>
      </c>
    </row>
    <row r="349" spans="1:13">
      <c r="A349" s="124">
        <v>3940000</v>
      </c>
      <c r="B349" s="124">
        <v>3960000</v>
      </c>
      <c r="C349" s="124">
        <v>187950</v>
      </c>
      <c r="D349" s="124">
        <v>159980</v>
      </c>
      <c r="E349" s="124">
        <v>102260</v>
      </c>
      <c r="F349" s="124">
        <v>86540</v>
      </c>
      <c r="G349" s="124">
        <v>73410</v>
      </c>
      <c r="H349" s="125">
        <v>60290</v>
      </c>
      <c r="I349" s="124">
        <v>47160</v>
      </c>
      <c r="J349" s="124">
        <v>36760</v>
      </c>
      <c r="K349" s="124">
        <v>31510</v>
      </c>
      <c r="L349" s="124">
        <v>26260</v>
      </c>
      <c r="M349" s="124">
        <v>21010</v>
      </c>
    </row>
    <row r="350" spans="1:13">
      <c r="A350" s="124">
        <v>3960000</v>
      </c>
      <c r="B350" s="124">
        <v>3980000</v>
      </c>
      <c r="C350" s="124">
        <v>190620</v>
      </c>
      <c r="D350" s="124">
        <v>162640</v>
      </c>
      <c r="E350" s="124">
        <v>104700</v>
      </c>
      <c r="F350" s="124">
        <v>88250</v>
      </c>
      <c r="G350" s="124">
        <v>75120</v>
      </c>
      <c r="H350" s="125">
        <v>62000</v>
      </c>
      <c r="I350" s="124">
        <v>48870</v>
      </c>
      <c r="J350" s="124">
        <v>37450</v>
      </c>
      <c r="K350" s="124">
        <v>32200</v>
      </c>
      <c r="L350" s="124">
        <v>26950</v>
      </c>
      <c r="M350" s="124">
        <v>21700</v>
      </c>
    </row>
    <row r="351" spans="1:13">
      <c r="A351" s="124">
        <v>3980000</v>
      </c>
      <c r="B351" s="124">
        <v>4000000</v>
      </c>
      <c r="C351" s="124">
        <v>193290</v>
      </c>
      <c r="D351" s="124">
        <v>165290</v>
      </c>
      <c r="E351" s="124">
        <v>107150</v>
      </c>
      <c r="F351" s="124">
        <v>89960</v>
      </c>
      <c r="G351" s="124">
        <v>76840</v>
      </c>
      <c r="H351" s="125">
        <v>63710</v>
      </c>
      <c r="I351" s="124">
        <v>50590</v>
      </c>
      <c r="J351" s="124">
        <v>38130</v>
      </c>
      <c r="K351" s="124">
        <v>32880</v>
      </c>
      <c r="L351" s="124">
        <v>27630</v>
      </c>
      <c r="M351" s="124">
        <v>22380</v>
      </c>
    </row>
    <row r="352" spans="1:13">
      <c r="A352" s="124">
        <v>4000000</v>
      </c>
      <c r="B352" s="124">
        <v>4020000</v>
      </c>
      <c r="C352" s="124">
        <v>195960</v>
      </c>
      <c r="D352" s="124">
        <v>167950</v>
      </c>
      <c r="E352" s="124">
        <v>109590</v>
      </c>
      <c r="F352" s="124">
        <v>91670</v>
      </c>
      <c r="G352" s="124">
        <v>78550</v>
      </c>
      <c r="H352" s="125">
        <v>65420</v>
      </c>
      <c r="I352" s="124">
        <v>52300</v>
      </c>
      <c r="J352" s="124">
        <v>39170</v>
      </c>
      <c r="K352" s="124">
        <v>33570</v>
      </c>
      <c r="L352" s="124">
        <v>28320</v>
      </c>
      <c r="M352" s="124">
        <v>23070</v>
      </c>
    </row>
    <row r="353" spans="1:13">
      <c r="A353" s="124">
        <v>4020000</v>
      </c>
      <c r="B353" s="124">
        <v>4040000</v>
      </c>
      <c r="C353" s="124">
        <v>198630</v>
      </c>
      <c r="D353" s="124">
        <v>170600</v>
      </c>
      <c r="E353" s="124">
        <v>112040</v>
      </c>
      <c r="F353" s="124">
        <v>93380</v>
      </c>
      <c r="G353" s="124">
        <v>80260</v>
      </c>
      <c r="H353" s="125">
        <v>67130</v>
      </c>
      <c r="I353" s="124">
        <v>54010</v>
      </c>
      <c r="J353" s="124">
        <v>40880</v>
      </c>
      <c r="K353" s="124">
        <v>34250</v>
      </c>
      <c r="L353" s="124">
        <v>29000</v>
      </c>
      <c r="M353" s="124">
        <v>23750</v>
      </c>
    </row>
    <row r="354" spans="1:13">
      <c r="A354" s="124">
        <v>4040000</v>
      </c>
      <c r="B354" s="124">
        <v>4060000</v>
      </c>
      <c r="C354" s="124">
        <v>201300</v>
      </c>
      <c r="D354" s="124">
        <v>173260</v>
      </c>
      <c r="E354" s="124">
        <v>114480</v>
      </c>
      <c r="F354" s="124">
        <v>95730</v>
      </c>
      <c r="G354" s="124">
        <v>81970</v>
      </c>
      <c r="H354" s="125">
        <v>68840</v>
      </c>
      <c r="I354" s="124">
        <v>55720</v>
      </c>
      <c r="J354" s="124">
        <v>42590</v>
      </c>
      <c r="K354" s="124">
        <v>34930</v>
      </c>
      <c r="L354" s="124">
        <v>29680</v>
      </c>
      <c r="M354" s="124">
        <v>24430</v>
      </c>
    </row>
    <row r="355" spans="1:13">
      <c r="A355" s="124">
        <v>4060000</v>
      </c>
      <c r="B355" s="124">
        <v>4080000</v>
      </c>
      <c r="C355" s="124">
        <v>203970</v>
      </c>
      <c r="D355" s="124">
        <v>175910</v>
      </c>
      <c r="E355" s="124">
        <v>116930</v>
      </c>
      <c r="F355" s="124">
        <v>98180</v>
      </c>
      <c r="G355" s="124">
        <v>83680</v>
      </c>
      <c r="H355" s="125">
        <v>70560</v>
      </c>
      <c r="I355" s="124">
        <v>57430</v>
      </c>
      <c r="J355" s="124">
        <v>44310</v>
      </c>
      <c r="K355" s="124">
        <v>35620</v>
      </c>
      <c r="L355" s="124">
        <v>30370</v>
      </c>
      <c r="M355" s="124">
        <v>25120</v>
      </c>
    </row>
    <row r="356" spans="1:13">
      <c r="A356" s="124">
        <v>4080000</v>
      </c>
      <c r="B356" s="124">
        <v>4100000</v>
      </c>
      <c r="C356" s="124">
        <v>206640</v>
      </c>
      <c r="D356" s="124">
        <v>178570</v>
      </c>
      <c r="E356" s="124">
        <v>119370</v>
      </c>
      <c r="F356" s="124">
        <v>100620</v>
      </c>
      <c r="G356" s="124">
        <v>85390</v>
      </c>
      <c r="H356" s="125">
        <v>72270</v>
      </c>
      <c r="I356" s="124">
        <v>59140</v>
      </c>
      <c r="J356" s="124">
        <v>46020</v>
      </c>
      <c r="K356" s="124">
        <v>36300</v>
      </c>
      <c r="L356" s="124">
        <v>31050</v>
      </c>
      <c r="M356" s="124">
        <v>25800</v>
      </c>
    </row>
    <row r="357" spans="1:13">
      <c r="A357" s="124">
        <v>4100000</v>
      </c>
      <c r="B357" s="124">
        <v>4120000</v>
      </c>
      <c r="C357" s="124">
        <v>209310</v>
      </c>
      <c r="D357" s="124">
        <v>181220</v>
      </c>
      <c r="E357" s="124">
        <v>121820</v>
      </c>
      <c r="F357" s="124">
        <v>103070</v>
      </c>
      <c r="G357" s="124">
        <v>87100</v>
      </c>
      <c r="H357" s="125">
        <v>73980</v>
      </c>
      <c r="I357" s="124">
        <v>60850</v>
      </c>
      <c r="J357" s="124">
        <v>47730</v>
      </c>
      <c r="K357" s="124">
        <v>36990</v>
      </c>
      <c r="L357" s="124">
        <v>31740</v>
      </c>
      <c r="M357" s="124">
        <v>26490</v>
      </c>
    </row>
    <row r="358" spans="1:13">
      <c r="A358" s="124">
        <v>4120000</v>
      </c>
      <c r="B358" s="124">
        <v>4140000</v>
      </c>
      <c r="C358" s="124">
        <v>211980</v>
      </c>
      <c r="D358" s="124">
        <v>183880</v>
      </c>
      <c r="E358" s="124">
        <v>124260</v>
      </c>
      <c r="F358" s="124">
        <v>105510</v>
      </c>
      <c r="G358" s="124">
        <v>88820</v>
      </c>
      <c r="H358" s="125">
        <v>75690</v>
      </c>
      <c r="I358" s="124">
        <v>62570</v>
      </c>
      <c r="J358" s="124">
        <v>49440</v>
      </c>
      <c r="K358" s="124">
        <v>37670</v>
      </c>
      <c r="L358" s="124">
        <v>32420</v>
      </c>
      <c r="M358" s="124">
        <v>27170</v>
      </c>
    </row>
    <row r="359" spans="1:13">
      <c r="A359" s="124">
        <v>4140000</v>
      </c>
      <c r="B359" s="124">
        <v>4160000</v>
      </c>
      <c r="C359" s="124">
        <v>214650</v>
      </c>
      <c r="D359" s="124">
        <v>186530</v>
      </c>
      <c r="E359" s="124">
        <v>126710</v>
      </c>
      <c r="F359" s="124">
        <v>107960</v>
      </c>
      <c r="G359" s="124">
        <v>90530</v>
      </c>
      <c r="H359" s="125">
        <v>77400</v>
      </c>
      <c r="I359" s="124">
        <v>64280</v>
      </c>
      <c r="J359" s="124">
        <v>51150</v>
      </c>
      <c r="K359" s="124">
        <v>38360</v>
      </c>
      <c r="L359" s="124">
        <v>33110</v>
      </c>
      <c r="M359" s="124">
        <v>27860</v>
      </c>
    </row>
    <row r="360" spans="1:13">
      <c r="A360" s="124">
        <v>4160000</v>
      </c>
      <c r="B360" s="124">
        <v>4180000</v>
      </c>
      <c r="C360" s="124">
        <v>217320</v>
      </c>
      <c r="D360" s="124">
        <v>189190</v>
      </c>
      <c r="E360" s="124">
        <v>129150</v>
      </c>
      <c r="F360" s="124">
        <v>110400</v>
      </c>
      <c r="G360" s="124">
        <v>92240</v>
      </c>
      <c r="H360" s="125">
        <v>79110</v>
      </c>
      <c r="I360" s="124">
        <v>65990</v>
      </c>
      <c r="J360" s="124">
        <v>52860</v>
      </c>
      <c r="K360" s="124">
        <v>39740</v>
      </c>
      <c r="L360" s="124">
        <v>33790</v>
      </c>
      <c r="M360" s="124">
        <v>28540</v>
      </c>
    </row>
    <row r="361" spans="1:13">
      <c r="A361" s="124">
        <v>4180000</v>
      </c>
      <c r="B361" s="124">
        <v>4200000</v>
      </c>
      <c r="C361" s="124">
        <v>219990</v>
      </c>
      <c r="D361" s="124">
        <v>191840</v>
      </c>
      <c r="E361" s="124">
        <v>131600</v>
      </c>
      <c r="F361" s="124">
        <v>112850</v>
      </c>
      <c r="G361" s="124">
        <v>94100</v>
      </c>
      <c r="H361" s="125">
        <v>80830</v>
      </c>
      <c r="I361" s="124">
        <v>67700</v>
      </c>
      <c r="J361" s="124">
        <v>54580</v>
      </c>
      <c r="K361" s="124">
        <v>41450</v>
      </c>
      <c r="L361" s="124">
        <v>34480</v>
      </c>
      <c r="M361" s="124">
        <v>29230</v>
      </c>
    </row>
    <row r="362" spans="1:13">
      <c r="A362" s="124">
        <v>4200000</v>
      </c>
      <c r="B362" s="124">
        <v>4220000</v>
      </c>
      <c r="C362" s="124">
        <v>222660</v>
      </c>
      <c r="D362" s="124">
        <v>194500</v>
      </c>
      <c r="E362" s="124">
        <v>134040</v>
      </c>
      <c r="F362" s="124">
        <v>115290</v>
      </c>
      <c r="G362" s="124">
        <v>96540</v>
      </c>
      <c r="H362" s="125">
        <v>82540</v>
      </c>
      <c r="I362" s="124">
        <v>69410</v>
      </c>
      <c r="J362" s="124">
        <v>56290</v>
      </c>
      <c r="K362" s="124">
        <v>43160</v>
      </c>
      <c r="L362" s="124">
        <v>35160</v>
      </c>
      <c r="M362" s="124">
        <v>29910</v>
      </c>
    </row>
    <row r="363" spans="1:13">
      <c r="A363" s="124">
        <v>4220000</v>
      </c>
      <c r="B363" s="124">
        <v>4240000</v>
      </c>
      <c r="C363" s="124">
        <v>225330</v>
      </c>
      <c r="D363" s="124">
        <v>197150</v>
      </c>
      <c r="E363" s="124">
        <v>136490</v>
      </c>
      <c r="F363" s="124">
        <v>117740</v>
      </c>
      <c r="G363" s="124">
        <v>98990</v>
      </c>
      <c r="H363" s="125">
        <v>84250</v>
      </c>
      <c r="I363" s="124">
        <v>71120</v>
      </c>
      <c r="J363" s="124">
        <v>58000</v>
      </c>
      <c r="K363" s="124">
        <v>44870</v>
      </c>
      <c r="L363" s="124">
        <v>35850</v>
      </c>
      <c r="M363" s="124">
        <v>30600</v>
      </c>
    </row>
    <row r="364" spans="1:13">
      <c r="A364" s="124">
        <v>4240000</v>
      </c>
      <c r="B364" s="124">
        <v>4260000</v>
      </c>
      <c r="C364" s="124">
        <v>228000</v>
      </c>
      <c r="D364" s="124">
        <v>199810</v>
      </c>
      <c r="E364" s="124">
        <v>138930</v>
      </c>
      <c r="F364" s="124">
        <v>120180</v>
      </c>
      <c r="G364" s="124">
        <v>101430</v>
      </c>
      <c r="H364" s="125">
        <v>85960</v>
      </c>
      <c r="I364" s="124">
        <v>72830</v>
      </c>
      <c r="J364" s="124">
        <v>59710</v>
      </c>
      <c r="K364" s="124">
        <v>46580</v>
      </c>
      <c r="L364" s="124">
        <v>36530</v>
      </c>
      <c r="M364" s="124">
        <v>31280</v>
      </c>
    </row>
    <row r="365" spans="1:13">
      <c r="A365" s="124">
        <v>4260000</v>
      </c>
      <c r="B365" s="124">
        <v>4280000</v>
      </c>
      <c r="C365" s="124">
        <v>230670</v>
      </c>
      <c r="D365" s="124">
        <v>202460</v>
      </c>
      <c r="E365" s="124">
        <v>141380</v>
      </c>
      <c r="F365" s="124">
        <v>122630</v>
      </c>
      <c r="G365" s="124">
        <v>103880</v>
      </c>
      <c r="H365" s="125">
        <v>87670</v>
      </c>
      <c r="I365" s="124">
        <v>74550</v>
      </c>
      <c r="J365" s="124">
        <v>61420</v>
      </c>
      <c r="K365" s="124">
        <v>48300</v>
      </c>
      <c r="L365" s="124">
        <v>37220</v>
      </c>
      <c r="M365" s="124">
        <v>31970</v>
      </c>
    </row>
    <row r="366" spans="1:13">
      <c r="A366" s="124">
        <v>4280000</v>
      </c>
      <c r="B366" s="124">
        <v>4300000</v>
      </c>
      <c r="C366" s="124">
        <v>233340</v>
      </c>
      <c r="D366" s="124">
        <v>205120</v>
      </c>
      <c r="E366" s="124">
        <v>143820</v>
      </c>
      <c r="F366" s="124">
        <v>125070</v>
      </c>
      <c r="G366" s="124">
        <v>106320</v>
      </c>
      <c r="H366" s="125">
        <v>89380</v>
      </c>
      <c r="I366" s="124">
        <v>76260</v>
      </c>
      <c r="J366" s="124">
        <v>63130</v>
      </c>
      <c r="K366" s="124">
        <v>50010</v>
      </c>
      <c r="L366" s="124">
        <v>37900</v>
      </c>
      <c r="M366" s="124">
        <v>32650</v>
      </c>
    </row>
    <row r="367" spans="1:13">
      <c r="A367" s="124">
        <v>4300000</v>
      </c>
      <c r="B367" s="124">
        <v>4320000</v>
      </c>
      <c r="C367" s="124">
        <v>236010</v>
      </c>
      <c r="D367" s="124">
        <v>207770</v>
      </c>
      <c r="E367" s="124">
        <v>146270</v>
      </c>
      <c r="F367" s="124">
        <v>127520</v>
      </c>
      <c r="G367" s="124">
        <v>108770</v>
      </c>
      <c r="H367" s="125">
        <v>91090</v>
      </c>
      <c r="I367" s="124">
        <v>77970</v>
      </c>
      <c r="J367" s="124">
        <v>64840</v>
      </c>
      <c r="K367" s="124">
        <v>51720</v>
      </c>
      <c r="L367" s="124">
        <v>38590</v>
      </c>
      <c r="M367" s="124">
        <v>33330</v>
      </c>
    </row>
    <row r="368" spans="1:13">
      <c r="A368" s="124">
        <v>4320000</v>
      </c>
      <c r="B368" s="124">
        <v>4340000</v>
      </c>
      <c r="C368" s="124">
        <v>238680</v>
      </c>
      <c r="D368" s="124">
        <v>210430</v>
      </c>
      <c r="E368" s="124">
        <v>148710</v>
      </c>
      <c r="F368" s="124">
        <v>129960</v>
      </c>
      <c r="G368" s="124">
        <v>111210</v>
      </c>
      <c r="H368" s="125">
        <v>92810</v>
      </c>
      <c r="I368" s="124">
        <v>79680</v>
      </c>
      <c r="J368" s="124">
        <v>66560</v>
      </c>
      <c r="K368" s="124">
        <v>53430</v>
      </c>
      <c r="L368" s="124">
        <v>40310</v>
      </c>
      <c r="M368" s="124">
        <v>34020</v>
      </c>
    </row>
    <row r="369" spans="1:13">
      <c r="A369" s="124">
        <v>4340000</v>
      </c>
      <c r="B369" s="124">
        <v>4360000</v>
      </c>
      <c r="C369" s="124">
        <v>241350</v>
      </c>
      <c r="D369" s="124">
        <v>213080</v>
      </c>
      <c r="E369" s="124">
        <v>151160</v>
      </c>
      <c r="F369" s="124">
        <v>132410</v>
      </c>
      <c r="G369" s="124">
        <v>113660</v>
      </c>
      <c r="H369" s="125">
        <v>94910</v>
      </c>
      <c r="I369" s="124">
        <v>81390</v>
      </c>
      <c r="J369" s="124">
        <v>68270</v>
      </c>
      <c r="K369" s="124">
        <v>55140</v>
      </c>
      <c r="L369" s="124">
        <v>42020</v>
      </c>
      <c r="M369" s="124">
        <v>34700</v>
      </c>
    </row>
    <row r="370" spans="1:13">
      <c r="A370" s="124">
        <v>4360000</v>
      </c>
      <c r="B370" s="124">
        <v>4380000</v>
      </c>
      <c r="C370" s="124">
        <v>244020</v>
      </c>
      <c r="D370" s="124">
        <v>215740</v>
      </c>
      <c r="E370" s="124">
        <v>153600</v>
      </c>
      <c r="F370" s="124">
        <v>134850</v>
      </c>
      <c r="G370" s="124">
        <v>116100</v>
      </c>
      <c r="H370" s="125">
        <v>97350</v>
      </c>
      <c r="I370" s="124">
        <v>83100</v>
      </c>
      <c r="J370" s="124">
        <v>69980</v>
      </c>
      <c r="K370" s="124">
        <v>56850</v>
      </c>
      <c r="L370" s="124">
        <v>43730</v>
      </c>
      <c r="M370" s="124">
        <v>35390</v>
      </c>
    </row>
    <row r="371" spans="1:13">
      <c r="A371" s="124">
        <v>4380000</v>
      </c>
      <c r="B371" s="124">
        <v>4400000</v>
      </c>
      <c r="C371" s="124">
        <v>246690</v>
      </c>
      <c r="D371" s="124">
        <v>218390</v>
      </c>
      <c r="E371" s="124">
        <v>156050</v>
      </c>
      <c r="F371" s="124">
        <v>137300</v>
      </c>
      <c r="G371" s="124">
        <v>118550</v>
      </c>
      <c r="H371" s="125">
        <v>99800</v>
      </c>
      <c r="I371" s="124">
        <v>84820</v>
      </c>
      <c r="J371" s="124">
        <v>71690</v>
      </c>
      <c r="K371" s="124">
        <v>58570</v>
      </c>
      <c r="L371" s="124">
        <v>45440</v>
      </c>
      <c r="M371" s="124">
        <v>36070</v>
      </c>
    </row>
    <row r="372" spans="1:13">
      <c r="A372" s="124">
        <v>4400000</v>
      </c>
      <c r="B372" s="124">
        <v>4420000</v>
      </c>
      <c r="C372" s="124">
        <v>249360</v>
      </c>
      <c r="D372" s="124">
        <v>221050</v>
      </c>
      <c r="E372" s="124">
        <v>158490</v>
      </c>
      <c r="F372" s="124">
        <v>139740</v>
      </c>
      <c r="G372" s="124">
        <v>120990</v>
      </c>
      <c r="H372" s="125">
        <v>102240</v>
      </c>
      <c r="I372" s="124">
        <v>86530</v>
      </c>
      <c r="J372" s="124">
        <v>73400</v>
      </c>
      <c r="K372" s="124">
        <v>60280</v>
      </c>
      <c r="L372" s="124">
        <v>47150</v>
      </c>
      <c r="M372" s="124">
        <v>36760</v>
      </c>
    </row>
    <row r="373" spans="1:13">
      <c r="A373" s="124">
        <v>4420000</v>
      </c>
      <c r="B373" s="124">
        <v>4440000</v>
      </c>
      <c r="C373" s="124">
        <v>252030</v>
      </c>
      <c r="D373" s="124">
        <v>223700</v>
      </c>
      <c r="E373" s="124">
        <v>160940</v>
      </c>
      <c r="F373" s="124">
        <v>142190</v>
      </c>
      <c r="G373" s="124">
        <v>123440</v>
      </c>
      <c r="H373" s="125">
        <v>104690</v>
      </c>
      <c r="I373" s="124">
        <v>88240</v>
      </c>
      <c r="J373" s="124">
        <v>75110</v>
      </c>
      <c r="K373" s="124">
        <v>61990</v>
      </c>
      <c r="L373" s="124">
        <v>48860</v>
      </c>
      <c r="M373" s="124">
        <v>37440</v>
      </c>
    </row>
    <row r="374" spans="1:13">
      <c r="A374" s="124">
        <v>4440000</v>
      </c>
      <c r="B374" s="124">
        <v>4460000</v>
      </c>
      <c r="C374" s="124">
        <v>254700</v>
      </c>
      <c r="D374" s="124">
        <v>226360</v>
      </c>
      <c r="E374" s="124">
        <v>163380</v>
      </c>
      <c r="F374" s="124">
        <v>144630</v>
      </c>
      <c r="G374" s="124">
        <v>125880</v>
      </c>
      <c r="H374" s="125">
        <v>107130</v>
      </c>
      <c r="I374" s="124">
        <v>89950</v>
      </c>
      <c r="J374" s="124">
        <v>76820</v>
      </c>
      <c r="K374" s="124">
        <v>63700</v>
      </c>
      <c r="L374" s="124">
        <v>50570</v>
      </c>
      <c r="M374" s="124">
        <v>38130</v>
      </c>
    </row>
    <row r="375" spans="1:13">
      <c r="A375" s="124">
        <v>4460000</v>
      </c>
      <c r="B375" s="124">
        <v>4480000</v>
      </c>
      <c r="C375" s="124">
        <v>257370</v>
      </c>
      <c r="D375" s="124">
        <v>229010</v>
      </c>
      <c r="E375" s="124">
        <v>165830</v>
      </c>
      <c r="F375" s="124">
        <v>147080</v>
      </c>
      <c r="G375" s="124">
        <v>128330</v>
      </c>
      <c r="H375" s="125">
        <v>109580</v>
      </c>
      <c r="I375" s="124">
        <v>91660</v>
      </c>
      <c r="J375" s="124">
        <v>78540</v>
      </c>
      <c r="K375" s="124">
        <v>65410</v>
      </c>
      <c r="L375" s="124">
        <v>52290</v>
      </c>
      <c r="M375" s="124">
        <v>39160</v>
      </c>
    </row>
    <row r="376" spans="1:13">
      <c r="A376" s="124">
        <v>4480000</v>
      </c>
      <c r="B376" s="124">
        <v>4500000</v>
      </c>
      <c r="C376" s="124">
        <v>260040</v>
      </c>
      <c r="D376" s="124">
        <v>231670</v>
      </c>
      <c r="E376" s="124">
        <v>168270</v>
      </c>
      <c r="F376" s="124">
        <v>149520</v>
      </c>
      <c r="G376" s="124">
        <v>130770</v>
      </c>
      <c r="H376" s="125">
        <v>112020</v>
      </c>
      <c r="I376" s="124">
        <v>93370</v>
      </c>
      <c r="J376" s="124">
        <v>80250</v>
      </c>
      <c r="K376" s="124">
        <v>67120</v>
      </c>
      <c r="L376" s="124">
        <v>54000</v>
      </c>
      <c r="M376" s="124">
        <v>40870</v>
      </c>
    </row>
    <row r="377" spans="1:13">
      <c r="A377" s="124">
        <v>4500000</v>
      </c>
      <c r="B377" s="124">
        <v>4520000</v>
      </c>
      <c r="C377" s="124">
        <v>262840</v>
      </c>
      <c r="D377" s="124">
        <v>234460</v>
      </c>
      <c r="E377" s="124">
        <v>170850</v>
      </c>
      <c r="F377" s="124">
        <v>152100</v>
      </c>
      <c r="G377" s="124">
        <v>133350</v>
      </c>
      <c r="H377" s="125">
        <v>114600</v>
      </c>
      <c r="I377" s="124">
        <v>95850</v>
      </c>
      <c r="J377" s="124">
        <v>82050</v>
      </c>
      <c r="K377" s="124">
        <v>68930</v>
      </c>
      <c r="L377" s="124">
        <v>55800</v>
      </c>
      <c r="M377" s="124">
        <v>42680</v>
      </c>
    </row>
    <row r="378" spans="1:13">
      <c r="A378" s="124">
        <v>4520000</v>
      </c>
      <c r="B378" s="124">
        <v>4540000</v>
      </c>
      <c r="C378" s="124">
        <v>265650</v>
      </c>
      <c r="D378" s="124">
        <v>237250</v>
      </c>
      <c r="E378" s="124">
        <v>173430</v>
      </c>
      <c r="F378" s="124">
        <v>154680</v>
      </c>
      <c r="G378" s="124">
        <v>135930</v>
      </c>
      <c r="H378" s="125">
        <v>117180</v>
      </c>
      <c r="I378" s="124">
        <v>98430</v>
      </c>
      <c r="J378" s="124">
        <v>83860</v>
      </c>
      <c r="K378" s="124">
        <v>70730</v>
      </c>
      <c r="L378" s="124">
        <v>57610</v>
      </c>
      <c r="M378" s="124">
        <v>44480</v>
      </c>
    </row>
    <row r="379" spans="1:13">
      <c r="A379" s="124">
        <v>4540000</v>
      </c>
      <c r="B379" s="124">
        <v>4560000</v>
      </c>
      <c r="C379" s="124">
        <v>268450</v>
      </c>
      <c r="D379" s="124">
        <v>240040</v>
      </c>
      <c r="E379" s="124">
        <v>176010</v>
      </c>
      <c r="F379" s="124">
        <v>157260</v>
      </c>
      <c r="G379" s="124">
        <v>138510</v>
      </c>
      <c r="H379" s="125">
        <v>119760</v>
      </c>
      <c r="I379" s="124">
        <v>101010</v>
      </c>
      <c r="J379" s="124">
        <v>85670</v>
      </c>
      <c r="K379" s="124">
        <v>72540</v>
      </c>
      <c r="L379" s="124">
        <v>59420</v>
      </c>
      <c r="M379" s="124">
        <v>46290</v>
      </c>
    </row>
    <row r="380" spans="1:13">
      <c r="A380" s="124">
        <v>4560000</v>
      </c>
      <c r="B380" s="124">
        <v>4580000</v>
      </c>
      <c r="C380" s="124">
        <v>271260</v>
      </c>
      <c r="D380" s="124">
        <v>242830</v>
      </c>
      <c r="E380" s="124">
        <v>178590</v>
      </c>
      <c r="F380" s="124">
        <v>159840</v>
      </c>
      <c r="G380" s="124">
        <v>141090</v>
      </c>
      <c r="H380" s="125">
        <v>122340</v>
      </c>
      <c r="I380" s="124">
        <v>103590</v>
      </c>
      <c r="J380" s="124">
        <v>87470</v>
      </c>
      <c r="K380" s="124">
        <v>74350</v>
      </c>
      <c r="L380" s="124">
        <v>61220</v>
      </c>
      <c r="M380" s="124">
        <v>48100</v>
      </c>
    </row>
    <row r="381" spans="1:13">
      <c r="A381" s="124">
        <v>4580000</v>
      </c>
      <c r="B381" s="124">
        <v>4600000</v>
      </c>
      <c r="C381" s="124">
        <v>276560</v>
      </c>
      <c r="D381" s="124">
        <v>248120</v>
      </c>
      <c r="E381" s="124">
        <v>183670</v>
      </c>
      <c r="F381" s="124">
        <v>164920</v>
      </c>
      <c r="G381" s="124">
        <v>146170</v>
      </c>
      <c r="H381" s="125">
        <v>127420</v>
      </c>
      <c r="I381" s="124">
        <v>108670</v>
      </c>
      <c r="J381" s="124">
        <v>89920</v>
      </c>
      <c r="K381" s="124">
        <v>76150</v>
      </c>
      <c r="L381" s="124">
        <v>63030</v>
      </c>
      <c r="M381" s="124">
        <v>49900</v>
      </c>
    </row>
    <row r="382" spans="1:13">
      <c r="A382" s="124">
        <v>4600000</v>
      </c>
      <c r="B382" s="124">
        <v>4620000</v>
      </c>
      <c r="C382" s="124">
        <v>279370</v>
      </c>
      <c r="D382" s="124">
        <v>250910</v>
      </c>
      <c r="E382" s="124">
        <v>186250</v>
      </c>
      <c r="F382" s="124">
        <v>167500</v>
      </c>
      <c r="G382" s="124">
        <v>148750</v>
      </c>
      <c r="H382" s="125">
        <v>130000</v>
      </c>
      <c r="I382" s="124">
        <v>111250</v>
      </c>
      <c r="J382" s="124">
        <v>92500</v>
      </c>
      <c r="K382" s="124">
        <v>77960</v>
      </c>
      <c r="L382" s="124">
        <v>64830</v>
      </c>
      <c r="M382" s="124">
        <v>51710</v>
      </c>
    </row>
    <row r="383" spans="1:13">
      <c r="A383" s="124">
        <v>4620000</v>
      </c>
      <c r="B383" s="124">
        <v>4640000</v>
      </c>
      <c r="C383" s="124">
        <v>282170</v>
      </c>
      <c r="D383" s="124">
        <v>253700</v>
      </c>
      <c r="E383" s="124">
        <v>188830</v>
      </c>
      <c r="F383" s="124">
        <v>170080</v>
      </c>
      <c r="G383" s="124">
        <v>151330</v>
      </c>
      <c r="H383" s="125">
        <v>132580</v>
      </c>
      <c r="I383" s="124">
        <v>113830</v>
      </c>
      <c r="J383" s="124">
        <v>95080</v>
      </c>
      <c r="K383" s="124">
        <v>79760</v>
      </c>
      <c r="L383" s="124">
        <v>66640</v>
      </c>
      <c r="M383" s="124">
        <v>53510</v>
      </c>
    </row>
    <row r="384" spans="1:13">
      <c r="A384" s="124">
        <v>4640000</v>
      </c>
      <c r="B384" s="124">
        <v>4660000</v>
      </c>
      <c r="C384" s="124">
        <v>284980</v>
      </c>
      <c r="D384" s="124">
        <v>256490</v>
      </c>
      <c r="E384" s="124">
        <v>191410</v>
      </c>
      <c r="F384" s="124">
        <v>172660</v>
      </c>
      <c r="G384" s="124">
        <v>153910</v>
      </c>
      <c r="H384" s="125">
        <v>135160</v>
      </c>
      <c r="I384" s="124">
        <v>116410</v>
      </c>
      <c r="J384" s="124">
        <v>97660</v>
      </c>
      <c r="K384" s="124">
        <v>81570</v>
      </c>
      <c r="L384" s="124">
        <v>68450</v>
      </c>
      <c r="M384" s="124">
        <v>55320</v>
      </c>
    </row>
    <row r="385" spans="1:13">
      <c r="A385" s="124">
        <v>4660000</v>
      </c>
      <c r="B385" s="124">
        <v>4680000</v>
      </c>
      <c r="C385" s="124">
        <v>287780</v>
      </c>
      <c r="D385" s="124">
        <v>259280</v>
      </c>
      <c r="E385" s="124">
        <v>193990</v>
      </c>
      <c r="F385" s="124">
        <v>175240</v>
      </c>
      <c r="G385" s="124">
        <v>156490</v>
      </c>
      <c r="H385" s="125">
        <v>137740</v>
      </c>
      <c r="I385" s="124">
        <v>118990</v>
      </c>
      <c r="J385" s="124">
        <v>100240</v>
      </c>
      <c r="K385" s="124">
        <v>83380</v>
      </c>
      <c r="L385" s="124">
        <v>70250</v>
      </c>
      <c r="M385" s="124">
        <v>57130</v>
      </c>
    </row>
    <row r="386" spans="1:13">
      <c r="A386" s="124">
        <v>4680000</v>
      </c>
      <c r="B386" s="124">
        <v>4700000</v>
      </c>
      <c r="C386" s="124">
        <v>290590</v>
      </c>
      <c r="D386" s="124">
        <v>262070</v>
      </c>
      <c r="E386" s="124">
        <v>196570</v>
      </c>
      <c r="F386" s="124">
        <v>177820</v>
      </c>
      <c r="G386" s="124">
        <v>159070</v>
      </c>
      <c r="H386" s="125">
        <v>140320</v>
      </c>
      <c r="I386" s="124">
        <v>121570</v>
      </c>
      <c r="J386" s="124">
        <v>102820</v>
      </c>
      <c r="K386" s="124">
        <v>85180</v>
      </c>
      <c r="L386" s="124">
        <v>72060</v>
      </c>
      <c r="M386" s="124">
        <v>58930</v>
      </c>
    </row>
    <row r="387" spans="1:13">
      <c r="A387" s="124">
        <v>4700000</v>
      </c>
      <c r="B387" s="124">
        <v>4720000</v>
      </c>
      <c r="C387" s="124">
        <v>293390</v>
      </c>
      <c r="D387" s="124">
        <v>264860</v>
      </c>
      <c r="E387" s="124">
        <v>199150</v>
      </c>
      <c r="F387" s="124">
        <v>180400</v>
      </c>
      <c r="G387" s="124">
        <v>161650</v>
      </c>
      <c r="H387" s="125">
        <v>142900</v>
      </c>
      <c r="I387" s="124">
        <v>124150</v>
      </c>
      <c r="J387" s="124">
        <v>105400</v>
      </c>
      <c r="K387" s="124">
        <v>86990</v>
      </c>
      <c r="L387" s="124">
        <v>73860</v>
      </c>
      <c r="M387" s="124">
        <v>60740</v>
      </c>
    </row>
    <row r="388" spans="1:13">
      <c r="A388" s="124">
        <v>4720000</v>
      </c>
      <c r="B388" s="124">
        <v>4740000</v>
      </c>
      <c r="C388" s="124">
        <v>296200</v>
      </c>
      <c r="D388" s="124">
        <v>267650</v>
      </c>
      <c r="E388" s="124">
        <v>201730</v>
      </c>
      <c r="F388" s="124">
        <v>182980</v>
      </c>
      <c r="G388" s="124">
        <v>164230</v>
      </c>
      <c r="H388" s="125">
        <v>145480</v>
      </c>
      <c r="I388" s="124">
        <v>126730</v>
      </c>
      <c r="J388" s="124">
        <v>107980</v>
      </c>
      <c r="K388" s="124">
        <v>89230</v>
      </c>
      <c r="L388" s="124">
        <v>75670</v>
      </c>
      <c r="M388" s="124">
        <v>62540</v>
      </c>
    </row>
    <row r="389" spans="1:13">
      <c r="A389" s="124">
        <v>4740000</v>
      </c>
      <c r="B389" s="124">
        <v>4760000</v>
      </c>
      <c r="C389" s="124">
        <v>299000</v>
      </c>
      <c r="D389" s="124">
        <v>270440</v>
      </c>
      <c r="E389" s="124">
        <v>204310</v>
      </c>
      <c r="F389" s="124">
        <v>185560</v>
      </c>
      <c r="G389" s="124">
        <v>166810</v>
      </c>
      <c r="H389" s="125">
        <v>148060</v>
      </c>
      <c r="I389" s="124">
        <v>129310</v>
      </c>
      <c r="J389" s="124">
        <v>110560</v>
      </c>
      <c r="K389" s="124">
        <v>91810</v>
      </c>
      <c r="L389" s="124">
        <v>77480</v>
      </c>
      <c r="M389" s="124">
        <v>64350</v>
      </c>
    </row>
    <row r="390" spans="1:13">
      <c r="A390" s="124">
        <v>4760000</v>
      </c>
      <c r="B390" s="124">
        <v>4780000</v>
      </c>
      <c r="C390" s="124">
        <v>301810</v>
      </c>
      <c r="D390" s="124">
        <v>273230</v>
      </c>
      <c r="E390" s="124">
        <v>206890</v>
      </c>
      <c r="F390" s="124">
        <v>188140</v>
      </c>
      <c r="G390" s="124">
        <v>169390</v>
      </c>
      <c r="H390" s="125">
        <v>150640</v>
      </c>
      <c r="I390" s="124">
        <v>131890</v>
      </c>
      <c r="J390" s="124">
        <v>113140</v>
      </c>
      <c r="K390" s="124">
        <v>94390</v>
      </c>
      <c r="L390" s="124">
        <v>79280</v>
      </c>
      <c r="M390" s="124">
        <v>66160</v>
      </c>
    </row>
    <row r="391" spans="1:13">
      <c r="A391" s="124">
        <v>4780000</v>
      </c>
      <c r="B391" s="124">
        <v>4800000</v>
      </c>
      <c r="C391" s="124">
        <v>304610</v>
      </c>
      <c r="D391" s="124">
        <v>276020</v>
      </c>
      <c r="E391" s="124">
        <v>209470</v>
      </c>
      <c r="F391" s="124">
        <v>190720</v>
      </c>
      <c r="G391" s="124">
        <v>171970</v>
      </c>
      <c r="H391" s="125">
        <v>153220</v>
      </c>
      <c r="I391" s="124">
        <v>134470</v>
      </c>
      <c r="J391" s="124">
        <v>115720</v>
      </c>
      <c r="K391" s="124">
        <v>96970</v>
      </c>
      <c r="L391" s="124">
        <v>81090</v>
      </c>
      <c r="M391" s="124">
        <v>67960</v>
      </c>
    </row>
    <row r="392" spans="1:13">
      <c r="A392" s="124">
        <v>4800000</v>
      </c>
      <c r="B392" s="124">
        <v>4820000</v>
      </c>
      <c r="C392" s="124">
        <v>307420</v>
      </c>
      <c r="D392" s="124">
        <v>278810</v>
      </c>
      <c r="E392" s="124">
        <v>212050</v>
      </c>
      <c r="F392" s="124">
        <v>193300</v>
      </c>
      <c r="G392" s="124">
        <v>174550</v>
      </c>
      <c r="H392" s="125">
        <v>155800</v>
      </c>
      <c r="I392" s="124">
        <v>137050</v>
      </c>
      <c r="J392" s="124">
        <v>118300</v>
      </c>
      <c r="K392" s="124">
        <v>99550</v>
      </c>
      <c r="L392" s="124">
        <v>82890</v>
      </c>
      <c r="M392" s="124">
        <v>69770</v>
      </c>
    </row>
    <row r="393" spans="1:13">
      <c r="A393" s="124">
        <v>4820000</v>
      </c>
      <c r="B393" s="124">
        <v>4840000</v>
      </c>
      <c r="C393" s="124">
        <v>310220</v>
      </c>
      <c r="D393" s="124">
        <v>281600</v>
      </c>
      <c r="E393" s="124">
        <v>214630</v>
      </c>
      <c r="F393" s="124">
        <v>195880</v>
      </c>
      <c r="G393" s="124">
        <v>177130</v>
      </c>
      <c r="H393" s="125">
        <v>158380</v>
      </c>
      <c r="I393" s="124">
        <v>139630</v>
      </c>
      <c r="J393" s="124">
        <v>120880</v>
      </c>
      <c r="K393" s="124">
        <v>102130</v>
      </c>
      <c r="L393" s="124">
        <v>84700</v>
      </c>
      <c r="M393" s="124">
        <v>71570</v>
      </c>
    </row>
    <row r="394" spans="1:13">
      <c r="A394" s="124">
        <v>4840000</v>
      </c>
      <c r="B394" s="124">
        <v>4860000</v>
      </c>
      <c r="C394" s="124">
        <v>313030</v>
      </c>
      <c r="D394" s="124">
        <v>284390</v>
      </c>
      <c r="E394" s="124">
        <v>217210</v>
      </c>
      <c r="F394" s="124">
        <v>198460</v>
      </c>
      <c r="G394" s="124">
        <v>179710</v>
      </c>
      <c r="H394" s="125">
        <v>160960</v>
      </c>
      <c r="I394" s="124">
        <v>142210</v>
      </c>
      <c r="J394" s="124">
        <v>123460</v>
      </c>
      <c r="K394" s="124">
        <v>104710</v>
      </c>
      <c r="L394" s="124">
        <v>86510</v>
      </c>
      <c r="M394" s="124">
        <v>73380</v>
      </c>
    </row>
    <row r="395" spans="1:13">
      <c r="A395" s="124">
        <v>4860000</v>
      </c>
      <c r="B395" s="124">
        <v>4880000</v>
      </c>
      <c r="C395" s="124">
        <v>315830</v>
      </c>
      <c r="D395" s="124">
        <v>287180</v>
      </c>
      <c r="E395" s="124">
        <v>219790</v>
      </c>
      <c r="F395" s="124">
        <v>201040</v>
      </c>
      <c r="G395" s="124">
        <v>182290</v>
      </c>
      <c r="H395" s="125">
        <v>163540</v>
      </c>
      <c r="I395" s="124">
        <v>144790</v>
      </c>
      <c r="J395" s="124">
        <v>126040</v>
      </c>
      <c r="K395" s="124">
        <v>107290</v>
      </c>
      <c r="L395" s="124">
        <v>88540</v>
      </c>
      <c r="M395" s="124">
        <v>75190</v>
      </c>
    </row>
    <row r="396" spans="1:13">
      <c r="A396" s="124">
        <v>4880000</v>
      </c>
      <c r="B396" s="124">
        <v>4900000</v>
      </c>
      <c r="C396" s="124">
        <v>318640</v>
      </c>
      <c r="D396" s="124">
        <v>289970</v>
      </c>
      <c r="E396" s="124">
        <v>222370</v>
      </c>
      <c r="F396" s="124">
        <v>203620</v>
      </c>
      <c r="G396" s="124">
        <v>184870</v>
      </c>
      <c r="H396" s="125">
        <v>166120</v>
      </c>
      <c r="I396" s="124">
        <v>147370</v>
      </c>
      <c r="J396" s="124">
        <v>128620</v>
      </c>
      <c r="K396" s="124">
        <v>109870</v>
      </c>
      <c r="L396" s="124">
        <v>91120</v>
      </c>
      <c r="M396" s="124">
        <v>76990</v>
      </c>
    </row>
    <row r="397" spans="1:13">
      <c r="A397" s="124">
        <v>4900000</v>
      </c>
      <c r="B397" s="124">
        <v>4920000</v>
      </c>
      <c r="C397" s="124">
        <v>321440</v>
      </c>
      <c r="D397" s="124">
        <v>292760</v>
      </c>
      <c r="E397" s="124">
        <v>224950</v>
      </c>
      <c r="F397" s="124">
        <v>206200</v>
      </c>
      <c r="G397" s="124">
        <v>187450</v>
      </c>
      <c r="H397" s="125">
        <v>168700</v>
      </c>
      <c r="I397" s="124">
        <v>149950</v>
      </c>
      <c r="J397" s="124">
        <v>131200</v>
      </c>
      <c r="K397" s="124">
        <v>112450</v>
      </c>
      <c r="L397" s="124">
        <v>93700</v>
      </c>
      <c r="M397" s="124">
        <v>78800</v>
      </c>
    </row>
    <row r="398" spans="1:13">
      <c r="A398" s="124">
        <v>4920000</v>
      </c>
      <c r="B398" s="124">
        <v>4940000</v>
      </c>
      <c r="C398" s="124">
        <v>324250</v>
      </c>
      <c r="D398" s="124">
        <v>295550</v>
      </c>
      <c r="E398" s="124">
        <v>227530</v>
      </c>
      <c r="F398" s="124">
        <v>208780</v>
      </c>
      <c r="G398" s="124">
        <v>190030</v>
      </c>
      <c r="H398" s="125">
        <v>171280</v>
      </c>
      <c r="I398" s="124">
        <v>152530</v>
      </c>
      <c r="J398" s="124">
        <v>133780</v>
      </c>
      <c r="K398" s="124">
        <v>115030</v>
      </c>
      <c r="L398" s="124">
        <v>96280</v>
      </c>
      <c r="M398" s="124">
        <v>80600</v>
      </c>
    </row>
    <row r="399" spans="1:13">
      <c r="A399" s="124">
        <v>4940000</v>
      </c>
      <c r="B399" s="124">
        <v>4960000</v>
      </c>
      <c r="C399" s="124">
        <v>327050</v>
      </c>
      <c r="D399" s="124">
        <v>298340</v>
      </c>
      <c r="E399" s="124">
        <v>230110</v>
      </c>
      <c r="F399" s="124">
        <v>211360</v>
      </c>
      <c r="G399" s="124">
        <v>192610</v>
      </c>
      <c r="H399" s="125">
        <v>173860</v>
      </c>
      <c r="I399" s="124">
        <v>155110</v>
      </c>
      <c r="J399" s="124">
        <v>136360</v>
      </c>
      <c r="K399" s="124">
        <v>117610</v>
      </c>
      <c r="L399" s="124">
        <v>98860</v>
      </c>
      <c r="M399" s="124">
        <v>82410</v>
      </c>
    </row>
    <row r="400" spans="1:13">
      <c r="A400" s="124">
        <v>4960000</v>
      </c>
      <c r="B400" s="124">
        <v>4980000</v>
      </c>
      <c r="C400" s="124">
        <v>329860</v>
      </c>
      <c r="D400" s="124">
        <v>301130</v>
      </c>
      <c r="E400" s="124">
        <v>232690</v>
      </c>
      <c r="F400" s="124">
        <v>213940</v>
      </c>
      <c r="G400" s="124">
        <v>195190</v>
      </c>
      <c r="H400" s="125">
        <v>176440</v>
      </c>
      <c r="I400" s="124">
        <v>157690</v>
      </c>
      <c r="J400" s="124">
        <v>138940</v>
      </c>
      <c r="K400" s="124">
        <v>120190</v>
      </c>
      <c r="L400" s="124">
        <v>101440</v>
      </c>
      <c r="M400" s="124">
        <v>84220</v>
      </c>
    </row>
    <row r="401" spans="1:13">
      <c r="A401" s="124">
        <v>4980000</v>
      </c>
      <c r="B401" s="124">
        <v>5000000</v>
      </c>
      <c r="C401" s="124">
        <v>332660</v>
      </c>
      <c r="D401" s="124">
        <v>303920</v>
      </c>
      <c r="E401" s="124">
        <v>235270</v>
      </c>
      <c r="F401" s="124">
        <v>216520</v>
      </c>
      <c r="G401" s="124">
        <v>197770</v>
      </c>
      <c r="H401" s="125">
        <v>179020</v>
      </c>
      <c r="I401" s="124">
        <v>160270</v>
      </c>
      <c r="J401" s="124">
        <v>141520</v>
      </c>
      <c r="K401" s="124">
        <v>122770</v>
      </c>
      <c r="L401" s="124">
        <v>104020</v>
      </c>
      <c r="M401" s="124">
        <v>86020</v>
      </c>
    </row>
    <row r="402" spans="1:13">
      <c r="A402" s="124">
        <v>5000000</v>
      </c>
      <c r="B402" s="124">
        <v>5020000</v>
      </c>
      <c r="C402" s="124">
        <v>335470</v>
      </c>
      <c r="D402" s="124">
        <v>306710</v>
      </c>
      <c r="E402" s="124">
        <v>237850</v>
      </c>
      <c r="F402" s="124">
        <v>219100</v>
      </c>
      <c r="G402" s="124">
        <v>200350</v>
      </c>
      <c r="H402" s="125">
        <v>181600</v>
      </c>
      <c r="I402" s="124">
        <v>162850</v>
      </c>
      <c r="J402" s="124">
        <v>144100</v>
      </c>
      <c r="K402" s="124">
        <v>125350</v>
      </c>
      <c r="L402" s="124">
        <v>106600</v>
      </c>
      <c r="M402" s="124">
        <v>87850</v>
      </c>
    </row>
    <row r="403" spans="1:13">
      <c r="A403" s="124">
        <v>5020000</v>
      </c>
      <c r="B403" s="124">
        <v>5040000</v>
      </c>
      <c r="C403" s="124">
        <v>338270</v>
      </c>
      <c r="D403" s="124">
        <v>309500</v>
      </c>
      <c r="E403" s="124">
        <v>240430</v>
      </c>
      <c r="F403" s="124">
        <v>221680</v>
      </c>
      <c r="G403" s="124">
        <v>202930</v>
      </c>
      <c r="H403" s="125">
        <v>184180</v>
      </c>
      <c r="I403" s="124">
        <v>165430</v>
      </c>
      <c r="J403" s="124">
        <v>146680</v>
      </c>
      <c r="K403" s="124">
        <v>127930</v>
      </c>
      <c r="L403" s="124">
        <v>109180</v>
      </c>
      <c r="M403" s="124">
        <v>90430</v>
      </c>
    </row>
    <row r="404" spans="1:13">
      <c r="A404" s="124">
        <v>5040000</v>
      </c>
      <c r="B404" s="124">
        <v>5060000</v>
      </c>
      <c r="C404" s="124">
        <v>341080</v>
      </c>
      <c r="D404" s="124">
        <v>312290</v>
      </c>
      <c r="E404" s="124">
        <v>243010</v>
      </c>
      <c r="F404" s="124">
        <v>224260</v>
      </c>
      <c r="G404" s="124">
        <v>205510</v>
      </c>
      <c r="H404" s="125">
        <v>186760</v>
      </c>
      <c r="I404" s="124">
        <v>168010</v>
      </c>
      <c r="J404" s="124">
        <v>149260</v>
      </c>
      <c r="K404" s="124">
        <v>130510</v>
      </c>
      <c r="L404" s="124">
        <v>111760</v>
      </c>
      <c r="M404" s="124">
        <v>93010</v>
      </c>
    </row>
    <row r="405" spans="1:13">
      <c r="A405" s="124">
        <v>5060000</v>
      </c>
      <c r="B405" s="124">
        <v>5080000</v>
      </c>
      <c r="C405" s="124">
        <v>343880</v>
      </c>
      <c r="D405" s="124">
        <v>315080</v>
      </c>
      <c r="E405" s="124">
        <v>245590</v>
      </c>
      <c r="F405" s="124">
        <v>226840</v>
      </c>
      <c r="G405" s="124">
        <v>208090</v>
      </c>
      <c r="H405" s="125">
        <v>189340</v>
      </c>
      <c r="I405" s="124">
        <v>170590</v>
      </c>
      <c r="J405" s="124">
        <v>151840</v>
      </c>
      <c r="K405" s="124">
        <v>133090</v>
      </c>
      <c r="L405" s="124">
        <v>114340</v>
      </c>
      <c r="M405" s="124">
        <v>95590</v>
      </c>
    </row>
    <row r="406" spans="1:13">
      <c r="A406" s="124">
        <v>5080000</v>
      </c>
      <c r="B406" s="124">
        <v>5100000</v>
      </c>
      <c r="C406" s="124">
        <v>346690</v>
      </c>
      <c r="D406" s="124">
        <v>317870</v>
      </c>
      <c r="E406" s="124">
        <v>248170</v>
      </c>
      <c r="F406" s="124">
        <v>229420</v>
      </c>
      <c r="G406" s="124">
        <v>210670</v>
      </c>
      <c r="H406" s="125">
        <v>191920</v>
      </c>
      <c r="I406" s="124">
        <v>173170</v>
      </c>
      <c r="J406" s="124">
        <v>154420</v>
      </c>
      <c r="K406" s="124">
        <v>135670</v>
      </c>
      <c r="L406" s="124">
        <v>116920</v>
      </c>
      <c r="M406" s="124">
        <v>98170</v>
      </c>
    </row>
    <row r="407" spans="1:13">
      <c r="A407" s="124">
        <v>5100000</v>
      </c>
      <c r="B407" s="124">
        <v>5120000</v>
      </c>
      <c r="C407" s="124">
        <v>349490</v>
      </c>
      <c r="D407" s="124">
        <v>320660</v>
      </c>
      <c r="E407" s="124">
        <v>250750</v>
      </c>
      <c r="F407" s="124">
        <v>232000</v>
      </c>
      <c r="G407" s="124">
        <v>213250</v>
      </c>
      <c r="H407" s="125">
        <v>194500</v>
      </c>
      <c r="I407" s="124">
        <v>175750</v>
      </c>
      <c r="J407" s="124">
        <v>157000</v>
      </c>
      <c r="K407" s="124">
        <v>138250</v>
      </c>
      <c r="L407" s="124">
        <v>119500</v>
      </c>
      <c r="M407" s="124">
        <v>100750</v>
      </c>
    </row>
    <row r="408" spans="1:13">
      <c r="A408" s="124">
        <v>5120000</v>
      </c>
      <c r="B408" s="124">
        <v>5140000</v>
      </c>
      <c r="C408" s="124">
        <v>352300</v>
      </c>
      <c r="D408" s="124">
        <v>323450</v>
      </c>
      <c r="E408" s="124">
        <v>253330</v>
      </c>
      <c r="F408" s="124">
        <v>234580</v>
      </c>
      <c r="G408" s="124">
        <v>215830</v>
      </c>
      <c r="H408" s="125">
        <v>197080</v>
      </c>
      <c r="I408" s="124">
        <v>178330</v>
      </c>
      <c r="J408" s="124">
        <v>159580</v>
      </c>
      <c r="K408" s="124">
        <v>140830</v>
      </c>
      <c r="L408" s="124">
        <v>122080</v>
      </c>
      <c r="M408" s="124">
        <v>103330</v>
      </c>
    </row>
    <row r="409" spans="1:13">
      <c r="A409" s="124">
        <v>5140000</v>
      </c>
      <c r="B409" s="124">
        <v>5160000</v>
      </c>
      <c r="C409" s="124">
        <v>355100</v>
      </c>
      <c r="D409" s="124">
        <v>326240</v>
      </c>
      <c r="E409" s="124">
        <v>255910</v>
      </c>
      <c r="F409" s="124">
        <v>237160</v>
      </c>
      <c r="G409" s="124">
        <v>218410</v>
      </c>
      <c r="H409" s="125">
        <v>199660</v>
      </c>
      <c r="I409" s="124">
        <v>180910</v>
      </c>
      <c r="J409" s="124">
        <v>162160</v>
      </c>
      <c r="K409" s="124">
        <v>143410</v>
      </c>
      <c r="L409" s="124">
        <v>124660</v>
      </c>
      <c r="M409" s="124">
        <v>105910</v>
      </c>
    </row>
    <row r="410" spans="1:13">
      <c r="A410" s="124">
        <v>5160000</v>
      </c>
      <c r="B410" s="124">
        <v>5180000</v>
      </c>
      <c r="C410" s="124">
        <v>357910</v>
      </c>
      <c r="D410" s="124">
        <v>329030</v>
      </c>
      <c r="E410" s="124">
        <v>258490</v>
      </c>
      <c r="F410" s="124">
        <v>239740</v>
      </c>
      <c r="G410" s="124">
        <v>220990</v>
      </c>
      <c r="H410" s="125">
        <v>202240</v>
      </c>
      <c r="I410" s="124">
        <v>183490</v>
      </c>
      <c r="J410" s="124">
        <v>164740</v>
      </c>
      <c r="K410" s="124">
        <v>145990</v>
      </c>
      <c r="L410" s="124">
        <v>127240</v>
      </c>
      <c r="M410" s="124">
        <v>108490</v>
      </c>
    </row>
    <row r="411" spans="1:13">
      <c r="A411" s="124">
        <v>5180000</v>
      </c>
      <c r="B411" s="124">
        <v>5200000</v>
      </c>
      <c r="C411" s="124">
        <v>360710</v>
      </c>
      <c r="D411" s="124">
        <v>331820</v>
      </c>
      <c r="E411" s="124">
        <v>261070</v>
      </c>
      <c r="F411" s="124">
        <v>242320</v>
      </c>
      <c r="G411" s="124">
        <v>223570</v>
      </c>
      <c r="H411" s="125">
        <v>204820</v>
      </c>
      <c r="I411" s="124">
        <v>186070</v>
      </c>
      <c r="J411" s="124">
        <v>167320</v>
      </c>
      <c r="K411" s="124">
        <v>148570</v>
      </c>
      <c r="L411" s="124">
        <v>129820</v>
      </c>
      <c r="M411" s="124">
        <v>111070</v>
      </c>
    </row>
    <row r="412" spans="1:13">
      <c r="A412" s="124">
        <v>5200000</v>
      </c>
      <c r="B412" s="124">
        <v>5220000</v>
      </c>
      <c r="C412" s="124">
        <v>363520</v>
      </c>
      <c r="D412" s="124">
        <v>334610</v>
      </c>
      <c r="E412" s="124">
        <v>263650</v>
      </c>
      <c r="F412" s="124">
        <v>244900</v>
      </c>
      <c r="G412" s="124">
        <v>226150</v>
      </c>
      <c r="H412" s="125">
        <v>207400</v>
      </c>
      <c r="I412" s="124">
        <v>188650</v>
      </c>
      <c r="J412" s="124">
        <v>169900</v>
      </c>
      <c r="K412" s="124">
        <v>151150</v>
      </c>
      <c r="L412" s="124">
        <v>132400</v>
      </c>
      <c r="M412" s="124">
        <v>113650</v>
      </c>
    </row>
    <row r="413" spans="1:13">
      <c r="A413" s="124">
        <v>5220000</v>
      </c>
      <c r="B413" s="124">
        <v>5240000</v>
      </c>
      <c r="C413" s="124">
        <v>366320</v>
      </c>
      <c r="D413" s="124">
        <v>337400</v>
      </c>
      <c r="E413" s="124">
        <v>266230</v>
      </c>
      <c r="F413" s="124">
        <v>247480</v>
      </c>
      <c r="G413" s="124">
        <v>228730</v>
      </c>
      <c r="H413" s="125">
        <v>209980</v>
      </c>
      <c r="I413" s="124">
        <v>191230</v>
      </c>
      <c r="J413" s="124">
        <v>172480</v>
      </c>
      <c r="K413" s="124">
        <v>153730</v>
      </c>
      <c r="L413" s="124">
        <v>134980</v>
      </c>
      <c r="M413" s="124">
        <v>116230</v>
      </c>
    </row>
    <row r="414" spans="1:13">
      <c r="A414" s="124">
        <v>5240000</v>
      </c>
      <c r="B414" s="124">
        <v>5260000</v>
      </c>
      <c r="C414" s="124">
        <v>369130</v>
      </c>
      <c r="D414" s="124">
        <v>340190</v>
      </c>
      <c r="E414" s="124">
        <v>268810</v>
      </c>
      <c r="F414" s="124">
        <v>250060</v>
      </c>
      <c r="G414" s="124">
        <v>231310</v>
      </c>
      <c r="H414" s="125">
        <v>212560</v>
      </c>
      <c r="I414" s="124">
        <v>193810</v>
      </c>
      <c r="J414" s="124">
        <v>175060</v>
      </c>
      <c r="K414" s="124">
        <v>156310</v>
      </c>
      <c r="L414" s="124">
        <v>137560</v>
      </c>
      <c r="M414" s="124">
        <v>118810</v>
      </c>
    </row>
    <row r="415" spans="1:13">
      <c r="A415" s="124">
        <v>5260000</v>
      </c>
      <c r="B415" s="124">
        <v>5280000</v>
      </c>
      <c r="C415" s="124">
        <v>371930</v>
      </c>
      <c r="D415" s="124">
        <v>342980</v>
      </c>
      <c r="E415" s="124">
        <v>271390</v>
      </c>
      <c r="F415" s="124">
        <v>252640</v>
      </c>
      <c r="G415" s="124">
        <v>233890</v>
      </c>
      <c r="H415" s="125">
        <v>215140</v>
      </c>
      <c r="I415" s="124">
        <v>196390</v>
      </c>
      <c r="J415" s="124">
        <v>177640</v>
      </c>
      <c r="K415" s="124">
        <v>158890</v>
      </c>
      <c r="L415" s="124">
        <v>140140</v>
      </c>
      <c r="M415" s="124">
        <v>121390</v>
      </c>
    </row>
    <row r="416" spans="1:13">
      <c r="A416" s="124">
        <v>5280000</v>
      </c>
      <c r="B416" s="124">
        <v>5300000</v>
      </c>
      <c r="C416" s="124">
        <v>374740</v>
      </c>
      <c r="D416" s="124">
        <v>345770</v>
      </c>
      <c r="E416" s="124">
        <v>273970</v>
      </c>
      <c r="F416" s="124">
        <v>255220</v>
      </c>
      <c r="G416" s="124">
        <v>236470</v>
      </c>
      <c r="H416" s="125">
        <v>217720</v>
      </c>
      <c r="I416" s="124">
        <v>198970</v>
      </c>
      <c r="J416" s="124">
        <v>180220</v>
      </c>
      <c r="K416" s="124">
        <v>161470</v>
      </c>
      <c r="L416" s="124">
        <v>142720</v>
      </c>
      <c r="M416" s="124">
        <v>123970</v>
      </c>
    </row>
    <row r="417" spans="1:13">
      <c r="A417" s="124">
        <v>5300000</v>
      </c>
      <c r="B417" s="124">
        <v>5320000</v>
      </c>
      <c r="C417" s="124">
        <v>377540</v>
      </c>
      <c r="D417" s="124">
        <v>348560</v>
      </c>
      <c r="E417" s="124">
        <v>276550</v>
      </c>
      <c r="F417" s="124">
        <v>257800</v>
      </c>
      <c r="G417" s="124">
        <v>239050</v>
      </c>
      <c r="H417" s="125">
        <v>220300</v>
      </c>
      <c r="I417" s="124">
        <v>201550</v>
      </c>
      <c r="J417" s="124">
        <v>182800</v>
      </c>
      <c r="K417" s="124">
        <v>164050</v>
      </c>
      <c r="L417" s="124">
        <v>145300</v>
      </c>
      <c r="M417" s="124">
        <v>126550</v>
      </c>
    </row>
    <row r="418" spans="1:13">
      <c r="A418" s="124">
        <v>5320000</v>
      </c>
      <c r="B418" s="124">
        <v>5340000</v>
      </c>
      <c r="C418" s="124">
        <v>380350</v>
      </c>
      <c r="D418" s="124">
        <v>351350</v>
      </c>
      <c r="E418" s="124">
        <v>279130</v>
      </c>
      <c r="F418" s="124">
        <v>260380</v>
      </c>
      <c r="G418" s="124">
        <v>241630</v>
      </c>
      <c r="H418" s="125">
        <v>222880</v>
      </c>
      <c r="I418" s="124">
        <v>204130</v>
      </c>
      <c r="J418" s="124">
        <v>185380</v>
      </c>
      <c r="K418" s="124">
        <v>166630</v>
      </c>
      <c r="L418" s="124">
        <v>147880</v>
      </c>
      <c r="M418" s="124">
        <v>129130</v>
      </c>
    </row>
    <row r="419" spans="1:13">
      <c r="A419" s="124">
        <v>5340000</v>
      </c>
      <c r="B419" s="124">
        <v>5360000</v>
      </c>
      <c r="C419" s="124">
        <v>383150</v>
      </c>
      <c r="D419" s="124">
        <v>354140</v>
      </c>
      <c r="E419" s="124">
        <v>281710</v>
      </c>
      <c r="F419" s="124">
        <v>262960</v>
      </c>
      <c r="G419" s="124">
        <v>244210</v>
      </c>
      <c r="H419" s="125">
        <v>225460</v>
      </c>
      <c r="I419" s="124">
        <v>206710</v>
      </c>
      <c r="J419" s="124">
        <v>187960</v>
      </c>
      <c r="K419" s="124">
        <v>169210</v>
      </c>
      <c r="L419" s="124">
        <v>150460</v>
      </c>
      <c r="M419" s="124">
        <v>131710</v>
      </c>
    </row>
    <row r="420" spans="1:13">
      <c r="A420" s="124">
        <v>5360000</v>
      </c>
      <c r="B420" s="124">
        <v>5380000</v>
      </c>
      <c r="C420" s="124">
        <v>385960</v>
      </c>
      <c r="D420" s="124">
        <v>356930</v>
      </c>
      <c r="E420" s="124">
        <v>284290</v>
      </c>
      <c r="F420" s="124">
        <v>265540</v>
      </c>
      <c r="G420" s="124">
        <v>246790</v>
      </c>
      <c r="H420" s="125">
        <v>228040</v>
      </c>
      <c r="I420" s="124">
        <v>209290</v>
      </c>
      <c r="J420" s="124">
        <v>190540</v>
      </c>
      <c r="K420" s="124">
        <v>171790</v>
      </c>
      <c r="L420" s="124">
        <v>153040</v>
      </c>
      <c r="M420" s="124">
        <v>134290</v>
      </c>
    </row>
    <row r="421" spans="1:13">
      <c r="A421" s="124">
        <v>5380000</v>
      </c>
      <c r="B421" s="124">
        <v>5400000</v>
      </c>
      <c r="C421" s="124">
        <v>388760</v>
      </c>
      <c r="D421" s="124">
        <v>359720</v>
      </c>
      <c r="E421" s="124">
        <v>286870</v>
      </c>
      <c r="F421" s="124">
        <v>268120</v>
      </c>
      <c r="G421" s="124">
        <v>249370</v>
      </c>
      <c r="H421" s="125">
        <v>230620</v>
      </c>
      <c r="I421" s="124">
        <v>211870</v>
      </c>
      <c r="J421" s="124">
        <v>193120</v>
      </c>
      <c r="K421" s="124">
        <v>174370</v>
      </c>
      <c r="L421" s="124">
        <v>155620</v>
      </c>
      <c r="M421" s="124">
        <v>136870</v>
      </c>
    </row>
    <row r="422" spans="1:13">
      <c r="A422" s="124">
        <v>5400000</v>
      </c>
      <c r="B422" s="124">
        <v>5420000</v>
      </c>
      <c r="C422" s="124">
        <v>391570</v>
      </c>
      <c r="D422" s="124">
        <v>362510</v>
      </c>
      <c r="E422" s="124">
        <v>289450</v>
      </c>
      <c r="F422" s="124">
        <v>270700</v>
      </c>
      <c r="G422" s="124">
        <v>251950</v>
      </c>
      <c r="H422" s="125">
        <v>233200</v>
      </c>
      <c r="I422" s="124">
        <v>214450</v>
      </c>
      <c r="J422" s="124">
        <v>195700</v>
      </c>
      <c r="K422" s="124">
        <v>176950</v>
      </c>
      <c r="L422" s="124">
        <v>158200</v>
      </c>
      <c r="M422" s="124">
        <v>139450</v>
      </c>
    </row>
    <row r="423" spans="1:13">
      <c r="A423" s="124">
        <v>5420000</v>
      </c>
      <c r="B423" s="124">
        <v>5440000</v>
      </c>
      <c r="C423" s="124">
        <v>394370</v>
      </c>
      <c r="D423" s="124">
        <v>365300</v>
      </c>
      <c r="E423" s="124">
        <v>292030</v>
      </c>
      <c r="F423" s="124">
        <v>273280</v>
      </c>
      <c r="G423" s="124">
        <v>254530</v>
      </c>
      <c r="H423" s="125">
        <v>235780</v>
      </c>
      <c r="I423" s="124">
        <v>217030</v>
      </c>
      <c r="J423" s="124">
        <v>198280</v>
      </c>
      <c r="K423" s="124">
        <v>179530</v>
      </c>
      <c r="L423" s="124">
        <v>160780</v>
      </c>
      <c r="M423" s="124">
        <v>142030</v>
      </c>
    </row>
    <row r="424" spans="1:13">
      <c r="A424" s="124">
        <v>5440000</v>
      </c>
      <c r="B424" s="124">
        <v>5460000</v>
      </c>
      <c r="C424" s="124">
        <v>397180</v>
      </c>
      <c r="D424" s="124">
        <v>368090</v>
      </c>
      <c r="E424" s="124">
        <v>294610</v>
      </c>
      <c r="F424" s="124">
        <v>275860</v>
      </c>
      <c r="G424" s="124">
        <v>257110</v>
      </c>
      <c r="H424" s="125">
        <v>238360</v>
      </c>
      <c r="I424" s="124">
        <v>219610</v>
      </c>
      <c r="J424" s="124">
        <v>200860</v>
      </c>
      <c r="K424" s="124">
        <v>182110</v>
      </c>
      <c r="L424" s="124">
        <v>163360</v>
      </c>
      <c r="M424" s="124">
        <v>144610</v>
      </c>
    </row>
    <row r="425" spans="1:13">
      <c r="A425" s="124">
        <v>5460000</v>
      </c>
      <c r="B425" s="124">
        <v>5480000</v>
      </c>
      <c r="C425" s="124">
        <v>399980</v>
      </c>
      <c r="D425" s="124">
        <v>370880</v>
      </c>
      <c r="E425" s="124">
        <v>297190</v>
      </c>
      <c r="F425" s="124">
        <v>278440</v>
      </c>
      <c r="G425" s="124">
        <v>259690</v>
      </c>
      <c r="H425" s="125">
        <v>240940</v>
      </c>
      <c r="I425" s="124">
        <v>222190</v>
      </c>
      <c r="J425" s="124">
        <v>203440</v>
      </c>
      <c r="K425" s="124">
        <v>184690</v>
      </c>
      <c r="L425" s="124">
        <v>165940</v>
      </c>
      <c r="M425" s="124">
        <v>147190</v>
      </c>
    </row>
    <row r="426" spans="1:13">
      <c r="A426" s="124">
        <v>5480000</v>
      </c>
      <c r="B426" s="124">
        <v>5500000</v>
      </c>
      <c r="C426" s="124">
        <v>402790</v>
      </c>
      <c r="D426" s="124">
        <v>373670</v>
      </c>
      <c r="E426" s="124">
        <v>299770</v>
      </c>
      <c r="F426" s="124">
        <v>281020</v>
      </c>
      <c r="G426" s="124">
        <v>262270</v>
      </c>
      <c r="H426" s="125">
        <v>243520</v>
      </c>
      <c r="I426" s="124">
        <v>224770</v>
      </c>
      <c r="J426" s="124">
        <v>206020</v>
      </c>
      <c r="K426" s="124">
        <v>187270</v>
      </c>
      <c r="L426" s="124">
        <v>168520</v>
      </c>
      <c r="M426" s="124">
        <v>149770</v>
      </c>
    </row>
    <row r="427" spans="1:13">
      <c r="A427" s="124">
        <v>5500000</v>
      </c>
      <c r="B427" s="124">
        <v>5520000</v>
      </c>
      <c r="C427" s="124">
        <v>405590</v>
      </c>
      <c r="D427" s="124">
        <v>376460</v>
      </c>
      <c r="E427" s="124">
        <v>302350</v>
      </c>
      <c r="F427" s="124">
        <v>283600</v>
      </c>
      <c r="G427" s="124">
        <v>264850</v>
      </c>
      <c r="H427" s="125">
        <v>246100</v>
      </c>
      <c r="I427" s="124">
        <v>227350</v>
      </c>
      <c r="J427" s="124">
        <v>208600</v>
      </c>
      <c r="K427" s="124">
        <v>189850</v>
      </c>
      <c r="L427" s="124">
        <v>171100</v>
      </c>
      <c r="M427" s="124">
        <v>152350</v>
      </c>
    </row>
    <row r="428" spans="1:13">
      <c r="A428" s="124">
        <v>5520000</v>
      </c>
      <c r="B428" s="124">
        <v>5540000</v>
      </c>
      <c r="C428" s="124">
        <v>408400</v>
      </c>
      <c r="D428" s="124">
        <v>379250</v>
      </c>
      <c r="E428" s="124">
        <v>304930</v>
      </c>
      <c r="F428" s="124">
        <v>286180</v>
      </c>
      <c r="G428" s="124">
        <v>267430</v>
      </c>
      <c r="H428" s="125">
        <v>248680</v>
      </c>
      <c r="I428" s="124">
        <v>229930</v>
      </c>
      <c r="J428" s="124">
        <v>211180</v>
      </c>
      <c r="K428" s="124">
        <v>192430</v>
      </c>
      <c r="L428" s="124">
        <v>173680</v>
      </c>
      <c r="M428" s="124">
        <v>154930</v>
      </c>
    </row>
    <row r="429" spans="1:13">
      <c r="A429" s="124">
        <v>5540000</v>
      </c>
      <c r="B429" s="124">
        <v>5560000</v>
      </c>
      <c r="C429" s="124">
        <v>411200</v>
      </c>
      <c r="D429" s="124">
        <v>382040</v>
      </c>
      <c r="E429" s="124">
        <v>307510</v>
      </c>
      <c r="F429" s="124">
        <v>288760</v>
      </c>
      <c r="G429" s="124">
        <v>270010</v>
      </c>
      <c r="H429" s="125">
        <v>251260</v>
      </c>
      <c r="I429" s="124">
        <v>232510</v>
      </c>
      <c r="J429" s="124">
        <v>213760</v>
      </c>
      <c r="K429" s="124">
        <v>195010</v>
      </c>
      <c r="L429" s="124">
        <v>176260</v>
      </c>
      <c r="M429" s="124">
        <v>157510</v>
      </c>
    </row>
    <row r="430" spans="1:13">
      <c r="A430" s="124">
        <v>5560000</v>
      </c>
      <c r="B430" s="124">
        <v>5580000</v>
      </c>
      <c r="C430" s="124">
        <v>414010</v>
      </c>
      <c r="D430" s="124">
        <v>384830</v>
      </c>
      <c r="E430" s="124">
        <v>310090</v>
      </c>
      <c r="F430" s="124">
        <v>291340</v>
      </c>
      <c r="G430" s="124">
        <v>272590</v>
      </c>
      <c r="H430" s="125">
        <v>253840</v>
      </c>
      <c r="I430" s="124">
        <v>235090</v>
      </c>
      <c r="J430" s="124">
        <v>216340</v>
      </c>
      <c r="K430" s="124">
        <v>197590</v>
      </c>
      <c r="L430" s="124">
        <v>178840</v>
      </c>
      <c r="M430" s="124">
        <v>160090</v>
      </c>
    </row>
    <row r="431" spans="1:13">
      <c r="A431" s="124">
        <v>5580000</v>
      </c>
      <c r="B431" s="124">
        <v>5600000</v>
      </c>
      <c r="C431" s="124">
        <v>416810</v>
      </c>
      <c r="D431" s="124">
        <v>387620</v>
      </c>
      <c r="E431" s="124">
        <v>312670</v>
      </c>
      <c r="F431" s="124">
        <v>293920</v>
      </c>
      <c r="G431" s="124">
        <v>275170</v>
      </c>
      <c r="H431" s="125">
        <v>256420</v>
      </c>
      <c r="I431" s="124">
        <v>237670</v>
      </c>
      <c r="J431" s="124">
        <v>218920</v>
      </c>
      <c r="K431" s="124">
        <v>200170</v>
      </c>
      <c r="L431" s="124">
        <v>181420</v>
      </c>
      <c r="M431" s="124">
        <v>162670</v>
      </c>
    </row>
    <row r="432" spans="1:13">
      <c r="A432" s="124">
        <v>5600000</v>
      </c>
      <c r="B432" s="124">
        <v>5620000</v>
      </c>
      <c r="C432" s="124">
        <v>419620</v>
      </c>
      <c r="D432" s="124">
        <v>390410</v>
      </c>
      <c r="E432" s="124">
        <v>315250</v>
      </c>
      <c r="F432" s="124">
        <v>296500</v>
      </c>
      <c r="G432" s="124">
        <v>277750</v>
      </c>
      <c r="H432" s="125">
        <v>259000</v>
      </c>
      <c r="I432" s="124">
        <v>240250</v>
      </c>
      <c r="J432" s="124">
        <v>221500</v>
      </c>
      <c r="K432" s="124">
        <v>202750</v>
      </c>
      <c r="L432" s="124">
        <v>184000</v>
      </c>
      <c r="M432" s="124">
        <v>165250</v>
      </c>
    </row>
    <row r="433" spans="1:13">
      <c r="A433" s="124">
        <v>5620000</v>
      </c>
      <c r="B433" s="124">
        <v>5640000</v>
      </c>
      <c r="C433" s="124">
        <v>422420</v>
      </c>
      <c r="D433" s="124">
        <v>393200</v>
      </c>
      <c r="E433" s="124">
        <v>317830</v>
      </c>
      <c r="F433" s="124">
        <v>299080</v>
      </c>
      <c r="G433" s="124">
        <v>280330</v>
      </c>
      <c r="H433" s="125">
        <v>261580</v>
      </c>
      <c r="I433" s="124">
        <v>242830</v>
      </c>
      <c r="J433" s="124">
        <v>224080</v>
      </c>
      <c r="K433" s="124">
        <v>205330</v>
      </c>
      <c r="L433" s="124">
        <v>186580</v>
      </c>
      <c r="M433" s="124">
        <v>167830</v>
      </c>
    </row>
    <row r="434" spans="1:13">
      <c r="A434" s="124">
        <v>5640000</v>
      </c>
      <c r="B434" s="124">
        <v>5660000</v>
      </c>
      <c r="C434" s="124">
        <v>425230</v>
      </c>
      <c r="D434" s="124">
        <v>395990</v>
      </c>
      <c r="E434" s="124">
        <v>320410</v>
      </c>
      <c r="F434" s="124">
        <v>301660</v>
      </c>
      <c r="G434" s="124">
        <v>282910</v>
      </c>
      <c r="H434" s="125">
        <v>264160</v>
      </c>
      <c r="I434" s="124">
        <v>245410</v>
      </c>
      <c r="J434" s="124">
        <v>226660</v>
      </c>
      <c r="K434" s="124">
        <v>207910</v>
      </c>
      <c r="L434" s="124">
        <v>189160</v>
      </c>
      <c r="M434" s="124">
        <v>170410</v>
      </c>
    </row>
    <row r="435" spans="1:13">
      <c r="A435" s="124">
        <v>5660000</v>
      </c>
      <c r="B435" s="124">
        <v>5680000</v>
      </c>
      <c r="C435" s="124">
        <v>428030</v>
      </c>
      <c r="D435" s="124">
        <v>398780</v>
      </c>
      <c r="E435" s="124">
        <v>322990</v>
      </c>
      <c r="F435" s="124">
        <v>304240</v>
      </c>
      <c r="G435" s="124">
        <v>285490</v>
      </c>
      <c r="H435" s="125">
        <v>266740</v>
      </c>
      <c r="I435" s="124">
        <v>247990</v>
      </c>
      <c r="J435" s="124">
        <v>229240</v>
      </c>
      <c r="K435" s="124">
        <v>210490</v>
      </c>
      <c r="L435" s="124">
        <v>191740</v>
      </c>
      <c r="M435" s="124">
        <v>172990</v>
      </c>
    </row>
    <row r="436" spans="1:13">
      <c r="A436" s="124">
        <v>5680000</v>
      </c>
      <c r="B436" s="124">
        <v>5700000</v>
      </c>
      <c r="C436" s="124">
        <v>430840</v>
      </c>
      <c r="D436" s="124">
        <v>401570</v>
      </c>
      <c r="E436" s="124">
        <v>325570</v>
      </c>
      <c r="F436" s="124">
        <v>306820</v>
      </c>
      <c r="G436" s="124">
        <v>288070</v>
      </c>
      <c r="H436" s="125">
        <v>269320</v>
      </c>
      <c r="I436" s="124">
        <v>250570</v>
      </c>
      <c r="J436" s="124">
        <v>231820</v>
      </c>
      <c r="K436" s="124">
        <v>213070</v>
      </c>
      <c r="L436" s="124">
        <v>194320</v>
      </c>
      <c r="M436" s="124">
        <v>175570</v>
      </c>
    </row>
    <row r="437" spans="1:13">
      <c r="A437" s="124">
        <v>5700000</v>
      </c>
      <c r="B437" s="124">
        <v>5720000</v>
      </c>
      <c r="C437" s="124">
        <v>433640</v>
      </c>
      <c r="D437" s="124">
        <v>404360</v>
      </c>
      <c r="E437" s="124">
        <v>328150</v>
      </c>
      <c r="F437" s="124">
        <v>309400</v>
      </c>
      <c r="G437" s="124">
        <v>290650</v>
      </c>
      <c r="H437" s="125">
        <v>271900</v>
      </c>
      <c r="I437" s="124">
        <v>253150</v>
      </c>
      <c r="J437" s="124">
        <v>234400</v>
      </c>
      <c r="K437" s="124">
        <v>215650</v>
      </c>
      <c r="L437" s="124">
        <v>196900</v>
      </c>
      <c r="M437" s="124">
        <v>178150</v>
      </c>
    </row>
    <row r="438" spans="1:13">
      <c r="A438" s="124">
        <v>5720000</v>
      </c>
      <c r="B438" s="124">
        <v>5740000</v>
      </c>
      <c r="C438" s="124">
        <v>436450</v>
      </c>
      <c r="D438" s="124">
        <v>407150</v>
      </c>
      <c r="E438" s="124">
        <v>330730</v>
      </c>
      <c r="F438" s="124">
        <v>311980</v>
      </c>
      <c r="G438" s="124">
        <v>293230</v>
      </c>
      <c r="H438" s="125">
        <v>274480</v>
      </c>
      <c r="I438" s="124">
        <v>255730</v>
      </c>
      <c r="J438" s="124">
        <v>236980</v>
      </c>
      <c r="K438" s="124">
        <v>218230</v>
      </c>
      <c r="L438" s="124">
        <v>199480</v>
      </c>
      <c r="M438" s="124">
        <v>180730</v>
      </c>
    </row>
    <row r="439" spans="1:13">
      <c r="A439" s="124">
        <v>5740000</v>
      </c>
      <c r="B439" s="124">
        <v>5760000</v>
      </c>
      <c r="C439" s="124">
        <v>439250</v>
      </c>
      <c r="D439" s="124">
        <v>409940</v>
      </c>
      <c r="E439" s="124">
        <v>333310</v>
      </c>
      <c r="F439" s="124">
        <v>314560</v>
      </c>
      <c r="G439" s="124">
        <v>295810</v>
      </c>
      <c r="H439" s="125">
        <v>277060</v>
      </c>
      <c r="I439" s="124">
        <v>258310</v>
      </c>
      <c r="J439" s="124">
        <v>239560</v>
      </c>
      <c r="K439" s="124">
        <v>220810</v>
      </c>
      <c r="L439" s="124">
        <v>202060</v>
      </c>
      <c r="M439" s="124">
        <v>183310</v>
      </c>
    </row>
    <row r="440" spans="1:13">
      <c r="A440" s="124">
        <v>5760000</v>
      </c>
      <c r="B440" s="124">
        <v>5780000</v>
      </c>
      <c r="C440" s="124">
        <v>442060</v>
      </c>
      <c r="D440" s="124">
        <v>412730</v>
      </c>
      <c r="E440" s="124">
        <v>335890</v>
      </c>
      <c r="F440" s="124">
        <v>317140</v>
      </c>
      <c r="G440" s="124">
        <v>298390</v>
      </c>
      <c r="H440" s="125">
        <v>279640</v>
      </c>
      <c r="I440" s="124">
        <v>260890</v>
      </c>
      <c r="J440" s="124">
        <v>242140</v>
      </c>
      <c r="K440" s="124">
        <v>223390</v>
      </c>
      <c r="L440" s="124">
        <v>204640</v>
      </c>
      <c r="M440" s="124">
        <v>185890</v>
      </c>
    </row>
    <row r="441" spans="1:13">
      <c r="A441" s="124">
        <v>5780000</v>
      </c>
      <c r="B441" s="124">
        <v>5800000</v>
      </c>
      <c r="C441" s="124">
        <v>444860</v>
      </c>
      <c r="D441" s="124">
        <v>415520</v>
      </c>
      <c r="E441" s="124">
        <v>338470</v>
      </c>
      <c r="F441" s="124">
        <v>319720</v>
      </c>
      <c r="G441" s="124">
        <v>300970</v>
      </c>
      <c r="H441" s="125">
        <v>282220</v>
      </c>
      <c r="I441" s="124">
        <v>263470</v>
      </c>
      <c r="J441" s="124">
        <v>244720</v>
      </c>
      <c r="K441" s="124">
        <v>225970</v>
      </c>
      <c r="L441" s="124">
        <v>207220</v>
      </c>
      <c r="M441" s="124">
        <v>188470</v>
      </c>
    </row>
    <row r="442" spans="1:13">
      <c r="A442" s="124">
        <v>5800000</v>
      </c>
      <c r="B442" s="124">
        <v>5820000</v>
      </c>
      <c r="C442" s="124">
        <v>447670</v>
      </c>
      <c r="D442" s="124">
        <v>418310</v>
      </c>
      <c r="E442" s="124">
        <v>341050</v>
      </c>
      <c r="F442" s="124">
        <v>322300</v>
      </c>
      <c r="G442" s="124">
        <v>303550</v>
      </c>
      <c r="H442" s="125">
        <v>284800</v>
      </c>
      <c r="I442" s="124">
        <v>266050</v>
      </c>
      <c r="J442" s="124">
        <v>247300</v>
      </c>
      <c r="K442" s="124">
        <v>228550</v>
      </c>
      <c r="L442" s="124">
        <v>209800</v>
      </c>
      <c r="M442" s="124">
        <v>191050</v>
      </c>
    </row>
    <row r="443" spans="1:13">
      <c r="A443" s="124">
        <v>5820000</v>
      </c>
      <c r="B443" s="124">
        <v>5840000</v>
      </c>
      <c r="C443" s="124">
        <v>450470</v>
      </c>
      <c r="D443" s="124">
        <v>421100</v>
      </c>
      <c r="E443" s="124">
        <v>343630</v>
      </c>
      <c r="F443" s="124">
        <v>324880</v>
      </c>
      <c r="G443" s="124">
        <v>306130</v>
      </c>
      <c r="H443" s="125">
        <v>287380</v>
      </c>
      <c r="I443" s="124">
        <v>268630</v>
      </c>
      <c r="J443" s="124">
        <v>249880</v>
      </c>
      <c r="K443" s="124">
        <v>231130</v>
      </c>
      <c r="L443" s="124">
        <v>212380</v>
      </c>
      <c r="M443" s="124">
        <v>193630</v>
      </c>
    </row>
    <row r="444" spans="1:13">
      <c r="A444" s="124">
        <v>5840000</v>
      </c>
      <c r="B444" s="124">
        <v>5860000</v>
      </c>
      <c r="C444" s="124">
        <v>470380</v>
      </c>
      <c r="D444" s="124">
        <v>441000</v>
      </c>
      <c r="E444" s="124">
        <v>372100</v>
      </c>
      <c r="F444" s="124">
        <v>353350</v>
      </c>
      <c r="G444" s="124">
        <v>334600</v>
      </c>
      <c r="H444" s="125">
        <v>315850</v>
      </c>
      <c r="I444" s="124">
        <v>297100</v>
      </c>
      <c r="J444" s="124">
        <v>278350</v>
      </c>
      <c r="K444" s="124">
        <v>259600</v>
      </c>
      <c r="L444" s="124">
        <v>240850</v>
      </c>
      <c r="M444" s="124">
        <v>222100</v>
      </c>
    </row>
    <row r="445" spans="1:13">
      <c r="A445" s="124">
        <v>5860000</v>
      </c>
      <c r="B445" s="124">
        <v>5880000</v>
      </c>
      <c r="C445" s="124">
        <v>475720</v>
      </c>
      <c r="D445" s="124">
        <v>446320</v>
      </c>
      <c r="E445" s="124">
        <v>377240</v>
      </c>
      <c r="F445" s="124">
        <v>358490</v>
      </c>
      <c r="G445" s="124">
        <v>339740</v>
      </c>
      <c r="H445" s="125">
        <v>320990</v>
      </c>
      <c r="I445" s="124">
        <v>302240</v>
      </c>
      <c r="J445" s="124">
        <v>283490</v>
      </c>
      <c r="K445" s="124">
        <v>264740</v>
      </c>
      <c r="L445" s="124">
        <v>245990</v>
      </c>
      <c r="M445" s="124">
        <v>227240</v>
      </c>
    </row>
    <row r="446" spans="1:13">
      <c r="A446" s="124">
        <v>5880000</v>
      </c>
      <c r="B446" s="124">
        <v>5900000</v>
      </c>
      <c r="C446" s="124">
        <v>478690</v>
      </c>
      <c r="D446" s="124">
        <v>449140</v>
      </c>
      <c r="E446" s="124">
        <v>379880</v>
      </c>
      <c r="F446" s="124">
        <v>361130</v>
      </c>
      <c r="G446" s="124">
        <v>342380</v>
      </c>
      <c r="H446" s="125">
        <v>323630</v>
      </c>
      <c r="I446" s="124">
        <v>304880</v>
      </c>
      <c r="J446" s="124">
        <v>286130</v>
      </c>
      <c r="K446" s="124">
        <v>267380</v>
      </c>
      <c r="L446" s="124">
        <v>248630</v>
      </c>
      <c r="M446" s="124">
        <v>229880</v>
      </c>
    </row>
    <row r="447" spans="1:13">
      <c r="A447" s="124">
        <v>5900000</v>
      </c>
      <c r="B447" s="124">
        <v>5920000</v>
      </c>
      <c r="C447" s="124">
        <v>483220</v>
      </c>
      <c r="D447" s="124">
        <v>451960</v>
      </c>
      <c r="E447" s="124">
        <v>382520</v>
      </c>
      <c r="F447" s="124">
        <v>363770</v>
      </c>
      <c r="G447" s="124">
        <v>345020</v>
      </c>
      <c r="H447" s="125">
        <v>326270</v>
      </c>
      <c r="I447" s="124">
        <v>307520</v>
      </c>
      <c r="J447" s="124">
        <v>288770</v>
      </c>
      <c r="K447" s="124">
        <v>270020</v>
      </c>
      <c r="L447" s="124">
        <v>251270</v>
      </c>
      <c r="M447" s="124">
        <v>232520</v>
      </c>
    </row>
    <row r="448" spans="1:13">
      <c r="A448" s="124">
        <v>5920000</v>
      </c>
      <c r="B448" s="124">
        <v>5940000</v>
      </c>
      <c r="C448" s="124">
        <v>487760</v>
      </c>
      <c r="D448" s="124">
        <v>454780</v>
      </c>
      <c r="E448" s="124">
        <v>385160</v>
      </c>
      <c r="F448" s="124">
        <v>366410</v>
      </c>
      <c r="G448" s="124">
        <v>347660</v>
      </c>
      <c r="H448" s="125">
        <v>328910</v>
      </c>
      <c r="I448" s="124">
        <v>310160</v>
      </c>
      <c r="J448" s="124">
        <v>291410</v>
      </c>
      <c r="K448" s="124">
        <v>272660</v>
      </c>
      <c r="L448" s="124">
        <v>253910</v>
      </c>
      <c r="M448" s="124">
        <v>235160</v>
      </c>
    </row>
    <row r="449" spans="1:13">
      <c r="A449" s="124">
        <v>5940000</v>
      </c>
      <c r="B449" s="124">
        <v>5960000</v>
      </c>
      <c r="C449" s="124">
        <v>492300</v>
      </c>
      <c r="D449" s="124">
        <v>457600</v>
      </c>
      <c r="E449" s="124">
        <v>387800</v>
      </c>
      <c r="F449" s="124">
        <v>369050</v>
      </c>
      <c r="G449" s="124">
        <v>350300</v>
      </c>
      <c r="H449" s="125">
        <v>331550</v>
      </c>
      <c r="I449" s="124">
        <v>312800</v>
      </c>
      <c r="J449" s="124">
        <v>294050</v>
      </c>
      <c r="K449" s="124">
        <v>275300</v>
      </c>
      <c r="L449" s="124">
        <v>256550</v>
      </c>
      <c r="M449" s="124">
        <v>237800</v>
      </c>
    </row>
    <row r="450" spans="1:13">
      <c r="A450" s="124">
        <v>5960000</v>
      </c>
      <c r="B450" s="124">
        <v>5980000</v>
      </c>
      <c r="C450" s="124">
        <v>496830</v>
      </c>
      <c r="D450" s="124">
        <v>460420</v>
      </c>
      <c r="E450" s="124">
        <v>390440</v>
      </c>
      <c r="F450" s="124">
        <v>371690</v>
      </c>
      <c r="G450" s="124">
        <v>352940</v>
      </c>
      <c r="H450" s="125">
        <v>334190</v>
      </c>
      <c r="I450" s="124">
        <v>315440</v>
      </c>
      <c r="J450" s="124">
        <v>296690</v>
      </c>
      <c r="K450" s="124">
        <v>277940</v>
      </c>
      <c r="L450" s="124">
        <v>259190</v>
      </c>
      <c r="M450" s="124">
        <v>240440</v>
      </c>
    </row>
    <row r="451" spans="1:13">
      <c r="A451" s="124">
        <v>5980000</v>
      </c>
      <c r="B451" s="124">
        <v>6000000</v>
      </c>
      <c r="C451" s="124">
        <v>501370</v>
      </c>
      <c r="D451" s="124">
        <v>463240</v>
      </c>
      <c r="E451" s="124">
        <v>393080</v>
      </c>
      <c r="F451" s="124">
        <v>374330</v>
      </c>
      <c r="G451" s="124">
        <v>355580</v>
      </c>
      <c r="H451" s="125">
        <v>336830</v>
      </c>
      <c r="I451" s="124">
        <v>318080</v>
      </c>
      <c r="J451" s="124">
        <v>299330</v>
      </c>
      <c r="K451" s="124">
        <v>280580</v>
      </c>
      <c r="L451" s="124">
        <v>261830</v>
      </c>
      <c r="M451" s="124">
        <v>243080</v>
      </c>
    </row>
    <row r="452" spans="1:13">
      <c r="A452" s="124">
        <v>6000000</v>
      </c>
      <c r="B452" s="124">
        <v>6020000</v>
      </c>
      <c r="C452" s="124">
        <v>505900</v>
      </c>
      <c r="D452" s="124">
        <v>466060</v>
      </c>
      <c r="E452" s="124">
        <v>395720</v>
      </c>
      <c r="F452" s="124">
        <v>376970</v>
      </c>
      <c r="G452" s="124">
        <v>358220</v>
      </c>
      <c r="H452" s="125">
        <v>339470</v>
      </c>
      <c r="I452" s="124">
        <v>320720</v>
      </c>
      <c r="J452" s="124">
        <v>301970</v>
      </c>
      <c r="K452" s="124">
        <v>283220</v>
      </c>
      <c r="L452" s="124">
        <v>264470</v>
      </c>
      <c r="M452" s="124">
        <v>245720</v>
      </c>
    </row>
    <row r="453" spans="1:13">
      <c r="A453" s="124">
        <v>6020000</v>
      </c>
      <c r="B453" s="124">
        <v>6040000</v>
      </c>
      <c r="C453" s="124">
        <v>510440</v>
      </c>
      <c r="D453" s="124">
        <v>468880</v>
      </c>
      <c r="E453" s="124">
        <v>398360</v>
      </c>
      <c r="F453" s="124">
        <v>379610</v>
      </c>
      <c r="G453" s="124">
        <v>360860</v>
      </c>
      <c r="H453" s="125">
        <v>342110</v>
      </c>
      <c r="I453" s="124">
        <v>323360</v>
      </c>
      <c r="J453" s="124">
        <v>304610</v>
      </c>
      <c r="K453" s="124">
        <v>285860</v>
      </c>
      <c r="L453" s="124">
        <v>267110</v>
      </c>
      <c r="M453" s="124">
        <v>248360</v>
      </c>
    </row>
    <row r="454" spans="1:13">
      <c r="A454" s="124">
        <v>6040000</v>
      </c>
      <c r="B454" s="124">
        <v>6060000</v>
      </c>
      <c r="C454" s="124">
        <v>514980</v>
      </c>
      <c r="D454" s="124">
        <v>471700</v>
      </c>
      <c r="E454" s="124">
        <v>401000</v>
      </c>
      <c r="F454" s="124">
        <v>382250</v>
      </c>
      <c r="G454" s="124">
        <v>363500</v>
      </c>
      <c r="H454" s="125">
        <v>344750</v>
      </c>
      <c r="I454" s="124">
        <v>326000</v>
      </c>
      <c r="J454" s="124">
        <v>307250</v>
      </c>
      <c r="K454" s="124">
        <v>288500</v>
      </c>
      <c r="L454" s="124">
        <v>269750</v>
      </c>
      <c r="M454" s="124">
        <v>251000</v>
      </c>
    </row>
    <row r="455" spans="1:13">
      <c r="A455" s="124">
        <v>6060000</v>
      </c>
      <c r="B455" s="124">
        <v>6080000</v>
      </c>
      <c r="C455" s="124">
        <v>519510</v>
      </c>
      <c r="D455" s="124">
        <v>474520</v>
      </c>
      <c r="E455" s="124">
        <v>403640</v>
      </c>
      <c r="F455" s="124">
        <v>384890</v>
      </c>
      <c r="G455" s="124">
        <v>366140</v>
      </c>
      <c r="H455" s="125">
        <v>347390</v>
      </c>
      <c r="I455" s="124">
        <v>328640</v>
      </c>
      <c r="J455" s="124">
        <v>309890</v>
      </c>
      <c r="K455" s="124">
        <v>291140</v>
      </c>
      <c r="L455" s="124">
        <v>272390</v>
      </c>
      <c r="M455" s="124">
        <v>253640</v>
      </c>
    </row>
    <row r="456" spans="1:13">
      <c r="A456" s="124">
        <v>6080000</v>
      </c>
      <c r="B456" s="124">
        <v>6100000</v>
      </c>
      <c r="C456" s="124">
        <v>524050</v>
      </c>
      <c r="D456" s="124">
        <v>477340</v>
      </c>
      <c r="E456" s="124">
        <v>406280</v>
      </c>
      <c r="F456" s="124">
        <v>387530</v>
      </c>
      <c r="G456" s="124">
        <v>368780</v>
      </c>
      <c r="H456" s="125">
        <v>350030</v>
      </c>
      <c r="I456" s="124">
        <v>331280</v>
      </c>
      <c r="J456" s="124">
        <v>312530</v>
      </c>
      <c r="K456" s="124">
        <v>293780</v>
      </c>
      <c r="L456" s="124">
        <v>275030</v>
      </c>
      <c r="M456" s="124">
        <v>256280</v>
      </c>
    </row>
    <row r="457" spans="1:13">
      <c r="A457" s="124">
        <v>6100000</v>
      </c>
      <c r="B457" s="124">
        <v>6120000</v>
      </c>
      <c r="C457" s="124">
        <v>528580</v>
      </c>
      <c r="D457" s="124">
        <v>481250</v>
      </c>
      <c r="E457" s="124">
        <v>408920</v>
      </c>
      <c r="F457" s="124">
        <v>390170</v>
      </c>
      <c r="G457" s="124">
        <v>371420</v>
      </c>
      <c r="H457" s="125">
        <v>352670</v>
      </c>
      <c r="I457" s="124">
        <v>333920</v>
      </c>
      <c r="J457" s="124">
        <v>315170</v>
      </c>
      <c r="K457" s="124">
        <v>296420</v>
      </c>
      <c r="L457" s="124">
        <v>277670</v>
      </c>
      <c r="M457" s="124">
        <v>258920</v>
      </c>
    </row>
    <row r="458" spans="1:13">
      <c r="A458" s="124">
        <v>6120000</v>
      </c>
      <c r="B458" s="124">
        <v>6140000</v>
      </c>
      <c r="C458" s="124">
        <v>533120</v>
      </c>
      <c r="D458" s="124">
        <v>485760</v>
      </c>
      <c r="E458" s="124">
        <v>411560</v>
      </c>
      <c r="F458" s="124">
        <v>392810</v>
      </c>
      <c r="G458" s="124">
        <v>374060</v>
      </c>
      <c r="H458" s="125">
        <v>355310</v>
      </c>
      <c r="I458" s="124">
        <v>336560</v>
      </c>
      <c r="J458" s="124">
        <v>317810</v>
      </c>
      <c r="K458" s="124">
        <v>299060</v>
      </c>
      <c r="L458" s="124">
        <v>280310</v>
      </c>
      <c r="M458" s="124">
        <v>261560</v>
      </c>
    </row>
    <row r="459" spans="1:13">
      <c r="A459" s="124">
        <v>6140000</v>
      </c>
      <c r="B459" s="124">
        <v>6160000</v>
      </c>
      <c r="C459" s="124">
        <v>537660</v>
      </c>
      <c r="D459" s="124">
        <v>490280</v>
      </c>
      <c r="E459" s="124">
        <v>414200</v>
      </c>
      <c r="F459" s="124">
        <v>395450</v>
      </c>
      <c r="G459" s="124">
        <v>376700</v>
      </c>
      <c r="H459" s="125">
        <v>357950</v>
      </c>
      <c r="I459" s="124">
        <v>339200</v>
      </c>
      <c r="J459" s="124">
        <v>320450</v>
      </c>
      <c r="K459" s="124">
        <v>301700</v>
      </c>
      <c r="L459" s="124">
        <v>282950</v>
      </c>
      <c r="M459" s="124">
        <v>264200</v>
      </c>
    </row>
    <row r="460" spans="1:13">
      <c r="A460" s="124">
        <v>6160000</v>
      </c>
      <c r="B460" s="124">
        <v>6180000</v>
      </c>
      <c r="C460" s="124">
        <v>542190</v>
      </c>
      <c r="D460" s="124">
        <v>494790</v>
      </c>
      <c r="E460" s="124">
        <v>416840</v>
      </c>
      <c r="F460" s="124">
        <v>398090</v>
      </c>
      <c r="G460" s="124">
        <v>379340</v>
      </c>
      <c r="H460" s="125">
        <v>360590</v>
      </c>
      <c r="I460" s="124">
        <v>341840</v>
      </c>
      <c r="J460" s="124">
        <v>323090</v>
      </c>
      <c r="K460" s="124">
        <v>304340</v>
      </c>
      <c r="L460" s="124">
        <v>285590</v>
      </c>
      <c r="M460" s="124">
        <v>266840</v>
      </c>
    </row>
    <row r="461" spans="1:13">
      <c r="A461" s="124">
        <v>6180000</v>
      </c>
      <c r="B461" s="124">
        <v>6200000</v>
      </c>
      <c r="C461" s="124">
        <v>546730</v>
      </c>
      <c r="D461" s="124">
        <v>499300</v>
      </c>
      <c r="E461" s="124">
        <v>419480</v>
      </c>
      <c r="F461" s="124">
        <v>400730</v>
      </c>
      <c r="G461" s="124">
        <v>381980</v>
      </c>
      <c r="H461" s="125">
        <v>363230</v>
      </c>
      <c r="I461" s="124">
        <v>344480</v>
      </c>
      <c r="J461" s="124">
        <v>325730</v>
      </c>
      <c r="K461" s="124">
        <v>306980</v>
      </c>
      <c r="L461" s="124">
        <v>288230</v>
      </c>
      <c r="M461" s="124">
        <v>269480</v>
      </c>
    </row>
    <row r="462" spans="1:13">
      <c r="A462" s="124">
        <v>6200000</v>
      </c>
      <c r="B462" s="124">
        <v>6220000</v>
      </c>
      <c r="C462" s="124">
        <v>551260</v>
      </c>
      <c r="D462" s="124">
        <v>503810</v>
      </c>
      <c r="E462" s="124">
        <v>422120</v>
      </c>
      <c r="F462" s="124">
        <v>403370</v>
      </c>
      <c r="G462" s="124">
        <v>384620</v>
      </c>
      <c r="H462" s="125">
        <v>365870</v>
      </c>
      <c r="I462" s="124">
        <v>347120</v>
      </c>
      <c r="J462" s="124">
        <v>328370</v>
      </c>
      <c r="K462" s="124">
        <v>309620</v>
      </c>
      <c r="L462" s="124">
        <v>290870</v>
      </c>
      <c r="M462" s="124">
        <v>272120</v>
      </c>
    </row>
    <row r="463" spans="1:13">
      <c r="A463" s="124">
        <v>6220000</v>
      </c>
      <c r="B463" s="124">
        <v>6240000</v>
      </c>
      <c r="C463" s="124">
        <v>555800</v>
      </c>
      <c r="D463" s="124">
        <v>508320</v>
      </c>
      <c r="E463" s="124">
        <v>424760</v>
      </c>
      <c r="F463" s="124">
        <v>406010</v>
      </c>
      <c r="G463" s="124">
        <v>387260</v>
      </c>
      <c r="H463" s="125">
        <v>368510</v>
      </c>
      <c r="I463" s="124">
        <v>349760</v>
      </c>
      <c r="J463" s="124">
        <v>331010</v>
      </c>
      <c r="K463" s="124">
        <v>312260</v>
      </c>
      <c r="L463" s="124">
        <v>293510</v>
      </c>
      <c r="M463" s="124">
        <v>274760</v>
      </c>
    </row>
    <row r="464" spans="1:13">
      <c r="A464" s="124">
        <v>6240000</v>
      </c>
      <c r="B464" s="124">
        <v>6260000</v>
      </c>
      <c r="C464" s="124">
        <v>560340</v>
      </c>
      <c r="D464" s="124">
        <v>512840</v>
      </c>
      <c r="E464" s="124">
        <v>427400</v>
      </c>
      <c r="F464" s="124">
        <v>408650</v>
      </c>
      <c r="G464" s="124">
        <v>389900</v>
      </c>
      <c r="H464" s="125">
        <v>371150</v>
      </c>
      <c r="I464" s="124">
        <v>352400</v>
      </c>
      <c r="J464" s="124">
        <v>333650</v>
      </c>
      <c r="K464" s="124">
        <v>314900</v>
      </c>
      <c r="L464" s="124">
        <v>296150</v>
      </c>
      <c r="M464" s="124">
        <v>277400</v>
      </c>
    </row>
    <row r="465" spans="1:13">
      <c r="A465" s="124">
        <v>6260000</v>
      </c>
      <c r="B465" s="124">
        <v>6280000</v>
      </c>
      <c r="C465" s="124">
        <v>564870</v>
      </c>
      <c r="D465" s="124">
        <v>517350</v>
      </c>
      <c r="E465" s="124">
        <v>430040</v>
      </c>
      <c r="F465" s="124">
        <v>411290</v>
      </c>
      <c r="G465" s="124">
        <v>392540</v>
      </c>
      <c r="H465" s="125">
        <v>373790</v>
      </c>
      <c r="I465" s="124">
        <v>355040</v>
      </c>
      <c r="J465" s="124">
        <v>336290</v>
      </c>
      <c r="K465" s="124">
        <v>317540</v>
      </c>
      <c r="L465" s="124">
        <v>298790</v>
      </c>
      <c r="M465" s="124">
        <v>280040</v>
      </c>
    </row>
    <row r="466" spans="1:13">
      <c r="A466" s="124">
        <v>6280000</v>
      </c>
      <c r="B466" s="124">
        <v>6300000</v>
      </c>
      <c r="C466" s="124">
        <v>569410</v>
      </c>
      <c r="D466" s="124">
        <v>521860</v>
      </c>
      <c r="E466" s="124">
        <v>432680</v>
      </c>
      <c r="F466" s="124">
        <v>413930</v>
      </c>
      <c r="G466" s="124">
        <v>395180</v>
      </c>
      <c r="H466" s="125">
        <v>376430</v>
      </c>
      <c r="I466" s="124">
        <v>357680</v>
      </c>
      <c r="J466" s="124">
        <v>338930</v>
      </c>
      <c r="K466" s="124">
        <v>320180</v>
      </c>
      <c r="L466" s="124">
        <v>301430</v>
      </c>
      <c r="M466" s="124">
        <v>282680</v>
      </c>
    </row>
    <row r="467" spans="1:13">
      <c r="A467" s="124">
        <v>6300000</v>
      </c>
      <c r="B467" s="124">
        <v>6320000</v>
      </c>
      <c r="C467" s="124">
        <v>573940</v>
      </c>
      <c r="D467" s="124">
        <v>526370</v>
      </c>
      <c r="E467" s="124">
        <v>435320</v>
      </c>
      <c r="F467" s="124">
        <v>416570</v>
      </c>
      <c r="G467" s="124">
        <v>397820</v>
      </c>
      <c r="H467" s="125">
        <v>379070</v>
      </c>
      <c r="I467" s="124">
        <v>360320</v>
      </c>
      <c r="J467" s="124">
        <v>341570</v>
      </c>
      <c r="K467" s="124">
        <v>322820</v>
      </c>
      <c r="L467" s="124">
        <v>304070</v>
      </c>
      <c r="M467" s="124">
        <v>285320</v>
      </c>
    </row>
    <row r="468" spans="1:13">
      <c r="A468" s="124">
        <v>6320000</v>
      </c>
      <c r="B468" s="124">
        <v>6340000</v>
      </c>
      <c r="C468" s="124">
        <v>578480</v>
      </c>
      <c r="D468" s="124">
        <v>530880</v>
      </c>
      <c r="E468" s="124">
        <v>437960</v>
      </c>
      <c r="F468" s="124">
        <v>419210</v>
      </c>
      <c r="G468" s="124">
        <v>400460</v>
      </c>
      <c r="H468" s="125">
        <v>381710</v>
      </c>
      <c r="I468" s="124">
        <v>362960</v>
      </c>
      <c r="J468" s="124">
        <v>344210</v>
      </c>
      <c r="K468" s="124">
        <v>325460</v>
      </c>
      <c r="L468" s="124">
        <v>306710</v>
      </c>
      <c r="M468" s="124">
        <v>287960</v>
      </c>
    </row>
    <row r="469" spans="1:13">
      <c r="A469" s="124">
        <v>6340000</v>
      </c>
      <c r="B469" s="124">
        <v>6360000</v>
      </c>
      <c r="C469" s="124">
        <v>583020</v>
      </c>
      <c r="D469" s="124">
        <v>535400</v>
      </c>
      <c r="E469" s="124">
        <v>440600</v>
      </c>
      <c r="F469" s="124">
        <v>421850</v>
      </c>
      <c r="G469" s="124">
        <v>403100</v>
      </c>
      <c r="H469" s="125">
        <v>384350</v>
      </c>
      <c r="I469" s="124">
        <v>365600</v>
      </c>
      <c r="J469" s="124">
        <v>346850</v>
      </c>
      <c r="K469" s="124">
        <v>328100</v>
      </c>
      <c r="L469" s="124">
        <v>309350</v>
      </c>
      <c r="M469" s="124">
        <v>290600</v>
      </c>
    </row>
    <row r="470" spans="1:13">
      <c r="A470" s="124">
        <v>6360000</v>
      </c>
      <c r="B470" s="124">
        <v>6380000</v>
      </c>
      <c r="C470" s="124">
        <v>587550</v>
      </c>
      <c r="D470" s="124">
        <v>539910</v>
      </c>
      <c r="E470" s="124">
        <v>443240</v>
      </c>
      <c r="F470" s="124">
        <v>424490</v>
      </c>
      <c r="G470" s="124">
        <v>405740</v>
      </c>
      <c r="H470" s="125">
        <v>386990</v>
      </c>
      <c r="I470" s="124">
        <v>368240</v>
      </c>
      <c r="J470" s="124">
        <v>349490</v>
      </c>
      <c r="K470" s="124">
        <v>330740</v>
      </c>
      <c r="L470" s="124">
        <v>311990</v>
      </c>
      <c r="M470" s="124">
        <v>293240</v>
      </c>
    </row>
    <row r="471" spans="1:13">
      <c r="A471" s="124">
        <v>6380000</v>
      </c>
      <c r="B471" s="124">
        <v>6400000</v>
      </c>
      <c r="C471" s="124">
        <v>592090</v>
      </c>
      <c r="D471" s="124">
        <v>544420</v>
      </c>
      <c r="E471" s="124">
        <v>445880</v>
      </c>
      <c r="F471" s="124">
        <v>427130</v>
      </c>
      <c r="G471" s="124">
        <v>408380</v>
      </c>
      <c r="H471" s="125">
        <v>389630</v>
      </c>
      <c r="I471" s="124">
        <v>370880</v>
      </c>
      <c r="J471" s="124">
        <v>352130</v>
      </c>
      <c r="K471" s="124">
        <v>333380</v>
      </c>
      <c r="L471" s="124">
        <v>314630</v>
      </c>
      <c r="M471" s="124">
        <v>295880</v>
      </c>
    </row>
    <row r="472" spans="1:13">
      <c r="A472" s="124">
        <v>6400000</v>
      </c>
      <c r="B472" s="124">
        <v>6420000</v>
      </c>
      <c r="C472" s="124">
        <v>596620</v>
      </c>
      <c r="D472" s="124">
        <v>548930</v>
      </c>
      <c r="E472" s="124">
        <v>448520</v>
      </c>
      <c r="F472" s="124">
        <v>429770</v>
      </c>
      <c r="G472" s="124">
        <v>411020</v>
      </c>
      <c r="H472" s="125">
        <v>392270</v>
      </c>
      <c r="I472" s="124">
        <v>373520</v>
      </c>
      <c r="J472" s="124">
        <v>354770</v>
      </c>
      <c r="K472" s="124">
        <v>336020</v>
      </c>
      <c r="L472" s="124">
        <v>317270</v>
      </c>
      <c r="M472" s="124">
        <v>298520</v>
      </c>
    </row>
    <row r="473" spans="1:13">
      <c r="A473" s="124">
        <v>6420000</v>
      </c>
      <c r="B473" s="124">
        <v>6440000</v>
      </c>
      <c r="C473" s="124">
        <v>601160</v>
      </c>
      <c r="D473" s="124">
        <v>553440</v>
      </c>
      <c r="E473" s="124">
        <v>451160</v>
      </c>
      <c r="F473" s="124">
        <v>432410</v>
      </c>
      <c r="G473" s="124">
        <v>413660</v>
      </c>
      <c r="H473" s="125">
        <v>394910</v>
      </c>
      <c r="I473" s="124">
        <v>376160</v>
      </c>
      <c r="J473" s="124">
        <v>357410</v>
      </c>
      <c r="K473" s="124">
        <v>338660</v>
      </c>
      <c r="L473" s="124">
        <v>319910</v>
      </c>
      <c r="M473" s="124">
        <v>301160</v>
      </c>
    </row>
    <row r="474" spans="1:13">
      <c r="A474" s="124">
        <v>6440000</v>
      </c>
      <c r="B474" s="124">
        <v>6460000</v>
      </c>
      <c r="C474" s="124">
        <v>605700</v>
      </c>
      <c r="D474" s="124">
        <v>557960</v>
      </c>
      <c r="E474" s="124">
        <v>453800</v>
      </c>
      <c r="F474" s="124">
        <v>435050</v>
      </c>
      <c r="G474" s="124">
        <v>416300</v>
      </c>
      <c r="H474" s="125">
        <v>397550</v>
      </c>
      <c r="I474" s="124">
        <v>378800</v>
      </c>
      <c r="J474" s="124">
        <v>360050</v>
      </c>
      <c r="K474" s="124">
        <v>341300</v>
      </c>
      <c r="L474" s="124">
        <v>322550</v>
      </c>
      <c r="M474" s="124">
        <v>303800</v>
      </c>
    </row>
    <row r="475" spans="1:13">
      <c r="A475" s="124">
        <v>6460000</v>
      </c>
      <c r="B475" s="124">
        <v>6480000</v>
      </c>
      <c r="C475" s="124">
        <v>610230</v>
      </c>
      <c r="D475" s="124">
        <v>562470</v>
      </c>
      <c r="E475" s="124">
        <v>456440</v>
      </c>
      <c r="F475" s="124">
        <v>437690</v>
      </c>
      <c r="G475" s="124">
        <v>418940</v>
      </c>
      <c r="H475" s="125">
        <v>400190</v>
      </c>
      <c r="I475" s="124">
        <v>381440</v>
      </c>
      <c r="J475" s="124">
        <v>362690</v>
      </c>
      <c r="K475" s="124">
        <v>343940</v>
      </c>
      <c r="L475" s="124">
        <v>325190</v>
      </c>
      <c r="M475" s="124">
        <v>306440</v>
      </c>
    </row>
    <row r="476" spans="1:13">
      <c r="A476" s="124">
        <v>6480000</v>
      </c>
      <c r="B476" s="124">
        <v>6500000</v>
      </c>
      <c r="C476" s="124">
        <v>614770</v>
      </c>
      <c r="D476" s="124">
        <v>566980</v>
      </c>
      <c r="E476" s="124">
        <v>459080</v>
      </c>
      <c r="F476" s="124">
        <v>440330</v>
      </c>
      <c r="G476" s="124">
        <v>421580</v>
      </c>
      <c r="H476" s="125">
        <v>402830</v>
      </c>
      <c r="I476" s="124">
        <v>384080</v>
      </c>
      <c r="J476" s="124">
        <v>365330</v>
      </c>
      <c r="K476" s="124">
        <v>346580</v>
      </c>
      <c r="L476" s="124">
        <v>327830</v>
      </c>
      <c r="M476" s="124">
        <v>309080</v>
      </c>
    </row>
    <row r="477" spans="1:13">
      <c r="A477" s="124">
        <v>6500000</v>
      </c>
      <c r="B477" s="124">
        <v>6520000</v>
      </c>
      <c r="C477" s="124">
        <v>619300</v>
      </c>
      <c r="D477" s="124">
        <v>571490</v>
      </c>
      <c r="E477" s="124">
        <v>461720</v>
      </c>
      <c r="F477" s="124">
        <v>442970</v>
      </c>
      <c r="G477" s="124">
        <v>424220</v>
      </c>
      <c r="H477" s="125">
        <v>405470</v>
      </c>
      <c r="I477" s="124">
        <v>386720</v>
      </c>
      <c r="J477" s="124">
        <v>367970</v>
      </c>
      <c r="K477" s="124">
        <v>349220</v>
      </c>
      <c r="L477" s="124">
        <v>330470</v>
      </c>
      <c r="M477" s="124">
        <v>311720</v>
      </c>
    </row>
    <row r="478" spans="1:13">
      <c r="A478" s="124">
        <v>6520000</v>
      </c>
      <c r="B478" s="124">
        <v>6540000</v>
      </c>
      <c r="C478" s="124">
        <v>623840</v>
      </c>
      <c r="D478" s="124">
        <v>576000</v>
      </c>
      <c r="E478" s="124">
        <v>464360</v>
      </c>
      <c r="F478" s="124">
        <v>445610</v>
      </c>
      <c r="G478" s="124">
        <v>426860</v>
      </c>
      <c r="H478" s="125">
        <v>408110</v>
      </c>
      <c r="I478" s="124">
        <v>389360</v>
      </c>
      <c r="J478" s="124">
        <v>370610</v>
      </c>
      <c r="K478" s="124">
        <v>351860</v>
      </c>
      <c r="L478" s="124">
        <v>333110</v>
      </c>
      <c r="M478" s="124">
        <v>314360</v>
      </c>
    </row>
    <row r="479" spans="1:13">
      <c r="A479" s="124">
        <v>6540000</v>
      </c>
      <c r="B479" s="124">
        <v>6560000</v>
      </c>
      <c r="C479" s="124">
        <v>628380</v>
      </c>
      <c r="D479" s="124">
        <v>580520</v>
      </c>
      <c r="E479" s="124">
        <v>467000</v>
      </c>
      <c r="F479" s="124">
        <v>448250</v>
      </c>
      <c r="G479" s="124">
        <v>429500</v>
      </c>
      <c r="H479" s="125">
        <v>410750</v>
      </c>
      <c r="I479" s="124">
        <v>392000</v>
      </c>
      <c r="J479" s="124">
        <v>373250</v>
      </c>
      <c r="K479" s="124">
        <v>354500</v>
      </c>
      <c r="L479" s="124">
        <v>335750</v>
      </c>
      <c r="M479" s="124">
        <v>317000</v>
      </c>
    </row>
    <row r="480" spans="1:13">
      <c r="A480" s="124">
        <v>6560000</v>
      </c>
      <c r="B480" s="124">
        <v>6580000</v>
      </c>
      <c r="C480" s="124">
        <v>632910</v>
      </c>
      <c r="D480" s="124">
        <v>585030</v>
      </c>
      <c r="E480" s="124">
        <v>469640</v>
      </c>
      <c r="F480" s="124">
        <v>450890</v>
      </c>
      <c r="G480" s="124">
        <v>432140</v>
      </c>
      <c r="H480" s="125">
        <v>413390</v>
      </c>
      <c r="I480" s="124">
        <v>394640</v>
      </c>
      <c r="J480" s="124">
        <v>375890</v>
      </c>
      <c r="K480" s="124">
        <v>357140</v>
      </c>
      <c r="L480" s="124">
        <v>338390</v>
      </c>
      <c r="M480" s="124">
        <v>319640</v>
      </c>
    </row>
    <row r="481" spans="1:13">
      <c r="A481" s="124">
        <v>6580000</v>
      </c>
      <c r="B481" s="124">
        <v>6600000</v>
      </c>
      <c r="C481" s="124">
        <v>637450</v>
      </c>
      <c r="D481" s="124">
        <v>589540</v>
      </c>
      <c r="E481" s="124">
        <v>472280</v>
      </c>
      <c r="F481" s="124">
        <v>453530</v>
      </c>
      <c r="G481" s="124">
        <v>434780</v>
      </c>
      <c r="H481" s="125">
        <v>416030</v>
      </c>
      <c r="I481" s="124">
        <v>397280</v>
      </c>
      <c r="J481" s="124">
        <v>378530</v>
      </c>
      <c r="K481" s="124">
        <v>359780</v>
      </c>
      <c r="L481" s="124">
        <v>341030</v>
      </c>
      <c r="M481" s="124">
        <v>322280</v>
      </c>
    </row>
    <row r="482" spans="1:13">
      <c r="A482" s="124">
        <v>6600000</v>
      </c>
      <c r="B482" s="124">
        <v>6620000</v>
      </c>
      <c r="C482" s="124">
        <v>641980</v>
      </c>
      <c r="D482" s="124">
        <v>594050</v>
      </c>
      <c r="E482" s="124">
        <v>474920</v>
      </c>
      <c r="F482" s="124">
        <v>456170</v>
      </c>
      <c r="G482" s="124">
        <v>437420</v>
      </c>
      <c r="H482" s="125">
        <v>418670</v>
      </c>
      <c r="I482" s="124">
        <v>399920</v>
      </c>
      <c r="J482" s="124">
        <v>381170</v>
      </c>
      <c r="K482" s="124">
        <v>362420</v>
      </c>
      <c r="L482" s="124">
        <v>343670</v>
      </c>
      <c r="M482" s="124">
        <v>324920</v>
      </c>
    </row>
    <row r="483" spans="1:13">
      <c r="A483" s="124">
        <v>6620000</v>
      </c>
      <c r="B483" s="124">
        <v>6640000</v>
      </c>
      <c r="C483" s="124">
        <v>646520</v>
      </c>
      <c r="D483" s="124">
        <v>598560</v>
      </c>
      <c r="E483" s="124">
        <v>477560</v>
      </c>
      <c r="F483" s="124">
        <v>458810</v>
      </c>
      <c r="G483" s="124">
        <v>440060</v>
      </c>
      <c r="H483" s="125">
        <v>421310</v>
      </c>
      <c r="I483" s="124">
        <v>402560</v>
      </c>
      <c r="J483" s="124">
        <v>383810</v>
      </c>
      <c r="K483" s="124">
        <v>365060</v>
      </c>
      <c r="L483" s="124">
        <v>346310</v>
      </c>
      <c r="M483" s="124">
        <v>327560</v>
      </c>
    </row>
    <row r="484" spans="1:13">
      <c r="A484" s="124">
        <v>6640000</v>
      </c>
      <c r="B484" s="124">
        <v>6660000</v>
      </c>
      <c r="C484" s="124">
        <v>651060</v>
      </c>
      <c r="D484" s="124">
        <v>603080</v>
      </c>
      <c r="E484" s="124">
        <v>481320</v>
      </c>
      <c r="F484" s="124">
        <v>461450</v>
      </c>
      <c r="G484" s="124">
        <v>442700</v>
      </c>
      <c r="H484" s="125">
        <v>423950</v>
      </c>
      <c r="I484" s="124">
        <v>405200</v>
      </c>
      <c r="J484" s="124">
        <v>386450</v>
      </c>
      <c r="K484" s="124">
        <v>367700</v>
      </c>
      <c r="L484" s="124">
        <v>348950</v>
      </c>
      <c r="M484" s="124">
        <v>330200</v>
      </c>
    </row>
    <row r="485" spans="1:13">
      <c r="A485" s="124">
        <v>6660000</v>
      </c>
      <c r="B485" s="124">
        <v>6680000</v>
      </c>
      <c r="C485" s="124">
        <v>655590</v>
      </c>
      <c r="D485" s="124">
        <v>607590</v>
      </c>
      <c r="E485" s="124">
        <v>485540</v>
      </c>
      <c r="F485" s="124">
        <v>464090</v>
      </c>
      <c r="G485" s="124">
        <v>445340</v>
      </c>
      <c r="H485" s="125">
        <v>426590</v>
      </c>
      <c r="I485" s="124">
        <v>407840</v>
      </c>
      <c r="J485" s="124">
        <v>389090</v>
      </c>
      <c r="K485" s="124">
        <v>370340</v>
      </c>
      <c r="L485" s="124">
        <v>351590</v>
      </c>
      <c r="M485" s="124">
        <v>332840</v>
      </c>
    </row>
    <row r="486" spans="1:13">
      <c r="A486" s="124">
        <v>6680000</v>
      </c>
      <c r="B486" s="124">
        <v>6700000</v>
      </c>
      <c r="C486" s="124">
        <v>660130</v>
      </c>
      <c r="D486" s="124">
        <v>612100</v>
      </c>
      <c r="E486" s="124">
        <v>489760</v>
      </c>
      <c r="F486" s="124">
        <v>466730</v>
      </c>
      <c r="G486" s="124">
        <v>447980</v>
      </c>
      <c r="H486" s="125">
        <v>429230</v>
      </c>
      <c r="I486" s="124">
        <v>410480</v>
      </c>
      <c r="J486" s="124">
        <v>391730</v>
      </c>
      <c r="K486" s="124">
        <v>372980</v>
      </c>
      <c r="L486" s="124">
        <v>354230</v>
      </c>
      <c r="M486" s="124">
        <v>335480</v>
      </c>
    </row>
    <row r="487" spans="1:13">
      <c r="A487" s="124">
        <v>6700000</v>
      </c>
      <c r="B487" s="124">
        <v>6720000</v>
      </c>
      <c r="C487" s="124">
        <v>664660</v>
      </c>
      <c r="D487" s="124">
        <v>616610</v>
      </c>
      <c r="E487" s="124">
        <v>493990</v>
      </c>
      <c r="F487" s="124">
        <v>469370</v>
      </c>
      <c r="G487" s="124">
        <v>450620</v>
      </c>
      <c r="H487" s="125">
        <v>431870</v>
      </c>
      <c r="I487" s="124">
        <v>413120</v>
      </c>
      <c r="J487" s="124">
        <v>394370</v>
      </c>
      <c r="K487" s="124">
        <v>375620</v>
      </c>
      <c r="L487" s="124">
        <v>356870</v>
      </c>
      <c r="M487" s="124">
        <v>338120</v>
      </c>
    </row>
    <row r="488" spans="1:13">
      <c r="A488" s="124">
        <v>6720000</v>
      </c>
      <c r="B488" s="124">
        <v>6740000</v>
      </c>
      <c r="C488" s="124">
        <v>669200</v>
      </c>
      <c r="D488" s="124">
        <v>621120</v>
      </c>
      <c r="E488" s="124">
        <v>498210</v>
      </c>
      <c r="F488" s="124">
        <v>472010</v>
      </c>
      <c r="G488" s="124">
        <v>453260</v>
      </c>
      <c r="H488" s="125">
        <v>434510</v>
      </c>
      <c r="I488" s="124">
        <v>415760</v>
      </c>
      <c r="J488" s="124">
        <v>397010</v>
      </c>
      <c r="K488" s="124">
        <v>378260</v>
      </c>
      <c r="L488" s="124">
        <v>359510</v>
      </c>
      <c r="M488" s="124">
        <v>340760</v>
      </c>
    </row>
    <row r="489" spans="1:13">
      <c r="A489" s="124">
        <v>6740000</v>
      </c>
      <c r="B489" s="124">
        <v>6760000</v>
      </c>
      <c r="C489" s="124">
        <v>673740</v>
      </c>
      <c r="D489" s="124">
        <v>625640</v>
      </c>
      <c r="E489" s="124">
        <v>502440</v>
      </c>
      <c r="F489" s="124">
        <v>474650</v>
      </c>
      <c r="G489" s="124">
        <v>455900</v>
      </c>
      <c r="H489" s="125">
        <v>437150</v>
      </c>
      <c r="I489" s="124">
        <v>418400</v>
      </c>
      <c r="J489" s="124">
        <v>399650</v>
      </c>
      <c r="K489" s="124">
        <v>380900</v>
      </c>
      <c r="L489" s="124">
        <v>362150</v>
      </c>
      <c r="M489" s="124">
        <v>343400</v>
      </c>
    </row>
    <row r="490" spans="1:13">
      <c r="A490" s="124">
        <v>6760000</v>
      </c>
      <c r="B490" s="124">
        <v>6780000</v>
      </c>
      <c r="C490" s="124">
        <v>678270</v>
      </c>
      <c r="D490" s="124">
        <v>630150</v>
      </c>
      <c r="E490" s="124">
        <v>506660</v>
      </c>
      <c r="F490" s="124">
        <v>477290</v>
      </c>
      <c r="G490" s="124">
        <v>458540</v>
      </c>
      <c r="H490" s="125">
        <v>439790</v>
      </c>
      <c r="I490" s="124">
        <v>421040</v>
      </c>
      <c r="J490" s="124">
        <v>402290</v>
      </c>
      <c r="K490" s="124">
        <v>383540</v>
      </c>
      <c r="L490" s="124">
        <v>364790</v>
      </c>
      <c r="M490" s="124">
        <v>346040</v>
      </c>
    </row>
    <row r="491" spans="1:13">
      <c r="A491" s="124">
        <v>6780000</v>
      </c>
      <c r="B491" s="124">
        <v>6800000</v>
      </c>
      <c r="C491" s="124">
        <v>682810</v>
      </c>
      <c r="D491" s="124">
        <v>634660</v>
      </c>
      <c r="E491" s="124">
        <v>510880</v>
      </c>
      <c r="F491" s="124">
        <v>480880</v>
      </c>
      <c r="G491" s="124">
        <v>461180</v>
      </c>
      <c r="H491" s="125">
        <v>442430</v>
      </c>
      <c r="I491" s="124">
        <v>423680</v>
      </c>
      <c r="J491" s="124">
        <v>404930</v>
      </c>
      <c r="K491" s="124">
        <v>386180</v>
      </c>
      <c r="L491" s="124">
        <v>367430</v>
      </c>
      <c r="M491" s="124">
        <v>348680</v>
      </c>
    </row>
    <row r="492" spans="1:13">
      <c r="A492" s="124">
        <v>6800000</v>
      </c>
      <c r="B492" s="124">
        <v>6820000</v>
      </c>
      <c r="C492" s="124">
        <v>687340</v>
      </c>
      <c r="D492" s="124">
        <v>639170</v>
      </c>
      <c r="E492" s="124">
        <v>515110</v>
      </c>
      <c r="F492" s="124">
        <v>485110</v>
      </c>
      <c r="G492" s="124">
        <v>463820</v>
      </c>
      <c r="H492" s="125">
        <v>445070</v>
      </c>
      <c r="I492" s="124">
        <v>426320</v>
      </c>
      <c r="J492" s="124">
        <v>407570</v>
      </c>
      <c r="K492" s="124">
        <v>388820</v>
      </c>
      <c r="L492" s="124">
        <v>370070</v>
      </c>
      <c r="M492" s="124">
        <v>351320</v>
      </c>
    </row>
    <row r="493" spans="1:13">
      <c r="A493" s="124">
        <v>6820000</v>
      </c>
      <c r="B493" s="124">
        <v>6840000</v>
      </c>
      <c r="C493" s="124">
        <v>691880</v>
      </c>
      <c r="D493" s="124">
        <v>643680</v>
      </c>
      <c r="E493" s="124">
        <v>519330</v>
      </c>
      <c r="F493" s="124">
        <v>489330</v>
      </c>
      <c r="G493" s="124">
        <v>466460</v>
      </c>
      <c r="H493" s="125">
        <v>447710</v>
      </c>
      <c r="I493" s="124">
        <v>428960</v>
      </c>
      <c r="J493" s="124">
        <v>410210</v>
      </c>
      <c r="K493" s="124">
        <v>391460</v>
      </c>
      <c r="L493" s="124">
        <v>372710</v>
      </c>
      <c r="M493" s="124">
        <v>353960</v>
      </c>
    </row>
    <row r="494" spans="1:13">
      <c r="A494" s="124">
        <v>6840000</v>
      </c>
      <c r="B494" s="124">
        <v>6860000</v>
      </c>
      <c r="C494" s="124">
        <v>696420</v>
      </c>
      <c r="D494" s="124">
        <v>648200</v>
      </c>
      <c r="E494" s="124">
        <v>523560</v>
      </c>
      <c r="F494" s="124">
        <v>493560</v>
      </c>
      <c r="G494" s="124">
        <v>469100</v>
      </c>
      <c r="H494" s="125">
        <v>450350</v>
      </c>
      <c r="I494" s="124">
        <v>431600</v>
      </c>
      <c r="J494" s="124">
        <v>412850</v>
      </c>
      <c r="K494" s="124">
        <v>394100</v>
      </c>
      <c r="L494" s="124">
        <v>375350</v>
      </c>
      <c r="M494" s="124">
        <v>356600</v>
      </c>
    </row>
    <row r="495" spans="1:13">
      <c r="A495" s="124">
        <v>6860000</v>
      </c>
      <c r="B495" s="124">
        <v>6880000</v>
      </c>
      <c r="C495" s="124">
        <v>700950</v>
      </c>
      <c r="D495" s="124">
        <v>652710</v>
      </c>
      <c r="E495" s="124">
        <v>527780</v>
      </c>
      <c r="F495" s="124">
        <v>497780</v>
      </c>
      <c r="G495" s="124">
        <v>471740</v>
      </c>
      <c r="H495" s="125">
        <v>452990</v>
      </c>
      <c r="I495" s="124">
        <v>434240</v>
      </c>
      <c r="J495" s="124">
        <v>415490</v>
      </c>
      <c r="K495" s="124">
        <v>396740</v>
      </c>
      <c r="L495" s="124">
        <v>377990</v>
      </c>
      <c r="M495" s="124">
        <v>359240</v>
      </c>
    </row>
    <row r="496" spans="1:13">
      <c r="A496" s="124">
        <v>6880000</v>
      </c>
      <c r="B496" s="124">
        <v>6900000</v>
      </c>
      <c r="C496" s="124">
        <v>705490</v>
      </c>
      <c r="D496" s="124">
        <v>657220</v>
      </c>
      <c r="E496" s="124">
        <v>532000</v>
      </c>
      <c r="F496" s="124">
        <v>502000</v>
      </c>
      <c r="G496" s="124">
        <v>474380</v>
      </c>
      <c r="H496" s="125">
        <v>455630</v>
      </c>
      <c r="I496" s="124">
        <v>436880</v>
      </c>
      <c r="J496" s="124">
        <v>418130</v>
      </c>
      <c r="K496" s="124">
        <v>399380</v>
      </c>
      <c r="L496" s="124">
        <v>380630</v>
      </c>
      <c r="M496" s="124">
        <v>361880</v>
      </c>
    </row>
    <row r="497" spans="1:13">
      <c r="A497" s="124">
        <v>6900000</v>
      </c>
      <c r="B497" s="124">
        <v>6920000</v>
      </c>
      <c r="C497" s="124">
        <v>710020</v>
      </c>
      <c r="D497" s="124">
        <v>661730</v>
      </c>
      <c r="E497" s="124">
        <v>536230</v>
      </c>
      <c r="F497" s="124">
        <v>506230</v>
      </c>
      <c r="G497" s="124">
        <v>477020</v>
      </c>
      <c r="H497" s="125">
        <v>458270</v>
      </c>
      <c r="I497" s="124">
        <v>439520</v>
      </c>
      <c r="J497" s="124">
        <v>420770</v>
      </c>
      <c r="K497" s="124">
        <v>402020</v>
      </c>
      <c r="L497" s="124">
        <v>383270</v>
      </c>
      <c r="M497" s="124">
        <v>364520</v>
      </c>
    </row>
    <row r="498" spans="1:13">
      <c r="A498" s="124">
        <v>6920000</v>
      </c>
      <c r="B498" s="124">
        <v>6940000</v>
      </c>
      <c r="C498" s="124">
        <v>714560</v>
      </c>
      <c r="D498" s="124">
        <v>666240</v>
      </c>
      <c r="E498" s="124">
        <v>540450</v>
      </c>
      <c r="F498" s="124">
        <v>510450</v>
      </c>
      <c r="G498" s="124">
        <v>480450</v>
      </c>
      <c r="H498" s="125">
        <v>460910</v>
      </c>
      <c r="I498" s="124">
        <v>442160</v>
      </c>
      <c r="J498" s="124">
        <v>423410</v>
      </c>
      <c r="K498" s="124">
        <v>404660</v>
      </c>
      <c r="L498" s="124">
        <v>385910</v>
      </c>
      <c r="M498" s="124">
        <v>367160</v>
      </c>
    </row>
    <row r="499" spans="1:13">
      <c r="A499" s="124">
        <v>6940000</v>
      </c>
      <c r="B499" s="124">
        <v>6960000</v>
      </c>
      <c r="C499" s="124">
        <v>719100</v>
      </c>
      <c r="D499" s="124">
        <v>670760</v>
      </c>
      <c r="E499" s="124">
        <v>544680</v>
      </c>
      <c r="F499" s="124">
        <v>514680</v>
      </c>
      <c r="G499" s="124">
        <v>484680</v>
      </c>
      <c r="H499" s="125">
        <v>463550</v>
      </c>
      <c r="I499" s="124">
        <v>444800</v>
      </c>
      <c r="J499" s="124">
        <v>426050</v>
      </c>
      <c r="K499" s="124">
        <v>407300</v>
      </c>
      <c r="L499" s="124">
        <v>388550</v>
      </c>
      <c r="M499" s="124">
        <v>369800</v>
      </c>
    </row>
    <row r="500" spans="1:13">
      <c r="A500" s="124">
        <v>6960000</v>
      </c>
      <c r="B500" s="124">
        <v>6980000</v>
      </c>
      <c r="C500" s="124">
        <v>723630</v>
      </c>
      <c r="D500" s="124">
        <v>675270</v>
      </c>
      <c r="E500" s="124">
        <v>548900</v>
      </c>
      <c r="F500" s="124">
        <v>518900</v>
      </c>
      <c r="G500" s="124">
        <v>488900</v>
      </c>
      <c r="H500" s="125">
        <v>466190</v>
      </c>
      <c r="I500" s="124">
        <v>447440</v>
      </c>
      <c r="J500" s="124">
        <v>428690</v>
      </c>
      <c r="K500" s="124">
        <v>409940</v>
      </c>
      <c r="L500" s="124">
        <v>391190</v>
      </c>
      <c r="M500" s="124">
        <v>372440</v>
      </c>
    </row>
    <row r="501" spans="1:13">
      <c r="A501" s="124">
        <v>6980000</v>
      </c>
      <c r="B501" s="124">
        <v>7000000</v>
      </c>
      <c r="C501" s="124">
        <v>728170</v>
      </c>
      <c r="D501" s="124">
        <v>679780</v>
      </c>
      <c r="E501" s="124">
        <v>553120</v>
      </c>
      <c r="F501" s="124">
        <v>523120</v>
      </c>
      <c r="G501" s="124">
        <v>493120</v>
      </c>
      <c r="H501" s="125">
        <v>468830</v>
      </c>
      <c r="I501" s="124">
        <v>450080</v>
      </c>
      <c r="J501" s="124">
        <v>431330</v>
      </c>
      <c r="K501" s="124">
        <v>412580</v>
      </c>
      <c r="L501" s="124">
        <v>393830</v>
      </c>
      <c r="M501" s="124">
        <v>375080</v>
      </c>
    </row>
    <row r="502" spans="1:13">
      <c r="A502" s="124">
        <v>7000000</v>
      </c>
      <c r="B502" s="124">
        <v>7020000</v>
      </c>
      <c r="C502" s="124">
        <v>732700</v>
      </c>
      <c r="D502" s="124">
        <v>684290</v>
      </c>
      <c r="E502" s="124">
        <v>557350</v>
      </c>
      <c r="F502" s="124">
        <v>527350</v>
      </c>
      <c r="G502" s="124">
        <v>497350</v>
      </c>
      <c r="H502" s="125">
        <v>471470</v>
      </c>
      <c r="I502" s="124">
        <v>452720</v>
      </c>
      <c r="J502" s="124">
        <v>433970</v>
      </c>
      <c r="K502" s="124">
        <v>415220</v>
      </c>
      <c r="L502" s="124">
        <v>396470</v>
      </c>
      <c r="M502" s="124">
        <v>377720</v>
      </c>
    </row>
    <row r="503" spans="1:13">
      <c r="A503" s="124">
        <v>7020000</v>
      </c>
      <c r="B503" s="124">
        <v>7040000</v>
      </c>
      <c r="C503" s="124">
        <v>737240</v>
      </c>
      <c r="D503" s="124">
        <v>688800</v>
      </c>
      <c r="E503" s="124">
        <v>561570</v>
      </c>
      <c r="F503" s="124">
        <v>531570</v>
      </c>
      <c r="G503" s="124">
        <v>501570</v>
      </c>
      <c r="H503" s="125">
        <v>474110</v>
      </c>
      <c r="I503" s="124">
        <v>455360</v>
      </c>
      <c r="J503" s="124">
        <v>436610</v>
      </c>
      <c r="K503" s="124">
        <v>417860</v>
      </c>
      <c r="L503" s="124">
        <v>399110</v>
      </c>
      <c r="M503" s="124">
        <v>380360</v>
      </c>
    </row>
    <row r="504" spans="1:13">
      <c r="A504" s="124">
        <v>7040000</v>
      </c>
      <c r="B504" s="124">
        <v>7060000</v>
      </c>
      <c r="C504" s="124">
        <v>741780</v>
      </c>
      <c r="D504" s="124">
        <v>693320</v>
      </c>
      <c r="E504" s="124">
        <v>565800</v>
      </c>
      <c r="F504" s="124">
        <v>535800</v>
      </c>
      <c r="G504" s="124">
        <v>505800</v>
      </c>
      <c r="H504" s="125">
        <v>476750</v>
      </c>
      <c r="I504" s="124">
        <v>458000</v>
      </c>
      <c r="J504" s="124">
        <v>439250</v>
      </c>
      <c r="K504" s="124">
        <v>420500</v>
      </c>
      <c r="L504" s="124">
        <v>401750</v>
      </c>
      <c r="M504" s="124">
        <v>383000</v>
      </c>
    </row>
    <row r="505" spans="1:13">
      <c r="A505" s="124">
        <v>7060000</v>
      </c>
      <c r="B505" s="124">
        <v>7080000</v>
      </c>
      <c r="C505" s="124">
        <v>746310</v>
      </c>
      <c r="D505" s="124">
        <v>697830</v>
      </c>
      <c r="E505" s="124">
        <v>570020</v>
      </c>
      <c r="F505" s="124">
        <v>540020</v>
      </c>
      <c r="G505" s="124">
        <v>510020</v>
      </c>
      <c r="H505" s="125">
        <v>480020</v>
      </c>
      <c r="I505" s="124">
        <v>460640</v>
      </c>
      <c r="J505" s="124">
        <v>441890</v>
      </c>
      <c r="K505" s="124">
        <v>423140</v>
      </c>
      <c r="L505" s="124">
        <v>404390</v>
      </c>
      <c r="M505" s="124">
        <v>385640</v>
      </c>
    </row>
    <row r="506" spans="1:13">
      <c r="A506" s="124">
        <v>7080000</v>
      </c>
      <c r="B506" s="124">
        <v>7100000</v>
      </c>
      <c r="C506" s="124">
        <v>750850</v>
      </c>
      <c r="D506" s="124">
        <v>702340</v>
      </c>
      <c r="E506" s="124">
        <v>574240</v>
      </c>
      <c r="F506" s="124">
        <v>544240</v>
      </c>
      <c r="G506" s="124">
        <v>514240</v>
      </c>
      <c r="H506" s="125">
        <v>484240</v>
      </c>
      <c r="I506" s="124">
        <v>463280</v>
      </c>
      <c r="J506" s="124">
        <v>444530</v>
      </c>
      <c r="K506" s="124">
        <v>425780</v>
      </c>
      <c r="L506" s="124">
        <v>407030</v>
      </c>
      <c r="M506" s="124">
        <v>388280</v>
      </c>
    </row>
    <row r="507" spans="1:13">
      <c r="A507" s="124">
        <v>7100000</v>
      </c>
      <c r="B507" s="124">
        <v>7120000</v>
      </c>
      <c r="C507" s="124">
        <v>755380</v>
      </c>
      <c r="D507" s="124">
        <v>706850</v>
      </c>
      <c r="E507" s="124">
        <v>578470</v>
      </c>
      <c r="F507" s="124">
        <v>548470</v>
      </c>
      <c r="G507" s="124">
        <v>518470</v>
      </c>
      <c r="H507" s="125">
        <v>488470</v>
      </c>
      <c r="I507" s="124">
        <v>465920</v>
      </c>
      <c r="J507" s="124">
        <v>447170</v>
      </c>
      <c r="K507" s="124">
        <v>428420</v>
      </c>
      <c r="L507" s="124">
        <v>409670</v>
      </c>
      <c r="M507" s="124">
        <v>390920</v>
      </c>
    </row>
    <row r="508" spans="1:13">
      <c r="A508" s="124">
        <v>7120000</v>
      </c>
      <c r="B508" s="124">
        <v>7140000</v>
      </c>
      <c r="C508" s="124">
        <v>759920</v>
      </c>
      <c r="D508" s="124">
        <v>711360</v>
      </c>
      <c r="E508" s="124">
        <v>582690</v>
      </c>
      <c r="F508" s="124">
        <v>552690</v>
      </c>
      <c r="G508" s="124">
        <v>522690</v>
      </c>
      <c r="H508" s="125">
        <v>492690</v>
      </c>
      <c r="I508" s="124">
        <v>468560</v>
      </c>
      <c r="J508" s="124">
        <v>449810</v>
      </c>
      <c r="K508" s="124">
        <v>431060</v>
      </c>
      <c r="L508" s="124">
        <v>412310</v>
      </c>
      <c r="M508" s="124">
        <v>393560</v>
      </c>
    </row>
    <row r="509" spans="1:13">
      <c r="A509" s="124">
        <v>7140000</v>
      </c>
      <c r="B509" s="124">
        <v>7160000</v>
      </c>
      <c r="C509" s="124">
        <v>764460</v>
      </c>
      <c r="D509" s="124">
        <v>715880</v>
      </c>
      <c r="E509" s="124">
        <v>586920</v>
      </c>
      <c r="F509" s="124">
        <v>556920</v>
      </c>
      <c r="G509" s="124">
        <v>526920</v>
      </c>
      <c r="H509" s="125">
        <v>496920</v>
      </c>
      <c r="I509" s="124">
        <v>471200</v>
      </c>
      <c r="J509" s="124">
        <v>452450</v>
      </c>
      <c r="K509" s="124">
        <v>433700</v>
      </c>
      <c r="L509" s="124">
        <v>414950</v>
      </c>
      <c r="M509" s="124">
        <v>396200</v>
      </c>
    </row>
    <row r="510" spans="1:13">
      <c r="A510" s="124">
        <v>7160000</v>
      </c>
      <c r="B510" s="124">
        <v>7180000</v>
      </c>
      <c r="C510" s="124">
        <v>768990</v>
      </c>
      <c r="D510" s="124">
        <v>720390</v>
      </c>
      <c r="E510" s="124">
        <v>591140</v>
      </c>
      <c r="F510" s="124">
        <v>561140</v>
      </c>
      <c r="G510" s="124">
        <v>531140</v>
      </c>
      <c r="H510" s="125">
        <v>501140</v>
      </c>
      <c r="I510" s="124">
        <v>473840</v>
      </c>
      <c r="J510" s="124">
        <v>455090</v>
      </c>
      <c r="K510" s="124">
        <v>436340</v>
      </c>
      <c r="L510" s="124">
        <v>417590</v>
      </c>
      <c r="M510" s="124">
        <v>398840</v>
      </c>
    </row>
    <row r="511" spans="1:13">
      <c r="A511" s="124">
        <v>7180000</v>
      </c>
      <c r="B511" s="124">
        <v>7200000</v>
      </c>
      <c r="C511" s="124">
        <v>773530</v>
      </c>
      <c r="D511" s="124">
        <v>724900</v>
      </c>
      <c r="E511" s="124">
        <v>595360</v>
      </c>
      <c r="F511" s="124">
        <v>565360</v>
      </c>
      <c r="G511" s="124">
        <v>535360</v>
      </c>
      <c r="H511" s="125">
        <v>505360</v>
      </c>
      <c r="I511" s="124">
        <v>476480</v>
      </c>
      <c r="J511" s="124">
        <v>457730</v>
      </c>
      <c r="K511" s="124">
        <v>438980</v>
      </c>
      <c r="L511" s="124">
        <v>420230</v>
      </c>
      <c r="M511" s="124">
        <v>401480</v>
      </c>
    </row>
    <row r="512" spans="1:13">
      <c r="A512" s="124">
        <v>7200000</v>
      </c>
      <c r="B512" s="124">
        <v>7220000</v>
      </c>
      <c r="C512" s="124">
        <v>778060</v>
      </c>
      <c r="D512" s="124">
        <v>729410</v>
      </c>
      <c r="E512" s="124">
        <v>599590</v>
      </c>
      <c r="F512" s="124">
        <v>569590</v>
      </c>
      <c r="G512" s="124">
        <v>539590</v>
      </c>
      <c r="H512" s="125">
        <v>509590</v>
      </c>
      <c r="I512" s="124">
        <v>479590</v>
      </c>
      <c r="J512" s="124">
        <v>460370</v>
      </c>
      <c r="K512" s="124">
        <v>441620</v>
      </c>
      <c r="L512" s="124">
        <v>422870</v>
      </c>
      <c r="M512" s="124">
        <v>404120</v>
      </c>
    </row>
    <row r="513" spans="1:13">
      <c r="A513" s="124">
        <v>7220000</v>
      </c>
      <c r="B513" s="124">
        <v>7240000</v>
      </c>
      <c r="C513" s="124">
        <v>782600</v>
      </c>
      <c r="D513" s="124">
        <v>733920</v>
      </c>
      <c r="E513" s="124">
        <v>603810</v>
      </c>
      <c r="F513" s="124">
        <v>573810</v>
      </c>
      <c r="G513" s="124">
        <v>543810</v>
      </c>
      <c r="H513" s="125">
        <v>513810</v>
      </c>
      <c r="I513" s="124">
        <v>483810</v>
      </c>
      <c r="J513" s="124">
        <v>463010</v>
      </c>
      <c r="K513" s="124">
        <v>444260</v>
      </c>
      <c r="L513" s="124">
        <v>425510</v>
      </c>
      <c r="M513" s="124">
        <v>406760</v>
      </c>
    </row>
    <row r="514" spans="1:13">
      <c r="A514" s="124">
        <v>7240000</v>
      </c>
      <c r="B514" s="124">
        <v>7260000</v>
      </c>
      <c r="C514" s="124">
        <v>787140</v>
      </c>
      <c r="D514" s="124">
        <v>738440</v>
      </c>
      <c r="E514" s="124">
        <v>608040</v>
      </c>
      <c r="F514" s="124">
        <v>578040</v>
      </c>
      <c r="G514" s="124">
        <v>548040</v>
      </c>
      <c r="H514" s="125">
        <v>518040</v>
      </c>
      <c r="I514" s="124">
        <v>488040</v>
      </c>
      <c r="J514" s="124">
        <v>465650</v>
      </c>
      <c r="K514" s="124">
        <v>446900</v>
      </c>
      <c r="L514" s="124">
        <v>428150</v>
      </c>
      <c r="M514" s="124">
        <v>409400</v>
      </c>
    </row>
    <row r="515" spans="1:13">
      <c r="A515" s="124">
        <v>7260000</v>
      </c>
      <c r="B515" s="124">
        <v>7280000</v>
      </c>
      <c r="C515" s="124">
        <v>791670</v>
      </c>
      <c r="D515" s="124">
        <v>742950</v>
      </c>
      <c r="E515" s="124">
        <v>612260</v>
      </c>
      <c r="F515" s="124">
        <v>582260</v>
      </c>
      <c r="G515" s="124">
        <v>552260</v>
      </c>
      <c r="H515" s="125">
        <v>522260</v>
      </c>
      <c r="I515" s="124">
        <v>492260</v>
      </c>
      <c r="J515" s="124">
        <v>468290</v>
      </c>
      <c r="K515" s="124">
        <v>449540</v>
      </c>
      <c r="L515" s="124">
        <v>430790</v>
      </c>
      <c r="M515" s="124">
        <v>412040</v>
      </c>
    </row>
    <row r="516" spans="1:13">
      <c r="A516" s="124">
        <v>7280000</v>
      </c>
      <c r="B516" s="124">
        <v>7300000</v>
      </c>
      <c r="C516" s="124">
        <v>796210</v>
      </c>
      <c r="D516" s="124">
        <v>747460</v>
      </c>
      <c r="E516" s="124">
        <v>616480</v>
      </c>
      <c r="F516" s="124">
        <v>586480</v>
      </c>
      <c r="G516" s="124">
        <v>556480</v>
      </c>
      <c r="H516" s="125">
        <v>526480</v>
      </c>
      <c r="I516" s="124">
        <v>496480</v>
      </c>
      <c r="J516" s="124">
        <v>470930</v>
      </c>
      <c r="K516" s="124">
        <v>452180</v>
      </c>
      <c r="L516" s="124">
        <v>433430</v>
      </c>
      <c r="M516" s="124">
        <v>414680</v>
      </c>
    </row>
    <row r="517" spans="1:13">
      <c r="A517" s="124">
        <v>7300000</v>
      </c>
      <c r="B517" s="124">
        <v>7320000</v>
      </c>
      <c r="C517" s="124">
        <v>800740</v>
      </c>
      <c r="D517" s="124">
        <v>751970</v>
      </c>
      <c r="E517" s="124">
        <v>620710</v>
      </c>
      <c r="F517" s="124">
        <v>590710</v>
      </c>
      <c r="G517" s="124">
        <v>560710</v>
      </c>
      <c r="H517" s="125">
        <v>530710</v>
      </c>
      <c r="I517" s="124">
        <v>500710</v>
      </c>
      <c r="J517" s="124">
        <v>473570</v>
      </c>
      <c r="K517" s="124">
        <v>454820</v>
      </c>
      <c r="L517" s="124">
        <v>436070</v>
      </c>
      <c r="M517" s="124">
        <v>417320</v>
      </c>
    </row>
    <row r="518" spans="1:13">
      <c r="A518" s="124">
        <v>7320000</v>
      </c>
      <c r="B518" s="124">
        <v>7340000</v>
      </c>
      <c r="C518" s="124">
        <v>805280</v>
      </c>
      <c r="D518" s="124">
        <v>756480</v>
      </c>
      <c r="E518" s="124">
        <v>624930</v>
      </c>
      <c r="F518" s="124">
        <v>594930</v>
      </c>
      <c r="G518" s="124">
        <v>564930</v>
      </c>
      <c r="H518" s="125">
        <v>534930</v>
      </c>
      <c r="I518" s="124">
        <v>504930</v>
      </c>
      <c r="J518" s="124">
        <v>476210</v>
      </c>
      <c r="K518" s="124">
        <v>457460</v>
      </c>
      <c r="L518" s="124">
        <v>438710</v>
      </c>
      <c r="M518" s="124">
        <v>419960</v>
      </c>
    </row>
    <row r="519" spans="1:13">
      <c r="A519" s="124">
        <v>7340000</v>
      </c>
      <c r="B519" s="124">
        <v>7360000</v>
      </c>
      <c r="C519" s="124">
        <v>809820</v>
      </c>
      <c r="D519" s="124">
        <v>761000</v>
      </c>
      <c r="E519" s="124">
        <v>629160</v>
      </c>
      <c r="F519" s="124">
        <v>599160</v>
      </c>
      <c r="G519" s="124">
        <v>569160</v>
      </c>
      <c r="H519" s="125">
        <v>539160</v>
      </c>
      <c r="I519" s="124">
        <v>509160</v>
      </c>
      <c r="J519" s="124">
        <v>479160</v>
      </c>
      <c r="K519" s="124">
        <v>460100</v>
      </c>
      <c r="L519" s="124">
        <v>441350</v>
      </c>
      <c r="M519" s="124">
        <v>422600</v>
      </c>
    </row>
    <row r="520" spans="1:13">
      <c r="A520" s="124">
        <v>7360000</v>
      </c>
      <c r="B520" s="124">
        <v>7380000</v>
      </c>
      <c r="C520" s="124">
        <v>814350</v>
      </c>
      <c r="D520" s="124">
        <v>765510</v>
      </c>
      <c r="E520" s="124">
        <v>633380</v>
      </c>
      <c r="F520" s="124">
        <v>603380</v>
      </c>
      <c r="G520" s="124">
        <v>573380</v>
      </c>
      <c r="H520" s="125">
        <v>543380</v>
      </c>
      <c r="I520" s="124">
        <v>513380</v>
      </c>
      <c r="J520" s="124">
        <v>483380</v>
      </c>
      <c r="K520" s="124">
        <v>462740</v>
      </c>
      <c r="L520" s="124">
        <v>443990</v>
      </c>
      <c r="M520" s="124">
        <v>425240</v>
      </c>
    </row>
    <row r="521" spans="1:13">
      <c r="A521" s="124">
        <v>7380000</v>
      </c>
      <c r="B521" s="124">
        <v>7400000</v>
      </c>
      <c r="C521" s="124">
        <v>818890</v>
      </c>
      <c r="D521" s="124">
        <v>770020</v>
      </c>
      <c r="E521" s="124">
        <v>637600</v>
      </c>
      <c r="F521" s="124">
        <v>607600</v>
      </c>
      <c r="G521" s="124">
        <v>577600</v>
      </c>
      <c r="H521" s="125">
        <v>547600</v>
      </c>
      <c r="I521" s="124">
        <v>517600</v>
      </c>
      <c r="J521" s="124">
        <v>487600</v>
      </c>
      <c r="K521" s="124">
        <v>465380</v>
      </c>
      <c r="L521" s="124">
        <v>446630</v>
      </c>
      <c r="M521" s="124">
        <v>427880</v>
      </c>
    </row>
    <row r="522" spans="1:13">
      <c r="A522" s="124">
        <v>7400000</v>
      </c>
      <c r="B522" s="124">
        <v>7420000</v>
      </c>
      <c r="C522" s="124">
        <v>823420</v>
      </c>
      <c r="D522" s="124">
        <v>774530</v>
      </c>
      <c r="E522" s="124">
        <v>641830</v>
      </c>
      <c r="F522" s="124">
        <v>611830</v>
      </c>
      <c r="G522" s="124">
        <v>581830</v>
      </c>
      <c r="H522" s="125">
        <v>551830</v>
      </c>
      <c r="I522" s="124">
        <v>521830</v>
      </c>
      <c r="J522" s="124">
        <v>491830</v>
      </c>
      <c r="K522" s="124">
        <v>468020</v>
      </c>
      <c r="L522" s="124">
        <v>449270</v>
      </c>
      <c r="M522" s="124">
        <v>430520</v>
      </c>
    </row>
    <row r="523" spans="1:13">
      <c r="A523" s="124">
        <v>7420000</v>
      </c>
      <c r="B523" s="124">
        <v>7440000</v>
      </c>
      <c r="C523" s="124">
        <v>827960</v>
      </c>
      <c r="D523" s="124">
        <v>779040</v>
      </c>
      <c r="E523" s="124">
        <v>646050</v>
      </c>
      <c r="F523" s="124">
        <v>616050</v>
      </c>
      <c r="G523" s="124">
        <v>586050</v>
      </c>
      <c r="H523" s="125">
        <v>556050</v>
      </c>
      <c r="I523" s="124">
        <v>526050</v>
      </c>
      <c r="J523" s="124">
        <v>496050</v>
      </c>
      <c r="K523" s="124">
        <v>470660</v>
      </c>
      <c r="L523" s="124">
        <v>451910</v>
      </c>
      <c r="M523" s="124">
        <v>433160</v>
      </c>
    </row>
    <row r="524" spans="1:13">
      <c r="A524" s="124">
        <v>7440000</v>
      </c>
      <c r="B524" s="124">
        <v>7460000</v>
      </c>
      <c r="C524" s="124">
        <v>832500</v>
      </c>
      <c r="D524" s="124">
        <v>783560</v>
      </c>
      <c r="E524" s="124">
        <v>650280</v>
      </c>
      <c r="F524" s="124">
        <v>620280</v>
      </c>
      <c r="G524" s="124">
        <v>590280</v>
      </c>
      <c r="H524" s="125">
        <v>560280</v>
      </c>
      <c r="I524" s="124">
        <v>530280</v>
      </c>
      <c r="J524" s="124">
        <v>500280</v>
      </c>
      <c r="K524" s="124">
        <v>473300</v>
      </c>
      <c r="L524" s="124">
        <v>454550</v>
      </c>
      <c r="M524" s="124">
        <v>435800</v>
      </c>
    </row>
    <row r="525" spans="1:13">
      <c r="A525" s="124">
        <v>7460000</v>
      </c>
      <c r="B525" s="124">
        <v>7480000</v>
      </c>
      <c r="C525" s="124">
        <v>837030</v>
      </c>
      <c r="D525" s="124">
        <v>788070</v>
      </c>
      <c r="E525" s="124">
        <v>654500</v>
      </c>
      <c r="F525" s="124">
        <v>624500</v>
      </c>
      <c r="G525" s="124">
        <v>594500</v>
      </c>
      <c r="H525" s="125">
        <v>564500</v>
      </c>
      <c r="I525" s="124">
        <v>534500</v>
      </c>
      <c r="J525" s="124">
        <v>504500</v>
      </c>
      <c r="K525" s="124">
        <v>475940</v>
      </c>
      <c r="L525" s="124">
        <v>457190</v>
      </c>
      <c r="M525" s="124">
        <v>438440</v>
      </c>
    </row>
    <row r="526" spans="1:13">
      <c r="A526" s="124">
        <v>7480000</v>
      </c>
      <c r="B526" s="124">
        <v>7500000</v>
      </c>
      <c r="C526" s="124">
        <v>841570</v>
      </c>
      <c r="D526" s="124">
        <v>792580</v>
      </c>
      <c r="E526" s="124">
        <v>658720</v>
      </c>
      <c r="F526" s="124">
        <v>628720</v>
      </c>
      <c r="G526" s="124">
        <v>598720</v>
      </c>
      <c r="H526" s="125">
        <v>568720</v>
      </c>
      <c r="I526" s="124">
        <v>538720</v>
      </c>
      <c r="J526" s="124">
        <v>508720</v>
      </c>
      <c r="K526" s="124">
        <v>478720</v>
      </c>
      <c r="L526" s="124">
        <v>459830</v>
      </c>
      <c r="M526" s="124">
        <v>441080</v>
      </c>
    </row>
    <row r="527" spans="1:13">
      <c r="A527" s="124">
        <v>7500000</v>
      </c>
      <c r="B527" s="124">
        <v>7520000</v>
      </c>
      <c r="C527" s="124">
        <v>846100</v>
      </c>
      <c r="D527" s="124">
        <v>797090</v>
      </c>
      <c r="E527" s="124">
        <v>662950</v>
      </c>
      <c r="F527" s="124">
        <v>632950</v>
      </c>
      <c r="G527" s="124">
        <v>602950</v>
      </c>
      <c r="H527" s="125">
        <v>572950</v>
      </c>
      <c r="I527" s="124">
        <v>542950</v>
      </c>
      <c r="J527" s="124">
        <v>512950</v>
      </c>
      <c r="K527" s="124">
        <v>482950</v>
      </c>
      <c r="L527" s="124">
        <v>462470</v>
      </c>
      <c r="M527" s="124">
        <v>443720</v>
      </c>
    </row>
    <row r="528" spans="1:13">
      <c r="A528" s="124">
        <v>7520000</v>
      </c>
      <c r="B528" s="124">
        <v>7540000</v>
      </c>
      <c r="C528" s="124">
        <v>850640</v>
      </c>
      <c r="D528" s="124">
        <v>801600</v>
      </c>
      <c r="E528" s="124">
        <v>667170</v>
      </c>
      <c r="F528" s="124">
        <v>637170</v>
      </c>
      <c r="G528" s="124">
        <v>607170</v>
      </c>
      <c r="H528" s="125">
        <v>577170</v>
      </c>
      <c r="I528" s="124">
        <v>547170</v>
      </c>
      <c r="J528" s="124">
        <v>517170</v>
      </c>
      <c r="K528" s="124">
        <v>487170</v>
      </c>
      <c r="L528" s="124">
        <v>465110</v>
      </c>
      <c r="M528" s="124">
        <v>446360</v>
      </c>
    </row>
    <row r="529" spans="1:13">
      <c r="A529" s="124">
        <v>7540000</v>
      </c>
      <c r="B529" s="124">
        <v>7560000</v>
      </c>
      <c r="C529" s="124">
        <v>855180</v>
      </c>
      <c r="D529" s="124">
        <v>806120</v>
      </c>
      <c r="E529" s="124">
        <v>671400</v>
      </c>
      <c r="F529" s="124">
        <v>641400</v>
      </c>
      <c r="G529" s="124">
        <v>611400</v>
      </c>
      <c r="H529" s="125">
        <v>581400</v>
      </c>
      <c r="I529" s="124">
        <v>551400</v>
      </c>
      <c r="J529" s="124">
        <v>521400</v>
      </c>
      <c r="K529" s="124">
        <v>491400</v>
      </c>
      <c r="L529" s="124">
        <v>467750</v>
      </c>
      <c r="M529" s="124">
        <v>449000</v>
      </c>
    </row>
    <row r="530" spans="1:13">
      <c r="A530" s="124">
        <v>7560000</v>
      </c>
      <c r="B530" s="124">
        <v>7580000</v>
      </c>
      <c r="C530" s="124">
        <v>859710</v>
      </c>
      <c r="D530" s="124">
        <v>810630</v>
      </c>
      <c r="E530" s="124">
        <v>675620</v>
      </c>
      <c r="F530" s="124">
        <v>645620</v>
      </c>
      <c r="G530" s="124">
        <v>615620</v>
      </c>
      <c r="H530" s="125">
        <v>585620</v>
      </c>
      <c r="I530" s="124">
        <v>555620</v>
      </c>
      <c r="J530" s="124">
        <v>525620</v>
      </c>
      <c r="K530" s="124">
        <v>495620</v>
      </c>
      <c r="L530" s="124">
        <v>470390</v>
      </c>
      <c r="M530" s="124">
        <v>451640</v>
      </c>
    </row>
    <row r="531" spans="1:13">
      <c r="A531" s="124">
        <v>7580000</v>
      </c>
      <c r="B531" s="124">
        <v>7600000</v>
      </c>
      <c r="C531" s="124">
        <v>864250</v>
      </c>
      <c r="D531" s="124">
        <v>815140</v>
      </c>
      <c r="E531" s="124">
        <v>679840</v>
      </c>
      <c r="F531" s="124">
        <v>649840</v>
      </c>
      <c r="G531" s="124">
        <v>619840</v>
      </c>
      <c r="H531" s="125">
        <v>589840</v>
      </c>
      <c r="I531" s="124">
        <v>559840</v>
      </c>
      <c r="J531" s="124">
        <v>529840</v>
      </c>
      <c r="K531" s="124">
        <v>499840</v>
      </c>
      <c r="L531" s="124">
        <v>473030</v>
      </c>
      <c r="M531" s="124">
        <v>454280</v>
      </c>
    </row>
    <row r="532" spans="1:13">
      <c r="A532" s="124">
        <v>7600000</v>
      </c>
      <c r="B532" s="124">
        <v>7620000</v>
      </c>
      <c r="C532" s="124">
        <v>868780</v>
      </c>
      <c r="D532" s="124">
        <v>819650</v>
      </c>
      <c r="E532" s="124">
        <v>684070</v>
      </c>
      <c r="F532" s="124">
        <v>654070</v>
      </c>
      <c r="G532" s="124">
        <v>624070</v>
      </c>
      <c r="H532" s="125">
        <v>594070</v>
      </c>
      <c r="I532" s="124">
        <v>564070</v>
      </c>
      <c r="J532" s="124">
        <v>534070</v>
      </c>
      <c r="K532" s="124">
        <v>504070</v>
      </c>
      <c r="L532" s="124">
        <v>475670</v>
      </c>
      <c r="M532" s="124">
        <v>456920</v>
      </c>
    </row>
    <row r="533" spans="1:13">
      <c r="A533" s="124">
        <v>7620000</v>
      </c>
      <c r="B533" s="124">
        <v>7640000</v>
      </c>
      <c r="C533" s="124">
        <v>873320</v>
      </c>
      <c r="D533" s="124">
        <v>824160</v>
      </c>
      <c r="E533" s="124">
        <v>688290</v>
      </c>
      <c r="F533" s="124">
        <v>658290</v>
      </c>
      <c r="G533" s="124">
        <v>628290</v>
      </c>
      <c r="H533" s="125">
        <v>598290</v>
      </c>
      <c r="I533" s="124">
        <v>568290</v>
      </c>
      <c r="J533" s="124">
        <v>538290</v>
      </c>
      <c r="K533" s="124">
        <v>508290</v>
      </c>
      <c r="L533" s="124">
        <v>478310</v>
      </c>
      <c r="M533" s="124">
        <v>459560</v>
      </c>
    </row>
    <row r="534" spans="1:13">
      <c r="A534" s="124">
        <v>7640000</v>
      </c>
      <c r="B534" s="124">
        <v>7660000</v>
      </c>
      <c r="C534" s="124">
        <v>877860</v>
      </c>
      <c r="D534" s="124">
        <v>828680</v>
      </c>
      <c r="E534" s="124">
        <v>692520</v>
      </c>
      <c r="F534" s="124">
        <v>662520</v>
      </c>
      <c r="G534" s="124">
        <v>632520</v>
      </c>
      <c r="H534" s="125">
        <v>602520</v>
      </c>
      <c r="I534" s="124">
        <v>572520</v>
      </c>
      <c r="J534" s="124">
        <v>542520</v>
      </c>
      <c r="K534" s="124">
        <v>512520</v>
      </c>
      <c r="L534" s="124">
        <v>482520</v>
      </c>
      <c r="M534" s="124">
        <v>462200</v>
      </c>
    </row>
    <row r="535" spans="1:13">
      <c r="A535" s="124">
        <v>7660000</v>
      </c>
      <c r="B535" s="124">
        <v>7680000</v>
      </c>
      <c r="C535" s="124">
        <v>882390</v>
      </c>
      <c r="D535" s="124">
        <v>833190</v>
      </c>
      <c r="E535" s="124">
        <v>696740</v>
      </c>
      <c r="F535" s="124">
        <v>666740</v>
      </c>
      <c r="G535" s="124">
        <v>636740</v>
      </c>
      <c r="H535" s="125">
        <v>606740</v>
      </c>
      <c r="I535" s="124">
        <v>576740</v>
      </c>
      <c r="J535" s="124">
        <v>546740</v>
      </c>
      <c r="K535" s="124">
        <v>516740</v>
      </c>
      <c r="L535" s="124">
        <v>486740</v>
      </c>
      <c r="M535" s="124">
        <v>464840</v>
      </c>
    </row>
    <row r="536" spans="1:13">
      <c r="A536" s="124">
        <v>7680000</v>
      </c>
      <c r="B536" s="124">
        <v>7700000</v>
      </c>
      <c r="C536" s="124">
        <v>886930</v>
      </c>
      <c r="D536" s="124">
        <v>837700</v>
      </c>
      <c r="E536" s="124">
        <v>700960</v>
      </c>
      <c r="F536" s="124">
        <v>670960</v>
      </c>
      <c r="G536" s="124">
        <v>640960</v>
      </c>
      <c r="H536" s="125">
        <v>610960</v>
      </c>
      <c r="I536" s="124">
        <v>580960</v>
      </c>
      <c r="J536" s="124">
        <v>550960</v>
      </c>
      <c r="K536" s="124">
        <v>520960</v>
      </c>
      <c r="L536" s="124">
        <v>490960</v>
      </c>
      <c r="M536" s="124">
        <v>467480</v>
      </c>
    </row>
    <row r="537" spans="1:13">
      <c r="A537" s="124">
        <v>7700000</v>
      </c>
      <c r="B537" s="124">
        <v>7720000</v>
      </c>
      <c r="C537" s="124">
        <v>891460</v>
      </c>
      <c r="D537" s="124">
        <v>842210</v>
      </c>
      <c r="E537" s="124">
        <v>705190</v>
      </c>
      <c r="F537" s="124">
        <v>675190</v>
      </c>
      <c r="G537" s="124">
        <v>645190</v>
      </c>
      <c r="H537" s="125">
        <v>615190</v>
      </c>
      <c r="I537" s="124">
        <v>585190</v>
      </c>
      <c r="J537" s="124">
        <v>555190</v>
      </c>
      <c r="K537" s="124">
        <v>525190</v>
      </c>
      <c r="L537" s="124">
        <v>495190</v>
      </c>
      <c r="M537" s="124">
        <v>470120</v>
      </c>
    </row>
    <row r="538" spans="1:13">
      <c r="A538" s="124">
        <v>7720000</v>
      </c>
      <c r="B538" s="124">
        <v>7740000</v>
      </c>
      <c r="C538" s="124">
        <v>896000</v>
      </c>
      <c r="D538" s="124">
        <v>846720</v>
      </c>
      <c r="E538" s="124">
        <v>709410</v>
      </c>
      <c r="F538" s="124">
        <v>679410</v>
      </c>
      <c r="G538" s="124">
        <v>649410</v>
      </c>
      <c r="H538" s="125">
        <v>619410</v>
      </c>
      <c r="I538" s="124">
        <v>589410</v>
      </c>
      <c r="J538" s="124">
        <v>559410</v>
      </c>
      <c r="K538" s="124">
        <v>529410</v>
      </c>
      <c r="L538" s="124">
        <v>499410</v>
      </c>
      <c r="M538" s="124">
        <v>472760</v>
      </c>
    </row>
    <row r="539" spans="1:13">
      <c r="A539" s="124">
        <v>7740000</v>
      </c>
      <c r="B539" s="124">
        <v>7760000</v>
      </c>
      <c r="C539" s="124">
        <v>900540</v>
      </c>
      <c r="D539" s="124">
        <v>851240</v>
      </c>
      <c r="E539" s="124">
        <v>713640</v>
      </c>
      <c r="F539" s="124">
        <v>683640</v>
      </c>
      <c r="G539" s="124">
        <v>653640</v>
      </c>
      <c r="H539" s="125">
        <v>623640</v>
      </c>
      <c r="I539" s="124">
        <v>593640</v>
      </c>
      <c r="J539" s="124">
        <v>563640</v>
      </c>
      <c r="K539" s="124">
        <v>533640</v>
      </c>
      <c r="L539" s="124">
        <v>503640</v>
      </c>
      <c r="M539" s="124">
        <v>475400</v>
      </c>
    </row>
    <row r="540" spans="1:13">
      <c r="A540" s="124">
        <v>7760000</v>
      </c>
      <c r="B540" s="124">
        <v>7780000</v>
      </c>
      <c r="C540" s="124">
        <v>905070</v>
      </c>
      <c r="D540" s="124">
        <v>855750</v>
      </c>
      <c r="E540" s="124">
        <v>717860</v>
      </c>
      <c r="F540" s="124">
        <v>687860</v>
      </c>
      <c r="G540" s="124">
        <v>657860</v>
      </c>
      <c r="H540" s="125">
        <v>627860</v>
      </c>
      <c r="I540" s="124">
        <v>597860</v>
      </c>
      <c r="J540" s="124">
        <v>567860</v>
      </c>
      <c r="K540" s="124">
        <v>537860</v>
      </c>
      <c r="L540" s="124">
        <v>507860</v>
      </c>
      <c r="M540" s="124">
        <v>478040</v>
      </c>
    </row>
    <row r="541" spans="1:13">
      <c r="A541" s="124">
        <v>7780000</v>
      </c>
      <c r="B541" s="124">
        <v>7800000</v>
      </c>
      <c r="C541" s="124">
        <v>909610</v>
      </c>
      <c r="D541" s="124">
        <v>860260</v>
      </c>
      <c r="E541" s="124">
        <v>722080</v>
      </c>
      <c r="F541" s="124">
        <v>692080</v>
      </c>
      <c r="G541" s="124">
        <v>662080</v>
      </c>
      <c r="H541" s="125">
        <v>632080</v>
      </c>
      <c r="I541" s="124">
        <v>602080</v>
      </c>
      <c r="J541" s="124">
        <v>572080</v>
      </c>
      <c r="K541" s="124">
        <v>542080</v>
      </c>
      <c r="L541" s="124">
        <v>512080</v>
      </c>
      <c r="M541" s="124">
        <v>482080</v>
      </c>
    </row>
    <row r="542" spans="1:13">
      <c r="A542" s="124">
        <v>7800000</v>
      </c>
      <c r="B542" s="124">
        <v>7820000</v>
      </c>
      <c r="C542" s="124">
        <v>914140</v>
      </c>
      <c r="D542" s="124">
        <v>864770</v>
      </c>
      <c r="E542" s="124">
        <v>726310</v>
      </c>
      <c r="F542" s="124">
        <v>696310</v>
      </c>
      <c r="G542" s="124">
        <v>666310</v>
      </c>
      <c r="H542" s="125">
        <v>636310</v>
      </c>
      <c r="I542" s="124">
        <v>606310</v>
      </c>
      <c r="J542" s="124">
        <v>576310</v>
      </c>
      <c r="K542" s="124">
        <v>546310</v>
      </c>
      <c r="L542" s="124">
        <v>516310</v>
      </c>
      <c r="M542" s="124">
        <v>486310</v>
      </c>
    </row>
    <row r="543" spans="1:13">
      <c r="A543" s="124">
        <v>7820000</v>
      </c>
      <c r="B543" s="124">
        <v>7840000</v>
      </c>
      <c r="C543" s="124">
        <v>918680</v>
      </c>
      <c r="D543" s="124">
        <v>869280</v>
      </c>
      <c r="E543" s="124">
        <v>730530</v>
      </c>
      <c r="F543" s="124">
        <v>700530</v>
      </c>
      <c r="G543" s="124">
        <v>670530</v>
      </c>
      <c r="H543" s="125">
        <v>640530</v>
      </c>
      <c r="I543" s="124">
        <v>610530</v>
      </c>
      <c r="J543" s="124">
        <v>580530</v>
      </c>
      <c r="K543" s="124">
        <v>550530</v>
      </c>
      <c r="L543" s="124">
        <v>520530</v>
      </c>
      <c r="M543" s="124">
        <v>490530</v>
      </c>
    </row>
    <row r="544" spans="1:13">
      <c r="A544" s="124">
        <v>7840000</v>
      </c>
      <c r="B544" s="124">
        <v>7860000</v>
      </c>
      <c r="C544" s="124">
        <v>923220</v>
      </c>
      <c r="D544" s="124">
        <v>873800</v>
      </c>
      <c r="E544" s="124">
        <v>734760</v>
      </c>
      <c r="F544" s="124">
        <v>704760</v>
      </c>
      <c r="G544" s="124">
        <v>674760</v>
      </c>
      <c r="H544" s="125">
        <v>644760</v>
      </c>
      <c r="I544" s="124">
        <v>614760</v>
      </c>
      <c r="J544" s="124">
        <v>584760</v>
      </c>
      <c r="K544" s="124">
        <v>554760</v>
      </c>
      <c r="L544" s="124">
        <v>524760</v>
      </c>
      <c r="M544" s="124">
        <v>494760</v>
      </c>
    </row>
    <row r="545" spans="1:13">
      <c r="A545" s="124">
        <v>7860000</v>
      </c>
      <c r="B545" s="124">
        <v>7880000</v>
      </c>
      <c r="C545" s="124">
        <v>927750</v>
      </c>
      <c r="D545" s="124">
        <v>878310</v>
      </c>
      <c r="E545" s="124">
        <v>738980</v>
      </c>
      <c r="F545" s="124">
        <v>708980</v>
      </c>
      <c r="G545" s="124">
        <v>678980</v>
      </c>
      <c r="H545" s="125">
        <v>648980</v>
      </c>
      <c r="I545" s="124">
        <v>618980</v>
      </c>
      <c r="J545" s="124">
        <v>588980</v>
      </c>
      <c r="K545" s="124">
        <v>558980</v>
      </c>
      <c r="L545" s="124">
        <v>528980</v>
      </c>
      <c r="M545" s="124">
        <v>498980</v>
      </c>
    </row>
    <row r="546" spans="1:13">
      <c r="A546" s="124">
        <v>7880000</v>
      </c>
      <c r="B546" s="124">
        <v>7900000</v>
      </c>
      <c r="C546" s="124">
        <v>932290</v>
      </c>
      <c r="D546" s="124">
        <v>882820</v>
      </c>
      <c r="E546" s="124">
        <v>743200</v>
      </c>
      <c r="F546" s="124">
        <v>713200</v>
      </c>
      <c r="G546" s="124">
        <v>683200</v>
      </c>
      <c r="H546" s="125">
        <v>653200</v>
      </c>
      <c r="I546" s="124">
        <v>623200</v>
      </c>
      <c r="J546" s="124">
        <v>593200</v>
      </c>
      <c r="K546" s="124">
        <v>563200</v>
      </c>
      <c r="L546" s="124">
        <v>533200</v>
      </c>
      <c r="M546" s="124">
        <v>503200</v>
      </c>
    </row>
    <row r="547" spans="1:13">
      <c r="A547" s="124">
        <v>7900000</v>
      </c>
      <c r="B547" s="124">
        <v>7920000</v>
      </c>
      <c r="C547" s="124">
        <v>936820</v>
      </c>
      <c r="D547" s="124">
        <v>887330</v>
      </c>
      <c r="E547" s="124">
        <v>747430</v>
      </c>
      <c r="F547" s="124">
        <v>717430</v>
      </c>
      <c r="G547" s="124">
        <v>687430</v>
      </c>
      <c r="H547" s="125">
        <v>657430</v>
      </c>
      <c r="I547" s="124">
        <v>627430</v>
      </c>
      <c r="J547" s="124">
        <v>597430</v>
      </c>
      <c r="K547" s="124">
        <v>567430</v>
      </c>
      <c r="L547" s="124">
        <v>537430</v>
      </c>
      <c r="M547" s="124">
        <v>507430</v>
      </c>
    </row>
    <row r="548" spans="1:13">
      <c r="A548" s="124">
        <v>7920000</v>
      </c>
      <c r="B548" s="124">
        <v>7940000</v>
      </c>
      <c r="C548" s="124">
        <v>941360</v>
      </c>
      <c r="D548" s="124">
        <v>891840</v>
      </c>
      <c r="E548" s="124">
        <v>751650</v>
      </c>
      <c r="F548" s="124">
        <v>721650</v>
      </c>
      <c r="G548" s="124">
        <v>691650</v>
      </c>
      <c r="H548" s="125">
        <v>661650</v>
      </c>
      <c r="I548" s="124">
        <v>631650</v>
      </c>
      <c r="J548" s="124">
        <v>601650</v>
      </c>
      <c r="K548" s="124">
        <v>571650</v>
      </c>
      <c r="L548" s="124">
        <v>541650</v>
      </c>
      <c r="M548" s="124">
        <v>511650</v>
      </c>
    </row>
    <row r="549" spans="1:13">
      <c r="A549" s="124">
        <v>7940000</v>
      </c>
      <c r="B549" s="124">
        <v>7960000</v>
      </c>
      <c r="C549" s="124">
        <v>945900</v>
      </c>
      <c r="D549" s="124">
        <v>896360</v>
      </c>
      <c r="E549" s="124">
        <v>755880</v>
      </c>
      <c r="F549" s="124">
        <v>725880</v>
      </c>
      <c r="G549" s="124">
        <v>695880</v>
      </c>
      <c r="H549" s="125">
        <v>665880</v>
      </c>
      <c r="I549" s="124">
        <v>635880</v>
      </c>
      <c r="J549" s="124">
        <v>605880</v>
      </c>
      <c r="K549" s="124">
        <v>575880</v>
      </c>
      <c r="L549" s="124">
        <v>545880</v>
      </c>
      <c r="M549" s="124">
        <v>515880</v>
      </c>
    </row>
    <row r="550" spans="1:13">
      <c r="A550" s="124">
        <v>7960000</v>
      </c>
      <c r="B550" s="124">
        <v>7980000</v>
      </c>
      <c r="C550" s="124">
        <v>950430</v>
      </c>
      <c r="D550" s="124">
        <v>900870</v>
      </c>
      <c r="E550" s="124">
        <v>760100</v>
      </c>
      <c r="F550" s="124">
        <v>730100</v>
      </c>
      <c r="G550" s="124">
        <v>700100</v>
      </c>
      <c r="H550" s="125">
        <v>670100</v>
      </c>
      <c r="I550" s="124">
        <v>640100</v>
      </c>
      <c r="J550" s="124">
        <v>610100</v>
      </c>
      <c r="K550" s="124">
        <v>580100</v>
      </c>
      <c r="L550" s="124">
        <v>550100</v>
      </c>
      <c r="M550" s="124">
        <v>520100</v>
      </c>
    </row>
    <row r="551" spans="1:13">
      <c r="A551" s="124">
        <v>7980000</v>
      </c>
      <c r="B551" s="124">
        <v>8000000</v>
      </c>
      <c r="C551" s="124">
        <v>954970</v>
      </c>
      <c r="D551" s="124">
        <v>905380</v>
      </c>
      <c r="E551" s="124">
        <v>764320</v>
      </c>
      <c r="F551" s="124">
        <v>734320</v>
      </c>
      <c r="G551" s="124">
        <v>704320</v>
      </c>
      <c r="H551" s="125">
        <v>674320</v>
      </c>
      <c r="I551" s="124">
        <v>644320</v>
      </c>
      <c r="J551" s="124">
        <v>614320</v>
      </c>
      <c r="K551" s="124">
        <v>584320</v>
      </c>
      <c r="L551" s="124">
        <v>554320</v>
      </c>
      <c r="M551" s="124">
        <v>524320</v>
      </c>
    </row>
    <row r="552" spans="1:13">
      <c r="A552" s="124">
        <v>8000000</v>
      </c>
      <c r="B552" s="124">
        <v>8020000</v>
      </c>
      <c r="C552" s="124">
        <v>959500</v>
      </c>
      <c r="D552" s="124">
        <v>909890</v>
      </c>
      <c r="E552" s="124">
        <v>768550</v>
      </c>
      <c r="F552" s="124">
        <v>738550</v>
      </c>
      <c r="G552" s="124">
        <v>708550</v>
      </c>
      <c r="H552" s="125">
        <v>678550</v>
      </c>
      <c r="I552" s="124">
        <v>648550</v>
      </c>
      <c r="J552" s="124">
        <v>618550</v>
      </c>
      <c r="K552" s="124">
        <v>588550</v>
      </c>
      <c r="L552" s="124">
        <v>558550</v>
      </c>
      <c r="M552" s="124">
        <v>528550</v>
      </c>
    </row>
    <row r="553" spans="1:13">
      <c r="A553" s="124">
        <v>8020000</v>
      </c>
      <c r="B553" s="124">
        <v>8040000</v>
      </c>
      <c r="C553" s="124">
        <v>964040</v>
      </c>
      <c r="D553" s="124">
        <v>914400</v>
      </c>
      <c r="E553" s="124">
        <v>772770</v>
      </c>
      <c r="F553" s="124">
        <v>742770</v>
      </c>
      <c r="G553" s="124">
        <v>712770</v>
      </c>
      <c r="H553" s="125">
        <v>682770</v>
      </c>
      <c r="I553" s="124">
        <v>652770</v>
      </c>
      <c r="J553" s="124">
        <v>622770</v>
      </c>
      <c r="K553" s="124">
        <v>592770</v>
      </c>
      <c r="L553" s="124">
        <v>562770</v>
      </c>
      <c r="M553" s="124">
        <v>532770</v>
      </c>
    </row>
    <row r="554" spans="1:13">
      <c r="A554" s="124">
        <v>8040000</v>
      </c>
      <c r="B554" s="124">
        <v>8060000</v>
      </c>
      <c r="C554" s="124">
        <v>968580</v>
      </c>
      <c r="D554" s="124">
        <v>918920</v>
      </c>
      <c r="E554" s="124">
        <v>777000</v>
      </c>
      <c r="F554" s="124">
        <v>747000</v>
      </c>
      <c r="G554" s="124">
        <v>717000</v>
      </c>
      <c r="H554" s="125">
        <v>687000</v>
      </c>
      <c r="I554" s="124">
        <v>657000</v>
      </c>
      <c r="J554" s="124">
        <v>627000</v>
      </c>
      <c r="K554" s="124">
        <v>597000</v>
      </c>
      <c r="L554" s="124">
        <v>567000</v>
      </c>
      <c r="M554" s="124">
        <v>537000</v>
      </c>
    </row>
    <row r="555" spans="1:13">
      <c r="A555" s="124">
        <v>8060000</v>
      </c>
      <c r="B555" s="124">
        <v>8080000</v>
      </c>
      <c r="C555" s="124">
        <v>973110</v>
      </c>
      <c r="D555" s="124">
        <v>923430</v>
      </c>
      <c r="E555" s="124">
        <v>781220</v>
      </c>
      <c r="F555" s="124">
        <v>751220</v>
      </c>
      <c r="G555" s="124">
        <v>721220</v>
      </c>
      <c r="H555" s="125">
        <v>691220</v>
      </c>
      <c r="I555" s="124">
        <v>661220</v>
      </c>
      <c r="J555" s="124">
        <v>631220</v>
      </c>
      <c r="K555" s="124">
        <v>601220</v>
      </c>
      <c r="L555" s="124">
        <v>571220</v>
      </c>
      <c r="M555" s="124">
        <v>541220</v>
      </c>
    </row>
    <row r="556" spans="1:13">
      <c r="A556" s="124">
        <v>8080000</v>
      </c>
      <c r="B556" s="124">
        <v>8100000</v>
      </c>
      <c r="C556" s="124">
        <v>977650</v>
      </c>
      <c r="D556" s="124">
        <v>927940</v>
      </c>
      <c r="E556" s="124">
        <v>785440</v>
      </c>
      <c r="F556" s="124">
        <v>755440</v>
      </c>
      <c r="G556" s="124">
        <v>725440</v>
      </c>
      <c r="H556" s="125">
        <v>695440</v>
      </c>
      <c r="I556" s="124">
        <v>665440</v>
      </c>
      <c r="J556" s="124">
        <v>635440</v>
      </c>
      <c r="K556" s="124">
        <v>605440</v>
      </c>
      <c r="L556" s="124">
        <v>575440</v>
      </c>
      <c r="M556" s="124">
        <v>545440</v>
      </c>
    </row>
    <row r="557" spans="1:13">
      <c r="A557" s="124">
        <v>8100000</v>
      </c>
      <c r="B557" s="124">
        <v>8120000</v>
      </c>
      <c r="C557" s="124">
        <v>982180</v>
      </c>
      <c r="D557" s="124">
        <v>932450</v>
      </c>
      <c r="E557" s="124">
        <v>789670</v>
      </c>
      <c r="F557" s="124">
        <v>759670</v>
      </c>
      <c r="G557" s="124">
        <v>729670</v>
      </c>
      <c r="H557" s="125">
        <v>699670</v>
      </c>
      <c r="I557" s="124">
        <v>669670</v>
      </c>
      <c r="J557" s="124">
        <v>639670</v>
      </c>
      <c r="K557" s="124">
        <v>609670</v>
      </c>
      <c r="L557" s="124">
        <v>579670</v>
      </c>
      <c r="M557" s="124">
        <v>549670</v>
      </c>
    </row>
    <row r="558" spans="1:13">
      <c r="A558" s="124">
        <v>8120000</v>
      </c>
      <c r="B558" s="124">
        <v>8140000</v>
      </c>
      <c r="C558" s="124">
        <v>986720</v>
      </c>
      <c r="D558" s="124">
        <v>936960</v>
      </c>
      <c r="E558" s="124">
        <v>793890</v>
      </c>
      <c r="F558" s="124">
        <v>763890</v>
      </c>
      <c r="G558" s="124">
        <v>733890</v>
      </c>
      <c r="H558" s="125">
        <v>703890</v>
      </c>
      <c r="I558" s="124">
        <v>673890</v>
      </c>
      <c r="J558" s="124">
        <v>643890</v>
      </c>
      <c r="K558" s="124">
        <v>613890</v>
      </c>
      <c r="L558" s="124">
        <v>583890</v>
      </c>
      <c r="M558" s="124">
        <v>553890</v>
      </c>
    </row>
    <row r="559" spans="1:13">
      <c r="A559" s="124">
        <v>8140000</v>
      </c>
      <c r="B559" s="124">
        <v>8160000</v>
      </c>
      <c r="C559" s="124">
        <v>991260</v>
      </c>
      <c r="D559" s="124">
        <v>941480</v>
      </c>
      <c r="E559" s="124">
        <v>798120</v>
      </c>
      <c r="F559" s="124">
        <v>768120</v>
      </c>
      <c r="G559" s="124">
        <v>738120</v>
      </c>
      <c r="H559" s="125">
        <v>708120</v>
      </c>
      <c r="I559" s="124">
        <v>678120</v>
      </c>
      <c r="J559" s="124">
        <v>648120</v>
      </c>
      <c r="K559" s="124">
        <v>618120</v>
      </c>
      <c r="L559" s="124">
        <v>588120</v>
      </c>
      <c r="M559" s="124">
        <v>558120</v>
      </c>
    </row>
    <row r="560" spans="1:13">
      <c r="A560" s="124">
        <v>8160000</v>
      </c>
      <c r="B560" s="124">
        <v>8180000</v>
      </c>
      <c r="C560" s="124">
        <v>995790</v>
      </c>
      <c r="D560" s="124">
        <v>945990</v>
      </c>
      <c r="E560" s="124">
        <v>802340</v>
      </c>
      <c r="F560" s="124">
        <v>772340</v>
      </c>
      <c r="G560" s="124">
        <v>742340</v>
      </c>
      <c r="H560" s="125">
        <v>712340</v>
      </c>
      <c r="I560" s="124">
        <v>682340</v>
      </c>
      <c r="J560" s="124">
        <v>652340</v>
      </c>
      <c r="K560" s="124">
        <v>622340</v>
      </c>
      <c r="L560" s="124">
        <v>592340</v>
      </c>
      <c r="M560" s="124">
        <v>562340</v>
      </c>
    </row>
    <row r="561" spans="1:13">
      <c r="A561" s="124">
        <v>8180000</v>
      </c>
      <c r="B561" s="124">
        <v>8200000</v>
      </c>
      <c r="C561" s="124">
        <v>1000330</v>
      </c>
      <c r="D561" s="124">
        <v>950500</v>
      </c>
      <c r="E561" s="124">
        <v>806560</v>
      </c>
      <c r="F561" s="124">
        <v>776560</v>
      </c>
      <c r="G561" s="124">
        <v>746560</v>
      </c>
      <c r="H561" s="125">
        <v>716560</v>
      </c>
      <c r="I561" s="124">
        <v>686560</v>
      </c>
      <c r="J561" s="124">
        <v>656560</v>
      </c>
      <c r="K561" s="124">
        <v>626560</v>
      </c>
      <c r="L561" s="124">
        <v>596560</v>
      </c>
      <c r="M561" s="124">
        <v>566560</v>
      </c>
    </row>
    <row r="562" spans="1:13">
      <c r="A562" s="124">
        <v>8200000</v>
      </c>
      <c r="B562" s="124">
        <v>8220000</v>
      </c>
      <c r="C562" s="124">
        <v>1004860</v>
      </c>
      <c r="D562" s="124">
        <v>955010</v>
      </c>
      <c r="E562" s="124">
        <v>810790</v>
      </c>
      <c r="F562" s="124">
        <v>780790</v>
      </c>
      <c r="G562" s="124">
        <v>750790</v>
      </c>
      <c r="H562" s="125">
        <v>720790</v>
      </c>
      <c r="I562" s="124">
        <v>690790</v>
      </c>
      <c r="J562" s="124">
        <v>660790</v>
      </c>
      <c r="K562" s="124">
        <v>630790</v>
      </c>
      <c r="L562" s="124">
        <v>600790</v>
      </c>
      <c r="M562" s="124">
        <v>570790</v>
      </c>
    </row>
    <row r="563" spans="1:13">
      <c r="A563" s="124">
        <v>8220000</v>
      </c>
      <c r="B563" s="124">
        <v>8240000</v>
      </c>
      <c r="C563" s="124">
        <v>1009400</v>
      </c>
      <c r="D563" s="124">
        <v>959520</v>
      </c>
      <c r="E563" s="124">
        <v>815010</v>
      </c>
      <c r="F563" s="124">
        <v>785010</v>
      </c>
      <c r="G563" s="124">
        <v>755010</v>
      </c>
      <c r="H563" s="125">
        <v>725010</v>
      </c>
      <c r="I563" s="124">
        <v>695010</v>
      </c>
      <c r="J563" s="124">
        <v>665010</v>
      </c>
      <c r="K563" s="124">
        <v>635010</v>
      </c>
      <c r="L563" s="124">
        <v>605010</v>
      </c>
      <c r="M563" s="124">
        <v>575010</v>
      </c>
    </row>
    <row r="564" spans="1:13">
      <c r="A564" s="124">
        <v>8240000</v>
      </c>
      <c r="B564" s="124">
        <v>8260000</v>
      </c>
      <c r="C564" s="124">
        <v>1013940</v>
      </c>
      <c r="D564" s="124">
        <v>964040</v>
      </c>
      <c r="E564" s="124">
        <v>819240</v>
      </c>
      <c r="F564" s="124">
        <v>789240</v>
      </c>
      <c r="G564" s="124">
        <v>759240</v>
      </c>
      <c r="H564" s="125">
        <v>729240</v>
      </c>
      <c r="I564" s="124">
        <v>699240</v>
      </c>
      <c r="J564" s="124">
        <v>669240</v>
      </c>
      <c r="K564" s="124">
        <v>639240</v>
      </c>
      <c r="L564" s="124">
        <v>609240</v>
      </c>
      <c r="M564" s="124">
        <v>579240</v>
      </c>
    </row>
    <row r="565" spans="1:13">
      <c r="A565" s="124">
        <v>8260000</v>
      </c>
      <c r="B565" s="124">
        <v>8280000</v>
      </c>
      <c r="C565" s="124">
        <v>1018470</v>
      </c>
      <c r="D565" s="124">
        <v>968550</v>
      </c>
      <c r="E565" s="124">
        <v>823460</v>
      </c>
      <c r="F565" s="124">
        <v>793460</v>
      </c>
      <c r="G565" s="124">
        <v>763460</v>
      </c>
      <c r="H565" s="125">
        <v>733460</v>
      </c>
      <c r="I565" s="124">
        <v>703460</v>
      </c>
      <c r="J565" s="124">
        <v>673460</v>
      </c>
      <c r="K565" s="124">
        <v>643460</v>
      </c>
      <c r="L565" s="124">
        <v>613460</v>
      </c>
      <c r="M565" s="124">
        <v>583460</v>
      </c>
    </row>
    <row r="566" spans="1:13">
      <c r="A566" s="124">
        <v>8280000</v>
      </c>
      <c r="B566" s="124">
        <v>8300000</v>
      </c>
      <c r="C566" s="124">
        <v>1023010</v>
      </c>
      <c r="D566" s="124">
        <v>973060</v>
      </c>
      <c r="E566" s="124">
        <v>827680</v>
      </c>
      <c r="F566" s="124">
        <v>797680</v>
      </c>
      <c r="G566" s="124">
        <v>767680</v>
      </c>
      <c r="H566" s="125">
        <v>737680</v>
      </c>
      <c r="I566" s="124">
        <v>707680</v>
      </c>
      <c r="J566" s="124">
        <v>677680</v>
      </c>
      <c r="K566" s="124">
        <v>647680</v>
      </c>
      <c r="L566" s="124">
        <v>617680</v>
      </c>
      <c r="M566" s="124">
        <v>587680</v>
      </c>
    </row>
    <row r="567" spans="1:13">
      <c r="A567" s="124">
        <v>8300000</v>
      </c>
      <c r="B567" s="124">
        <v>8320000</v>
      </c>
      <c r="C567" s="124">
        <v>1027540</v>
      </c>
      <c r="D567" s="124">
        <v>977570</v>
      </c>
      <c r="E567" s="124">
        <v>831910</v>
      </c>
      <c r="F567" s="124">
        <v>801910</v>
      </c>
      <c r="G567" s="124">
        <v>771910</v>
      </c>
      <c r="H567" s="125">
        <v>741910</v>
      </c>
      <c r="I567" s="124">
        <v>711910</v>
      </c>
      <c r="J567" s="124">
        <v>681910</v>
      </c>
      <c r="K567" s="124">
        <v>651910</v>
      </c>
      <c r="L567" s="124">
        <v>621910</v>
      </c>
      <c r="M567" s="124">
        <v>591910</v>
      </c>
    </row>
    <row r="568" spans="1:13">
      <c r="A568" s="124">
        <v>8320000</v>
      </c>
      <c r="B568" s="124">
        <v>8340000</v>
      </c>
      <c r="C568" s="124">
        <v>1032080</v>
      </c>
      <c r="D568" s="124">
        <v>982080</v>
      </c>
      <c r="E568" s="124">
        <v>836130</v>
      </c>
      <c r="F568" s="124">
        <v>806130</v>
      </c>
      <c r="G568" s="124">
        <v>776130</v>
      </c>
      <c r="H568" s="125">
        <v>746130</v>
      </c>
      <c r="I568" s="124">
        <v>716130</v>
      </c>
      <c r="J568" s="124">
        <v>686130</v>
      </c>
      <c r="K568" s="124">
        <v>656130</v>
      </c>
      <c r="L568" s="124">
        <v>626130</v>
      </c>
      <c r="M568" s="124">
        <v>596130</v>
      </c>
    </row>
    <row r="569" spans="1:13">
      <c r="A569" s="124">
        <v>8340000</v>
      </c>
      <c r="B569" s="124">
        <v>8360000</v>
      </c>
      <c r="C569" s="124">
        <v>1036740</v>
      </c>
      <c r="D569" s="124">
        <v>986720</v>
      </c>
      <c r="E569" s="124">
        <v>840480</v>
      </c>
      <c r="F569" s="124">
        <v>810480</v>
      </c>
      <c r="G569" s="124">
        <v>780480</v>
      </c>
      <c r="H569" s="125">
        <v>750480</v>
      </c>
      <c r="I569" s="124">
        <v>720480</v>
      </c>
      <c r="J569" s="124">
        <v>690480</v>
      </c>
      <c r="K569" s="124">
        <v>660480</v>
      </c>
      <c r="L569" s="124">
        <v>630480</v>
      </c>
      <c r="M569" s="124">
        <v>600480</v>
      </c>
    </row>
    <row r="570" spans="1:13">
      <c r="A570" s="124">
        <v>8360000</v>
      </c>
      <c r="B570" s="124">
        <v>8380000</v>
      </c>
      <c r="C570" s="124">
        <v>1041420</v>
      </c>
      <c r="D570" s="124">
        <v>991370</v>
      </c>
      <c r="E570" s="124">
        <v>844840</v>
      </c>
      <c r="F570" s="124">
        <v>814840</v>
      </c>
      <c r="G570" s="124">
        <v>784840</v>
      </c>
      <c r="H570" s="125">
        <v>754840</v>
      </c>
      <c r="I570" s="124">
        <v>724840</v>
      </c>
      <c r="J570" s="124">
        <v>694840</v>
      </c>
      <c r="K570" s="124">
        <v>664840</v>
      </c>
      <c r="L570" s="124">
        <v>634840</v>
      </c>
      <c r="M570" s="124">
        <v>604840</v>
      </c>
    </row>
    <row r="571" spans="1:13">
      <c r="A571" s="124">
        <v>8380000</v>
      </c>
      <c r="B571" s="124">
        <v>8400000</v>
      </c>
      <c r="C571" s="124">
        <v>1046100</v>
      </c>
      <c r="D571" s="124">
        <v>996030</v>
      </c>
      <c r="E571" s="124">
        <v>849210</v>
      </c>
      <c r="F571" s="124">
        <v>819210</v>
      </c>
      <c r="G571" s="124">
        <v>789210</v>
      </c>
      <c r="H571" s="125">
        <v>759210</v>
      </c>
      <c r="I571" s="124">
        <v>729210</v>
      </c>
      <c r="J571" s="124">
        <v>699210</v>
      </c>
      <c r="K571" s="124">
        <v>669210</v>
      </c>
      <c r="L571" s="124">
        <v>639210</v>
      </c>
      <c r="M571" s="124">
        <v>609210</v>
      </c>
    </row>
    <row r="572" spans="1:13">
      <c r="A572" s="124">
        <v>8400000</v>
      </c>
      <c r="B572" s="124">
        <v>8420000</v>
      </c>
      <c r="C572" s="124">
        <v>1050780</v>
      </c>
      <c r="D572" s="124">
        <v>1000680</v>
      </c>
      <c r="E572" s="124">
        <v>853580</v>
      </c>
      <c r="F572" s="124">
        <v>823580</v>
      </c>
      <c r="G572" s="124">
        <v>793580</v>
      </c>
      <c r="H572" s="125">
        <v>763580</v>
      </c>
      <c r="I572" s="124">
        <v>733580</v>
      </c>
      <c r="J572" s="124">
        <v>703580</v>
      </c>
      <c r="K572" s="124">
        <v>673580</v>
      </c>
      <c r="L572" s="124">
        <v>643580</v>
      </c>
      <c r="M572" s="124">
        <v>613580</v>
      </c>
    </row>
    <row r="573" spans="1:13">
      <c r="A573" s="124">
        <v>8420000</v>
      </c>
      <c r="B573" s="124">
        <v>8440000</v>
      </c>
      <c r="C573" s="124">
        <v>1055460</v>
      </c>
      <c r="D573" s="124">
        <v>1005340</v>
      </c>
      <c r="E573" s="124">
        <v>857950</v>
      </c>
      <c r="F573" s="124">
        <v>827950</v>
      </c>
      <c r="G573" s="124">
        <v>797950</v>
      </c>
      <c r="H573" s="125">
        <v>767950</v>
      </c>
      <c r="I573" s="124">
        <v>737950</v>
      </c>
      <c r="J573" s="124">
        <v>707950</v>
      </c>
      <c r="K573" s="124">
        <v>677950</v>
      </c>
      <c r="L573" s="124">
        <v>647950</v>
      </c>
      <c r="M573" s="124">
        <v>617950</v>
      </c>
    </row>
    <row r="574" spans="1:13">
      <c r="A574" s="124">
        <v>8440000</v>
      </c>
      <c r="B574" s="124">
        <v>8460000</v>
      </c>
      <c r="C574" s="124">
        <v>1060140</v>
      </c>
      <c r="D574" s="124">
        <v>1010000</v>
      </c>
      <c r="E574" s="124">
        <v>862320</v>
      </c>
      <c r="F574" s="124">
        <v>832320</v>
      </c>
      <c r="G574" s="124">
        <v>802320</v>
      </c>
      <c r="H574" s="125">
        <v>772320</v>
      </c>
      <c r="I574" s="124">
        <v>742320</v>
      </c>
      <c r="J574" s="124">
        <v>712320</v>
      </c>
      <c r="K574" s="124">
        <v>682320</v>
      </c>
      <c r="L574" s="124">
        <v>652320</v>
      </c>
      <c r="M574" s="124">
        <v>622320</v>
      </c>
    </row>
    <row r="575" spans="1:13">
      <c r="A575" s="124">
        <v>8460000</v>
      </c>
      <c r="B575" s="124">
        <v>8480000</v>
      </c>
      <c r="C575" s="124">
        <v>1064820</v>
      </c>
      <c r="D575" s="124">
        <v>1014650</v>
      </c>
      <c r="E575" s="124">
        <v>866680</v>
      </c>
      <c r="F575" s="124">
        <v>836680</v>
      </c>
      <c r="G575" s="124">
        <v>806680</v>
      </c>
      <c r="H575" s="125">
        <v>776680</v>
      </c>
      <c r="I575" s="124">
        <v>746680</v>
      </c>
      <c r="J575" s="124">
        <v>716680</v>
      </c>
      <c r="K575" s="124">
        <v>686680</v>
      </c>
      <c r="L575" s="124">
        <v>656680</v>
      </c>
      <c r="M575" s="124">
        <v>626680</v>
      </c>
    </row>
    <row r="576" spans="1:13">
      <c r="A576" s="124">
        <v>8480000</v>
      </c>
      <c r="B576" s="124">
        <v>8500000</v>
      </c>
      <c r="C576" s="124">
        <v>1069500</v>
      </c>
      <c r="D576" s="124">
        <v>1019310</v>
      </c>
      <c r="E576" s="124">
        <v>871050</v>
      </c>
      <c r="F576" s="124">
        <v>841050</v>
      </c>
      <c r="G576" s="124">
        <v>811050</v>
      </c>
      <c r="H576" s="125">
        <v>781050</v>
      </c>
      <c r="I576" s="124">
        <v>751050</v>
      </c>
      <c r="J576" s="124">
        <v>721050</v>
      </c>
      <c r="K576" s="124">
        <v>691050</v>
      </c>
      <c r="L576" s="124">
        <v>661050</v>
      </c>
      <c r="M576" s="124">
        <v>631050</v>
      </c>
    </row>
    <row r="577" spans="1:13">
      <c r="A577" s="124">
        <v>8500000</v>
      </c>
      <c r="B577" s="124">
        <v>8520000</v>
      </c>
      <c r="C577" s="124">
        <v>1074180</v>
      </c>
      <c r="D577" s="124">
        <v>1023960</v>
      </c>
      <c r="E577" s="124">
        <v>875420</v>
      </c>
      <c r="F577" s="124">
        <v>845420</v>
      </c>
      <c r="G577" s="124">
        <v>815420</v>
      </c>
      <c r="H577" s="125">
        <v>785420</v>
      </c>
      <c r="I577" s="124">
        <v>755420</v>
      </c>
      <c r="J577" s="124">
        <v>725420</v>
      </c>
      <c r="K577" s="124">
        <v>695420</v>
      </c>
      <c r="L577" s="124">
        <v>665420</v>
      </c>
      <c r="M577" s="124">
        <v>635420</v>
      </c>
    </row>
    <row r="578" spans="1:13">
      <c r="A578" s="124">
        <v>8520000</v>
      </c>
      <c r="B578" s="124">
        <v>8540000</v>
      </c>
      <c r="C578" s="124">
        <v>1078860</v>
      </c>
      <c r="D578" s="124">
        <v>1028620</v>
      </c>
      <c r="E578" s="124">
        <v>879790</v>
      </c>
      <c r="F578" s="124">
        <v>849790</v>
      </c>
      <c r="G578" s="124">
        <v>819790</v>
      </c>
      <c r="H578" s="125">
        <v>789790</v>
      </c>
      <c r="I578" s="124">
        <v>759790</v>
      </c>
      <c r="J578" s="124">
        <v>729790</v>
      </c>
      <c r="K578" s="124">
        <v>699790</v>
      </c>
      <c r="L578" s="124">
        <v>669790</v>
      </c>
      <c r="M578" s="124">
        <v>639790</v>
      </c>
    </row>
    <row r="579" spans="1:13">
      <c r="A579" s="124">
        <v>8540000</v>
      </c>
      <c r="B579" s="124">
        <v>8560000</v>
      </c>
      <c r="C579" s="124">
        <v>1083540</v>
      </c>
      <c r="D579" s="124">
        <v>1033280</v>
      </c>
      <c r="E579" s="124">
        <v>884160</v>
      </c>
      <c r="F579" s="124">
        <v>854160</v>
      </c>
      <c r="G579" s="124">
        <v>824160</v>
      </c>
      <c r="H579" s="125">
        <v>794160</v>
      </c>
      <c r="I579" s="124">
        <v>764160</v>
      </c>
      <c r="J579" s="124">
        <v>734160</v>
      </c>
      <c r="K579" s="124">
        <v>704160</v>
      </c>
      <c r="L579" s="124">
        <v>674160</v>
      </c>
      <c r="M579" s="124">
        <v>644160</v>
      </c>
    </row>
    <row r="580" spans="1:13">
      <c r="A580" s="124">
        <v>8560000</v>
      </c>
      <c r="B580" s="124">
        <v>8580000</v>
      </c>
      <c r="C580" s="124">
        <v>1088220</v>
      </c>
      <c r="D580" s="124">
        <v>1037930</v>
      </c>
      <c r="E580" s="124">
        <v>888520</v>
      </c>
      <c r="F580" s="124">
        <v>858520</v>
      </c>
      <c r="G580" s="124">
        <v>828520</v>
      </c>
      <c r="H580" s="125">
        <v>798520</v>
      </c>
      <c r="I580" s="124">
        <v>768520</v>
      </c>
      <c r="J580" s="124">
        <v>738520</v>
      </c>
      <c r="K580" s="124">
        <v>708520</v>
      </c>
      <c r="L580" s="124">
        <v>678520</v>
      </c>
      <c r="M580" s="124">
        <v>648520</v>
      </c>
    </row>
    <row r="581" spans="1:13">
      <c r="A581" s="124">
        <v>8580000</v>
      </c>
      <c r="B581" s="124">
        <v>8600000</v>
      </c>
      <c r="C581" s="124">
        <v>1092900</v>
      </c>
      <c r="D581" s="124">
        <v>1042590</v>
      </c>
      <c r="E581" s="124">
        <v>892890</v>
      </c>
      <c r="F581" s="124">
        <v>862890</v>
      </c>
      <c r="G581" s="124">
        <v>832890</v>
      </c>
      <c r="H581" s="125">
        <v>802890</v>
      </c>
      <c r="I581" s="124">
        <v>772890</v>
      </c>
      <c r="J581" s="124">
        <v>742890</v>
      </c>
      <c r="K581" s="124">
        <v>712890</v>
      </c>
      <c r="L581" s="124">
        <v>682890</v>
      </c>
      <c r="M581" s="124">
        <v>652890</v>
      </c>
    </row>
    <row r="582" spans="1:13">
      <c r="A582" s="124">
        <v>8600000</v>
      </c>
      <c r="B582" s="124">
        <v>8620000</v>
      </c>
      <c r="C582" s="124">
        <v>1097580</v>
      </c>
      <c r="D582" s="124">
        <v>1047240</v>
      </c>
      <c r="E582" s="124">
        <v>897260</v>
      </c>
      <c r="F582" s="124">
        <v>867260</v>
      </c>
      <c r="G582" s="124">
        <v>837260</v>
      </c>
      <c r="H582" s="125">
        <v>807260</v>
      </c>
      <c r="I582" s="124">
        <v>777260</v>
      </c>
      <c r="J582" s="124">
        <v>747260</v>
      </c>
      <c r="K582" s="124">
        <v>717260</v>
      </c>
      <c r="L582" s="124">
        <v>687260</v>
      </c>
      <c r="M582" s="124">
        <v>657260</v>
      </c>
    </row>
    <row r="583" spans="1:13">
      <c r="A583" s="124">
        <v>8620000</v>
      </c>
      <c r="B583" s="124">
        <v>8640000</v>
      </c>
      <c r="C583" s="124">
        <v>1102260</v>
      </c>
      <c r="D583" s="124">
        <v>1051900</v>
      </c>
      <c r="E583" s="124">
        <v>901630</v>
      </c>
      <c r="F583" s="124">
        <v>871630</v>
      </c>
      <c r="G583" s="124">
        <v>841630</v>
      </c>
      <c r="H583" s="125">
        <v>811630</v>
      </c>
      <c r="I583" s="124">
        <v>781630</v>
      </c>
      <c r="J583" s="124">
        <v>751630</v>
      </c>
      <c r="K583" s="124">
        <v>721630</v>
      </c>
      <c r="L583" s="124">
        <v>691630</v>
      </c>
      <c r="M583" s="124">
        <v>661630</v>
      </c>
    </row>
    <row r="584" spans="1:13">
      <c r="A584" s="124">
        <v>8640000</v>
      </c>
      <c r="B584" s="124">
        <v>8660000</v>
      </c>
      <c r="C584" s="124">
        <v>1106940</v>
      </c>
      <c r="D584" s="124">
        <v>1056560</v>
      </c>
      <c r="E584" s="124">
        <v>906000</v>
      </c>
      <c r="F584" s="124">
        <v>876000</v>
      </c>
      <c r="G584" s="124">
        <v>846000</v>
      </c>
      <c r="H584" s="125">
        <v>816000</v>
      </c>
      <c r="I584" s="124">
        <v>786000</v>
      </c>
      <c r="J584" s="124">
        <v>756000</v>
      </c>
      <c r="K584" s="124">
        <v>726000</v>
      </c>
      <c r="L584" s="124">
        <v>696000</v>
      </c>
      <c r="M584" s="124">
        <v>666000</v>
      </c>
    </row>
    <row r="585" spans="1:13">
      <c r="A585" s="124">
        <v>8660000</v>
      </c>
      <c r="B585" s="124">
        <v>8680000</v>
      </c>
      <c r="C585" s="124">
        <v>1111620</v>
      </c>
      <c r="D585" s="124">
        <v>1061210</v>
      </c>
      <c r="E585" s="124">
        <v>910360</v>
      </c>
      <c r="F585" s="124">
        <v>880360</v>
      </c>
      <c r="G585" s="124">
        <v>850360</v>
      </c>
      <c r="H585" s="125">
        <v>820360</v>
      </c>
      <c r="I585" s="124">
        <v>790360</v>
      </c>
      <c r="J585" s="124">
        <v>760360</v>
      </c>
      <c r="K585" s="124">
        <v>730360</v>
      </c>
      <c r="L585" s="124">
        <v>700360</v>
      </c>
      <c r="M585" s="124">
        <v>670360</v>
      </c>
    </row>
    <row r="586" spans="1:13">
      <c r="A586" s="124">
        <v>8680000</v>
      </c>
      <c r="B586" s="124">
        <v>8700000</v>
      </c>
      <c r="C586" s="124">
        <v>1116300</v>
      </c>
      <c r="D586" s="124">
        <v>1065870</v>
      </c>
      <c r="E586" s="124">
        <v>914730</v>
      </c>
      <c r="F586" s="124">
        <v>884730</v>
      </c>
      <c r="G586" s="124">
        <v>854730</v>
      </c>
      <c r="H586" s="125">
        <v>824730</v>
      </c>
      <c r="I586" s="124">
        <v>794730</v>
      </c>
      <c r="J586" s="124">
        <v>764730</v>
      </c>
      <c r="K586" s="124">
        <v>734730</v>
      </c>
      <c r="L586" s="124">
        <v>704730</v>
      </c>
      <c r="M586" s="124">
        <v>674730</v>
      </c>
    </row>
    <row r="587" spans="1:13">
      <c r="A587" s="124">
        <v>8700000</v>
      </c>
      <c r="B587" s="124">
        <v>8720000</v>
      </c>
      <c r="C587" s="124">
        <v>1120980</v>
      </c>
      <c r="D587" s="124">
        <v>1070520</v>
      </c>
      <c r="E587" s="124">
        <v>919100</v>
      </c>
      <c r="F587" s="124">
        <v>889100</v>
      </c>
      <c r="G587" s="124">
        <v>859100</v>
      </c>
      <c r="H587" s="125">
        <v>829100</v>
      </c>
      <c r="I587" s="124">
        <v>799100</v>
      </c>
      <c r="J587" s="124">
        <v>769100</v>
      </c>
      <c r="K587" s="124">
        <v>739100</v>
      </c>
      <c r="L587" s="124">
        <v>709100</v>
      </c>
      <c r="M587" s="124">
        <v>679100</v>
      </c>
    </row>
    <row r="588" spans="1:13">
      <c r="A588" s="124">
        <v>8720000</v>
      </c>
      <c r="B588" s="124">
        <v>8740000</v>
      </c>
      <c r="C588" s="124">
        <v>1125660</v>
      </c>
      <c r="D588" s="124">
        <v>1075180</v>
      </c>
      <c r="E588" s="124">
        <v>923470</v>
      </c>
      <c r="F588" s="124">
        <v>893470</v>
      </c>
      <c r="G588" s="124">
        <v>863470</v>
      </c>
      <c r="H588" s="125">
        <v>833470</v>
      </c>
      <c r="I588" s="124">
        <v>803470</v>
      </c>
      <c r="J588" s="124">
        <v>773470</v>
      </c>
      <c r="K588" s="124">
        <v>743470</v>
      </c>
      <c r="L588" s="124">
        <v>713470</v>
      </c>
      <c r="M588" s="124">
        <v>683470</v>
      </c>
    </row>
    <row r="589" spans="1:13">
      <c r="A589" s="124">
        <v>8740000</v>
      </c>
      <c r="B589" s="124">
        <v>8760000</v>
      </c>
      <c r="C589" s="124">
        <v>1130340</v>
      </c>
      <c r="D589" s="124">
        <v>1079840</v>
      </c>
      <c r="E589" s="124">
        <v>927840</v>
      </c>
      <c r="F589" s="124">
        <v>897840</v>
      </c>
      <c r="G589" s="124">
        <v>867840</v>
      </c>
      <c r="H589" s="125">
        <v>837840</v>
      </c>
      <c r="I589" s="124">
        <v>807840</v>
      </c>
      <c r="J589" s="124">
        <v>777840</v>
      </c>
      <c r="K589" s="124">
        <v>747840</v>
      </c>
      <c r="L589" s="124">
        <v>717840</v>
      </c>
      <c r="M589" s="124">
        <v>687840</v>
      </c>
    </row>
    <row r="590" spans="1:13">
      <c r="A590" s="124">
        <v>8760000</v>
      </c>
      <c r="B590" s="124">
        <v>8780000</v>
      </c>
      <c r="C590" s="124">
        <v>1135020</v>
      </c>
      <c r="D590" s="124">
        <v>1084490</v>
      </c>
      <c r="E590" s="124">
        <v>932200</v>
      </c>
      <c r="F590" s="124">
        <v>902200</v>
      </c>
      <c r="G590" s="124">
        <v>872200</v>
      </c>
      <c r="H590" s="125">
        <v>842200</v>
      </c>
      <c r="I590" s="124">
        <v>812200</v>
      </c>
      <c r="J590" s="124">
        <v>782200</v>
      </c>
      <c r="K590" s="124">
        <v>752200</v>
      </c>
      <c r="L590" s="124">
        <v>722200</v>
      </c>
      <c r="M590" s="124">
        <v>692200</v>
      </c>
    </row>
    <row r="591" spans="1:13">
      <c r="A591" s="124">
        <v>8780000</v>
      </c>
      <c r="B591" s="124">
        <v>8800000</v>
      </c>
      <c r="C591" s="124">
        <v>1139700</v>
      </c>
      <c r="D591" s="124">
        <v>1089150</v>
      </c>
      <c r="E591" s="124">
        <v>936570</v>
      </c>
      <c r="F591" s="124">
        <v>906570</v>
      </c>
      <c r="G591" s="124">
        <v>876570</v>
      </c>
      <c r="H591" s="125">
        <v>846570</v>
      </c>
      <c r="I591" s="124">
        <v>816570</v>
      </c>
      <c r="J591" s="124">
        <v>786570</v>
      </c>
      <c r="K591" s="124">
        <v>756570</v>
      </c>
      <c r="L591" s="124">
        <v>726570</v>
      </c>
      <c r="M591" s="124">
        <v>696570</v>
      </c>
    </row>
    <row r="592" spans="1:13">
      <c r="A592" s="124">
        <v>8800000</v>
      </c>
      <c r="B592" s="124">
        <v>8820000</v>
      </c>
      <c r="C592" s="124">
        <v>1144380</v>
      </c>
      <c r="D592" s="124">
        <v>1093800</v>
      </c>
      <c r="E592" s="124">
        <v>940940</v>
      </c>
      <c r="F592" s="124">
        <v>910940</v>
      </c>
      <c r="G592" s="124">
        <v>880940</v>
      </c>
      <c r="H592" s="125">
        <v>850940</v>
      </c>
      <c r="I592" s="124">
        <v>820940</v>
      </c>
      <c r="J592" s="124">
        <v>790940</v>
      </c>
      <c r="K592" s="124">
        <v>760940</v>
      </c>
      <c r="L592" s="124">
        <v>730940</v>
      </c>
      <c r="M592" s="124">
        <v>700940</v>
      </c>
    </row>
    <row r="593" spans="1:13">
      <c r="A593" s="124">
        <v>8820000</v>
      </c>
      <c r="B593" s="124">
        <v>8840000</v>
      </c>
      <c r="C593" s="124">
        <v>1149060</v>
      </c>
      <c r="D593" s="124">
        <v>1098460</v>
      </c>
      <c r="E593" s="124">
        <v>945310</v>
      </c>
      <c r="F593" s="124">
        <v>915310</v>
      </c>
      <c r="G593" s="124">
        <v>885310</v>
      </c>
      <c r="H593" s="125">
        <v>855310</v>
      </c>
      <c r="I593" s="124">
        <v>825310</v>
      </c>
      <c r="J593" s="124">
        <v>795310</v>
      </c>
      <c r="K593" s="124">
        <v>765310</v>
      </c>
      <c r="L593" s="124">
        <v>735310</v>
      </c>
      <c r="M593" s="124">
        <v>705310</v>
      </c>
    </row>
    <row r="594" spans="1:13">
      <c r="A594" s="124">
        <v>8840000</v>
      </c>
      <c r="B594" s="124">
        <v>8860000</v>
      </c>
      <c r="C594" s="124">
        <v>1153740</v>
      </c>
      <c r="D594" s="124">
        <v>1103120</v>
      </c>
      <c r="E594" s="124">
        <v>949680</v>
      </c>
      <c r="F594" s="124">
        <v>919680</v>
      </c>
      <c r="G594" s="124">
        <v>889680</v>
      </c>
      <c r="H594" s="125">
        <v>859680</v>
      </c>
      <c r="I594" s="124">
        <v>829680</v>
      </c>
      <c r="J594" s="124">
        <v>799680</v>
      </c>
      <c r="K594" s="124">
        <v>769680</v>
      </c>
      <c r="L594" s="124">
        <v>739680</v>
      </c>
      <c r="M594" s="124">
        <v>709680</v>
      </c>
    </row>
    <row r="595" spans="1:13">
      <c r="A595" s="124">
        <v>8860000</v>
      </c>
      <c r="B595" s="124">
        <v>8880000</v>
      </c>
      <c r="C595" s="124">
        <v>1158420</v>
      </c>
      <c r="D595" s="124">
        <v>1107770</v>
      </c>
      <c r="E595" s="124">
        <v>954040</v>
      </c>
      <c r="F595" s="124">
        <v>924040</v>
      </c>
      <c r="G595" s="124">
        <v>894040</v>
      </c>
      <c r="H595" s="125">
        <v>864040</v>
      </c>
      <c r="I595" s="124">
        <v>834040</v>
      </c>
      <c r="J595" s="124">
        <v>804040</v>
      </c>
      <c r="K595" s="124">
        <v>774040</v>
      </c>
      <c r="L595" s="124">
        <v>744040</v>
      </c>
      <c r="M595" s="124">
        <v>714040</v>
      </c>
    </row>
    <row r="596" spans="1:13">
      <c r="A596" s="124">
        <v>8880000</v>
      </c>
      <c r="B596" s="124">
        <v>8900000</v>
      </c>
      <c r="C596" s="124">
        <v>1163100</v>
      </c>
      <c r="D596" s="124">
        <v>1112430</v>
      </c>
      <c r="E596" s="124">
        <v>958410</v>
      </c>
      <c r="F596" s="124">
        <v>928410</v>
      </c>
      <c r="G596" s="124">
        <v>898410</v>
      </c>
      <c r="H596" s="125">
        <v>868410</v>
      </c>
      <c r="I596" s="124">
        <v>838410</v>
      </c>
      <c r="J596" s="124">
        <v>808410</v>
      </c>
      <c r="K596" s="124">
        <v>778410</v>
      </c>
      <c r="L596" s="124">
        <v>748410</v>
      </c>
      <c r="M596" s="124">
        <v>718410</v>
      </c>
    </row>
    <row r="597" spans="1:13">
      <c r="A597" s="124">
        <v>8900000</v>
      </c>
      <c r="B597" s="124">
        <v>8920000</v>
      </c>
      <c r="C597" s="124">
        <v>1167780</v>
      </c>
      <c r="D597" s="124">
        <v>1117080</v>
      </c>
      <c r="E597" s="124">
        <v>962780</v>
      </c>
      <c r="F597" s="124">
        <v>932780</v>
      </c>
      <c r="G597" s="124">
        <v>902780</v>
      </c>
      <c r="H597" s="125">
        <v>872780</v>
      </c>
      <c r="I597" s="124">
        <v>842780</v>
      </c>
      <c r="J597" s="124">
        <v>812780</v>
      </c>
      <c r="K597" s="124">
        <v>782780</v>
      </c>
      <c r="L597" s="124">
        <v>752780</v>
      </c>
      <c r="M597" s="124">
        <v>722780</v>
      </c>
    </row>
    <row r="598" spans="1:13">
      <c r="A598" s="124">
        <v>8920000</v>
      </c>
      <c r="B598" s="124">
        <v>8940000</v>
      </c>
      <c r="C598" s="124">
        <v>1172460</v>
      </c>
      <c r="D598" s="124">
        <v>1121740</v>
      </c>
      <c r="E598" s="124">
        <v>967150</v>
      </c>
      <c r="F598" s="124">
        <v>937150</v>
      </c>
      <c r="G598" s="124">
        <v>907150</v>
      </c>
      <c r="H598" s="125">
        <v>877150</v>
      </c>
      <c r="I598" s="124">
        <v>847150</v>
      </c>
      <c r="J598" s="124">
        <v>817150</v>
      </c>
      <c r="K598" s="124">
        <v>787150</v>
      </c>
      <c r="L598" s="124">
        <v>757150</v>
      </c>
      <c r="M598" s="124">
        <v>727150</v>
      </c>
    </row>
    <row r="599" spans="1:13">
      <c r="A599" s="124">
        <v>8940000</v>
      </c>
      <c r="B599" s="124">
        <v>8960000</v>
      </c>
      <c r="C599" s="124">
        <v>1177140</v>
      </c>
      <c r="D599" s="124">
        <v>1126400</v>
      </c>
      <c r="E599" s="124">
        <v>971520</v>
      </c>
      <c r="F599" s="124">
        <v>941520</v>
      </c>
      <c r="G599" s="124">
        <v>911520</v>
      </c>
      <c r="H599" s="125">
        <v>881520</v>
      </c>
      <c r="I599" s="124">
        <v>851520</v>
      </c>
      <c r="J599" s="124">
        <v>821520</v>
      </c>
      <c r="K599" s="124">
        <v>791520</v>
      </c>
      <c r="L599" s="124">
        <v>761520</v>
      </c>
      <c r="M599" s="124">
        <v>731520</v>
      </c>
    </row>
    <row r="600" spans="1:13">
      <c r="A600" s="124">
        <v>8960000</v>
      </c>
      <c r="B600" s="124">
        <v>8980000</v>
      </c>
      <c r="C600" s="124">
        <v>1181820</v>
      </c>
      <c r="D600" s="124">
        <v>1131050</v>
      </c>
      <c r="E600" s="124">
        <v>975880</v>
      </c>
      <c r="F600" s="124">
        <v>945880</v>
      </c>
      <c r="G600" s="124">
        <v>915880</v>
      </c>
      <c r="H600" s="125">
        <v>885880</v>
      </c>
      <c r="I600" s="124">
        <v>855880</v>
      </c>
      <c r="J600" s="124">
        <v>825880</v>
      </c>
      <c r="K600" s="124">
        <v>795880</v>
      </c>
      <c r="L600" s="124">
        <v>765880</v>
      </c>
      <c r="M600" s="124">
        <v>735880</v>
      </c>
    </row>
    <row r="601" spans="1:13">
      <c r="A601" s="124">
        <v>8980000</v>
      </c>
      <c r="B601" s="124">
        <v>9000000</v>
      </c>
      <c r="C601" s="124">
        <v>1186500</v>
      </c>
      <c r="D601" s="124">
        <v>1135710</v>
      </c>
      <c r="E601" s="124">
        <v>980250</v>
      </c>
      <c r="F601" s="124">
        <v>950250</v>
      </c>
      <c r="G601" s="124">
        <v>920250</v>
      </c>
      <c r="H601" s="125">
        <v>890250</v>
      </c>
      <c r="I601" s="124">
        <v>860250</v>
      </c>
      <c r="J601" s="124">
        <v>830250</v>
      </c>
      <c r="K601" s="124">
        <v>800250</v>
      </c>
      <c r="L601" s="124">
        <v>770250</v>
      </c>
      <c r="M601" s="124">
        <v>740250</v>
      </c>
    </row>
    <row r="602" spans="1:13">
      <c r="A602" s="124">
        <v>9000000</v>
      </c>
      <c r="B602" s="124">
        <v>9020000</v>
      </c>
      <c r="C602" s="124">
        <v>1191180</v>
      </c>
      <c r="D602" s="124">
        <v>1140360</v>
      </c>
      <c r="E602" s="124">
        <v>984620</v>
      </c>
      <c r="F602" s="124">
        <v>954620</v>
      </c>
      <c r="G602" s="124">
        <v>924620</v>
      </c>
      <c r="H602" s="125">
        <v>894620</v>
      </c>
      <c r="I602" s="124">
        <v>864620</v>
      </c>
      <c r="J602" s="124">
        <v>834620</v>
      </c>
      <c r="K602" s="124">
        <v>804620</v>
      </c>
      <c r="L602" s="124">
        <v>774620</v>
      </c>
      <c r="M602" s="124">
        <v>744620</v>
      </c>
    </row>
    <row r="603" spans="1:13">
      <c r="A603" s="124">
        <v>9020000</v>
      </c>
      <c r="B603" s="124">
        <v>9040000</v>
      </c>
      <c r="C603" s="124">
        <v>1195860</v>
      </c>
      <c r="D603" s="124">
        <v>1145020</v>
      </c>
      <c r="E603" s="124">
        <v>988990</v>
      </c>
      <c r="F603" s="124">
        <v>958990</v>
      </c>
      <c r="G603" s="124">
        <v>928990</v>
      </c>
      <c r="H603" s="125">
        <v>898990</v>
      </c>
      <c r="I603" s="124">
        <v>868990</v>
      </c>
      <c r="J603" s="124">
        <v>838990</v>
      </c>
      <c r="K603" s="124">
        <v>808990</v>
      </c>
      <c r="L603" s="124">
        <v>778990</v>
      </c>
      <c r="M603" s="124">
        <v>748990</v>
      </c>
    </row>
    <row r="604" spans="1:13">
      <c r="A604" s="124">
        <v>9040000</v>
      </c>
      <c r="B604" s="124">
        <v>9060000</v>
      </c>
      <c r="C604" s="124">
        <v>1200540</v>
      </c>
      <c r="D604" s="124">
        <v>1149680</v>
      </c>
      <c r="E604" s="124">
        <v>993360</v>
      </c>
      <c r="F604" s="124">
        <v>963360</v>
      </c>
      <c r="G604" s="124">
        <v>933360</v>
      </c>
      <c r="H604" s="125">
        <v>903360</v>
      </c>
      <c r="I604" s="124">
        <v>873360</v>
      </c>
      <c r="J604" s="124">
        <v>843360</v>
      </c>
      <c r="K604" s="124">
        <v>813360</v>
      </c>
      <c r="L604" s="124">
        <v>783360</v>
      </c>
      <c r="M604" s="124">
        <v>753360</v>
      </c>
    </row>
    <row r="605" spans="1:13">
      <c r="A605" s="124">
        <v>9060000</v>
      </c>
      <c r="B605" s="124">
        <v>9080000</v>
      </c>
      <c r="C605" s="124">
        <v>1205220</v>
      </c>
      <c r="D605" s="124">
        <v>1154330</v>
      </c>
      <c r="E605" s="124">
        <v>997720</v>
      </c>
      <c r="F605" s="124">
        <v>967720</v>
      </c>
      <c r="G605" s="124">
        <v>937720</v>
      </c>
      <c r="H605" s="125">
        <v>907720</v>
      </c>
      <c r="I605" s="124">
        <v>877720</v>
      </c>
      <c r="J605" s="124">
        <v>847720</v>
      </c>
      <c r="K605" s="124">
        <v>817720</v>
      </c>
      <c r="L605" s="124">
        <v>787720</v>
      </c>
      <c r="M605" s="124">
        <v>757720</v>
      </c>
    </row>
    <row r="606" spans="1:13">
      <c r="A606" s="124">
        <v>9080000</v>
      </c>
      <c r="B606" s="124">
        <v>9100000</v>
      </c>
      <c r="C606" s="124">
        <v>1209900</v>
      </c>
      <c r="D606" s="124">
        <v>1158990</v>
      </c>
      <c r="E606" s="124">
        <v>1002090</v>
      </c>
      <c r="F606" s="124">
        <v>972090</v>
      </c>
      <c r="G606" s="124">
        <v>942090</v>
      </c>
      <c r="H606" s="125">
        <v>912090</v>
      </c>
      <c r="I606" s="124">
        <v>882090</v>
      </c>
      <c r="J606" s="124">
        <v>852090</v>
      </c>
      <c r="K606" s="124">
        <v>822090</v>
      </c>
      <c r="L606" s="124">
        <v>792090</v>
      </c>
      <c r="M606" s="124">
        <v>762090</v>
      </c>
    </row>
    <row r="607" spans="1:13">
      <c r="A607" s="124">
        <v>9100000</v>
      </c>
      <c r="B607" s="124">
        <v>9120000</v>
      </c>
      <c r="C607" s="124">
        <v>1214580</v>
      </c>
      <c r="D607" s="124">
        <v>1163640</v>
      </c>
      <c r="E607" s="124">
        <v>1006460</v>
      </c>
      <c r="F607" s="124">
        <v>976460</v>
      </c>
      <c r="G607" s="124">
        <v>946460</v>
      </c>
      <c r="H607" s="125">
        <v>916460</v>
      </c>
      <c r="I607" s="124">
        <v>886460</v>
      </c>
      <c r="J607" s="124">
        <v>856460</v>
      </c>
      <c r="K607" s="124">
        <v>826460</v>
      </c>
      <c r="L607" s="124">
        <v>796460</v>
      </c>
      <c r="M607" s="124">
        <v>766460</v>
      </c>
    </row>
    <row r="608" spans="1:13">
      <c r="A608" s="124">
        <v>9120000</v>
      </c>
      <c r="B608" s="124">
        <v>9140000</v>
      </c>
      <c r="C608" s="124">
        <v>1219260</v>
      </c>
      <c r="D608" s="124">
        <v>1168300</v>
      </c>
      <c r="E608" s="124">
        <v>1010830</v>
      </c>
      <c r="F608" s="124">
        <v>980830</v>
      </c>
      <c r="G608" s="124">
        <v>950830</v>
      </c>
      <c r="H608" s="125">
        <v>920830</v>
      </c>
      <c r="I608" s="124">
        <v>890830</v>
      </c>
      <c r="J608" s="124">
        <v>860830</v>
      </c>
      <c r="K608" s="124">
        <v>830830</v>
      </c>
      <c r="L608" s="124">
        <v>800830</v>
      </c>
      <c r="M608" s="124">
        <v>770830</v>
      </c>
    </row>
    <row r="609" spans="1:13">
      <c r="A609" s="124">
        <v>9140000</v>
      </c>
      <c r="B609" s="124">
        <v>9160000</v>
      </c>
      <c r="C609" s="124">
        <v>1223940</v>
      </c>
      <c r="D609" s="124">
        <v>1172960</v>
      </c>
      <c r="E609" s="124">
        <v>1015200</v>
      </c>
      <c r="F609" s="124">
        <v>985200</v>
      </c>
      <c r="G609" s="124">
        <v>955200</v>
      </c>
      <c r="H609" s="125">
        <v>925200</v>
      </c>
      <c r="I609" s="124">
        <v>895200</v>
      </c>
      <c r="J609" s="124">
        <v>865200</v>
      </c>
      <c r="K609" s="124">
        <v>835200</v>
      </c>
      <c r="L609" s="124">
        <v>805200</v>
      </c>
      <c r="M609" s="124">
        <v>775200</v>
      </c>
    </row>
    <row r="610" spans="1:13">
      <c r="A610" s="124">
        <v>9160000</v>
      </c>
      <c r="B610" s="124">
        <v>9180000</v>
      </c>
      <c r="C610" s="124">
        <v>1228620</v>
      </c>
      <c r="D610" s="124">
        <v>1177610</v>
      </c>
      <c r="E610" s="124">
        <v>1019560</v>
      </c>
      <c r="F610" s="124">
        <v>989560</v>
      </c>
      <c r="G610" s="124">
        <v>959560</v>
      </c>
      <c r="H610" s="125">
        <v>929560</v>
      </c>
      <c r="I610" s="124">
        <v>899560</v>
      </c>
      <c r="J610" s="124">
        <v>869560</v>
      </c>
      <c r="K610" s="124">
        <v>839560</v>
      </c>
      <c r="L610" s="124">
        <v>809560</v>
      </c>
      <c r="M610" s="124">
        <v>779560</v>
      </c>
    </row>
    <row r="611" spans="1:13">
      <c r="A611" s="124">
        <v>9180000</v>
      </c>
      <c r="B611" s="124">
        <v>9200000</v>
      </c>
      <c r="C611" s="124">
        <v>1233300</v>
      </c>
      <c r="D611" s="124">
        <v>1182270</v>
      </c>
      <c r="E611" s="124">
        <v>1023930</v>
      </c>
      <c r="F611" s="124">
        <v>993930</v>
      </c>
      <c r="G611" s="124">
        <v>963930</v>
      </c>
      <c r="H611" s="125">
        <v>933930</v>
      </c>
      <c r="I611" s="124">
        <v>903930</v>
      </c>
      <c r="J611" s="124">
        <v>873930</v>
      </c>
      <c r="K611" s="124">
        <v>843930</v>
      </c>
      <c r="L611" s="124">
        <v>813930</v>
      </c>
      <c r="M611" s="124">
        <v>783930</v>
      </c>
    </row>
    <row r="612" spans="1:13">
      <c r="A612" s="124">
        <v>9200000</v>
      </c>
      <c r="B612" s="124">
        <v>9220000</v>
      </c>
      <c r="C612" s="124">
        <v>1237980</v>
      </c>
      <c r="D612" s="124">
        <v>1186920</v>
      </c>
      <c r="E612" s="124">
        <v>1028300</v>
      </c>
      <c r="F612" s="124">
        <v>998300</v>
      </c>
      <c r="G612" s="124">
        <v>968300</v>
      </c>
      <c r="H612" s="125">
        <v>938300</v>
      </c>
      <c r="I612" s="124">
        <v>908300</v>
      </c>
      <c r="J612" s="124">
        <v>878300</v>
      </c>
      <c r="K612" s="124">
        <v>848300</v>
      </c>
      <c r="L612" s="124">
        <v>818300</v>
      </c>
      <c r="M612" s="124">
        <v>788300</v>
      </c>
    </row>
    <row r="613" spans="1:13">
      <c r="A613" s="124">
        <v>9220000</v>
      </c>
      <c r="B613" s="124">
        <v>9240000</v>
      </c>
      <c r="C613" s="124">
        <v>1244640</v>
      </c>
      <c r="D613" s="124">
        <v>1191580</v>
      </c>
      <c r="E613" s="124">
        <v>1032670</v>
      </c>
      <c r="F613" s="124">
        <v>1002670</v>
      </c>
      <c r="G613" s="124">
        <v>972670</v>
      </c>
      <c r="H613" s="125">
        <v>942670</v>
      </c>
      <c r="I613" s="124">
        <v>912670</v>
      </c>
      <c r="J613" s="124">
        <v>882670</v>
      </c>
      <c r="K613" s="124">
        <v>852670</v>
      </c>
      <c r="L613" s="124">
        <v>822670</v>
      </c>
      <c r="M613" s="124">
        <v>792670</v>
      </c>
    </row>
    <row r="614" spans="1:13">
      <c r="A614" s="124">
        <v>9240000</v>
      </c>
      <c r="B614" s="124">
        <v>9260000</v>
      </c>
      <c r="C614" s="124">
        <v>1251470</v>
      </c>
      <c r="D614" s="124">
        <v>1196240</v>
      </c>
      <c r="E614" s="124">
        <v>1037040</v>
      </c>
      <c r="F614" s="124">
        <v>1007040</v>
      </c>
      <c r="G614" s="124">
        <v>977040</v>
      </c>
      <c r="H614" s="125">
        <v>947040</v>
      </c>
      <c r="I614" s="124">
        <v>917040</v>
      </c>
      <c r="J614" s="124">
        <v>887040</v>
      </c>
      <c r="K614" s="124">
        <v>857040</v>
      </c>
      <c r="L614" s="124">
        <v>827040</v>
      </c>
      <c r="M614" s="124">
        <v>797040</v>
      </c>
    </row>
    <row r="615" spans="1:13">
      <c r="A615" s="124">
        <v>9260000</v>
      </c>
      <c r="B615" s="124">
        <v>9280000</v>
      </c>
      <c r="C615" s="124">
        <v>1258290</v>
      </c>
      <c r="D615" s="124">
        <v>1200890</v>
      </c>
      <c r="E615" s="124">
        <v>1041400</v>
      </c>
      <c r="F615" s="124">
        <v>1011400</v>
      </c>
      <c r="G615" s="124">
        <v>981400</v>
      </c>
      <c r="H615" s="125">
        <v>951400</v>
      </c>
      <c r="I615" s="124">
        <v>921400</v>
      </c>
      <c r="J615" s="124">
        <v>891400</v>
      </c>
      <c r="K615" s="124">
        <v>861400</v>
      </c>
      <c r="L615" s="124">
        <v>831400</v>
      </c>
      <c r="M615" s="124">
        <v>801400</v>
      </c>
    </row>
    <row r="616" spans="1:13">
      <c r="A616" s="124">
        <v>9280000</v>
      </c>
      <c r="B616" s="124">
        <v>9300000</v>
      </c>
      <c r="C616" s="124">
        <v>1265120</v>
      </c>
      <c r="D616" s="124">
        <v>1205550</v>
      </c>
      <c r="E616" s="124">
        <v>1045770</v>
      </c>
      <c r="F616" s="124">
        <v>1015770</v>
      </c>
      <c r="G616" s="124">
        <v>985770</v>
      </c>
      <c r="H616" s="125">
        <v>955770</v>
      </c>
      <c r="I616" s="124">
        <v>925770</v>
      </c>
      <c r="J616" s="124">
        <v>895770</v>
      </c>
      <c r="K616" s="124">
        <v>865770</v>
      </c>
      <c r="L616" s="124">
        <v>835770</v>
      </c>
      <c r="M616" s="124">
        <v>805770</v>
      </c>
    </row>
    <row r="617" spans="1:13">
      <c r="A617" s="124">
        <v>9300000</v>
      </c>
      <c r="B617" s="124">
        <v>9320000</v>
      </c>
      <c r="C617" s="124">
        <v>1271940</v>
      </c>
      <c r="D617" s="124">
        <v>1210200</v>
      </c>
      <c r="E617" s="124">
        <v>1050140</v>
      </c>
      <c r="F617" s="124">
        <v>1020140</v>
      </c>
      <c r="G617" s="124">
        <v>990140</v>
      </c>
      <c r="H617" s="125">
        <v>960140</v>
      </c>
      <c r="I617" s="124">
        <v>930140</v>
      </c>
      <c r="J617" s="124">
        <v>900140</v>
      </c>
      <c r="K617" s="124">
        <v>870140</v>
      </c>
      <c r="L617" s="124">
        <v>840140</v>
      </c>
      <c r="M617" s="124">
        <v>810140</v>
      </c>
    </row>
    <row r="618" spans="1:13">
      <c r="A618" s="124">
        <v>9320000</v>
      </c>
      <c r="B618" s="124">
        <v>9340000</v>
      </c>
      <c r="C618" s="124">
        <v>1278770</v>
      </c>
      <c r="D618" s="124">
        <v>1214860</v>
      </c>
      <c r="E618" s="124">
        <v>1054510</v>
      </c>
      <c r="F618" s="124">
        <v>1024510</v>
      </c>
      <c r="G618" s="124">
        <v>994510</v>
      </c>
      <c r="H618" s="125">
        <v>964510</v>
      </c>
      <c r="I618" s="124">
        <v>934510</v>
      </c>
      <c r="J618" s="124">
        <v>904510</v>
      </c>
      <c r="K618" s="124">
        <v>874510</v>
      </c>
      <c r="L618" s="124">
        <v>844510</v>
      </c>
      <c r="M618" s="124">
        <v>814510</v>
      </c>
    </row>
    <row r="619" spans="1:13">
      <c r="A619" s="124">
        <v>9340000</v>
      </c>
      <c r="B619" s="124">
        <v>9360000</v>
      </c>
      <c r="C619" s="124">
        <v>1285590</v>
      </c>
      <c r="D619" s="124">
        <v>1219520</v>
      </c>
      <c r="E619" s="124">
        <v>1058880</v>
      </c>
      <c r="F619" s="124">
        <v>1028880</v>
      </c>
      <c r="G619" s="124">
        <v>998880</v>
      </c>
      <c r="H619" s="125">
        <v>968880</v>
      </c>
      <c r="I619" s="124">
        <v>938880</v>
      </c>
      <c r="J619" s="124">
        <v>908880</v>
      </c>
      <c r="K619" s="124">
        <v>878880</v>
      </c>
      <c r="L619" s="124">
        <v>848880</v>
      </c>
      <c r="M619" s="124">
        <v>818880</v>
      </c>
    </row>
    <row r="620" spans="1:13">
      <c r="A620" s="124">
        <v>9360000</v>
      </c>
      <c r="B620" s="124">
        <v>9380000</v>
      </c>
      <c r="C620" s="124">
        <v>1292420</v>
      </c>
      <c r="D620" s="124">
        <v>1224170</v>
      </c>
      <c r="E620" s="124">
        <v>1063240</v>
      </c>
      <c r="F620" s="124">
        <v>1033240</v>
      </c>
      <c r="G620" s="124">
        <v>1003240</v>
      </c>
      <c r="H620" s="125">
        <v>973240</v>
      </c>
      <c r="I620" s="124">
        <v>943240</v>
      </c>
      <c r="J620" s="124">
        <v>913240</v>
      </c>
      <c r="K620" s="124">
        <v>883240</v>
      </c>
      <c r="L620" s="124">
        <v>853240</v>
      </c>
      <c r="M620" s="124">
        <v>823240</v>
      </c>
    </row>
    <row r="621" spans="1:13">
      <c r="A621" s="124">
        <v>9380000</v>
      </c>
      <c r="B621" s="124">
        <v>9400000</v>
      </c>
      <c r="C621" s="124">
        <v>1299240</v>
      </c>
      <c r="D621" s="124">
        <v>1228830</v>
      </c>
      <c r="E621" s="124">
        <v>1067610</v>
      </c>
      <c r="F621" s="124">
        <v>1037610</v>
      </c>
      <c r="G621" s="124">
        <v>1007610</v>
      </c>
      <c r="H621" s="125">
        <v>977610</v>
      </c>
      <c r="I621" s="124">
        <v>947610</v>
      </c>
      <c r="J621" s="124">
        <v>917610</v>
      </c>
      <c r="K621" s="124">
        <v>887610</v>
      </c>
      <c r="L621" s="124">
        <v>857610</v>
      </c>
      <c r="M621" s="124">
        <v>827610</v>
      </c>
    </row>
    <row r="622" spans="1:13">
      <c r="A622" s="124">
        <v>9400000</v>
      </c>
      <c r="B622" s="124">
        <v>9420000</v>
      </c>
      <c r="C622" s="124">
        <v>1306070</v>
      </c>
      <c r="D622" s="124">
        <v>1233480</v>
      </c>
      <c r="E622" s="124">
        <v>1071980</v>
      </c>
      <c r="F622" s="124">
        <v>1041980</v>
      </c>
      <c r="G622" s="124">
        <v>1011980</v>
      </c>
      <c r="H622" s="125">
        <v>981980</v>
      </c>
      <c r="I622" s="124">
        <v>951980</v>
      </c>
      <c r="J622" s="124">
        <v>921980</v>
      </c>
      <c r="K622" s="124">
        <v>891980</v>
      </c>
      <c r="L622" s="124">
        <v>861980</v>
      </c>
      <c r="M622" s="124">
        <v>831980</v>
      </c>
    </row>
    <row r="623" spans="1:13">
      <c r="A623" s="124">
        <v>9420000</v>
      </c>
      <c r="B623" s="124">
        <v>9440000</v>
      </c>
      <c r="C623" s="124">
        <v>1312890</v>
      </c>
      <c r="D623" s="124">
        <v>1238140</v>
      </c>
      <c r="E623" s="124">
        <v>1076350</v>
      </c>
      <c r="F623" s="124">
        <v>1046350</v>
      </c>
      <c r="G623" s="124">
        <v>1016350</v>
      </c>
      <c r="H623" s="125">
        <v>986350</v>
      </c>
      <c r="I623" s="124">
        <v>956350</v>
      </c>
      <c r="J623" s="124">
        <v>926350</v>
      </c>
      <c r="K623" s="124">
        <v>896350</v>
      </c>
      <c r="L623" s="124">
        <v>866350</v>
      </c>
      <c r="M623" s="124">
        <v>836350</v>
      </c>
    </row>
    <row r="624" spans="1:13">
      <c r="A624" s="124">
        <v>9440000</v>
      </c>
      <c r="B624" s="124">
        <v>9460000</v>
      </c>
      <c r="C624" s="124">
        <v>1319720</v>
      </c>
      <c r="D624" s="124">
        <v>1244840</v>
      </c>
      <c r="E624" s="124">
        <v>1080720</v>
      </c>
      <c r="F624" s="124">
        <v>1050720</v>
      </c>
      <c r="G624" s="124">
        <v>1020720</v>
      </c>
      <c r="H624" s="125">
        <v>990720</v>
      </c>
      <c r="I624" s="124">
        <v>960720</v>
      </c>
      <c r="J624" s="124">
        <v>930720</v>
      </c>
      <c r="K624" s="124">
        <v>900720</v>
      </c>
      <c r="L624" s="124">
        <v>870720</v>
      </c>
      <c r="M624" s="124">
        <v>840720</v>
      </c>
    </row>
    <row r="625" spans="1:13">
      <c r="A625" s="124">
        <v>9460000</v>
      </c>
      <c r="B625" s="124">
        <v>9480000</v>
      </c>
      <c r="C625" s="124">
        <v>1326540</v>
      </c>
      <c r="D625" s="124">
        <v>1251630</v>
      </c>
      <c r="E625" s="124">
        <v>1085080</v>
      </c>
      <c r="F625" s="124">
        <v>1055080</v>
      </c>
      <c r="G625" s="124">
        <v>1025080</v>
      </c>
      <c r="H625" s="125">
        <v>995080</v>
      </c>
      <c r="I625" s="124">
        <v>965080</v>
      </c>
      <c r="J625" s="124">
        <v>935080</v>
      </c>
      <c r="K625" s="124">
        <v>905080</v>
      </c>
      <c r="L625" s="124">
        <v>875080</v>
      </c>
      <c r="M625" s="124">
        <v>845080</v>
      </c>
    </row>
    <row r="626" spans="1:13">
      <c r="A626" s="124">
        <v>9480000</v>
      </c>
      <c r="B626" s="124">
        <v>9500000</v>
      </c>
      <c r="C626" s="124">
        <v>1333370</v>
      </c>
      <c r="D626" s="124">
        <v>1258420</v>
      </c>
      <c r="E626" s="124">
        <v>1089450</v>
      </c>
      <c r="F626" s="124">
        <v>1059450</v>
      </c>
      <c r="G626" s="124">
        <v>1029450</v>
      </c>
      <c r="H626" s="125">
        <v>999450</v>
      </c>
      <c r="I626" s="124">
        <v>969450</v>
      </c>
      <c r="J626" s="124">
        <v>939450</v>
      </c>
      <c r="K626" s="124">
        <v>909450</v>
      </c>
      <c r="L626" s="124">
        <v>879450</v>
      </c>
      <c r="M626" s="124">
        <v>849450</v>
      </c>
    </row>
    <row r="627" spans="1:13">
      <c r="A627" s="124">
        <v>9500000</v>
      </c>
      <c r="B627" s="124">
        <v>9520000</v>
      </c>
      <c r="C627" s="124">
        <v>1340190</v>
      </c>
      <c r="D627" s="124">
        <v>1265210</v>
      </c>
      <c r="E627" s="124">
        <v>1093820</v>
      </c>
      <c r="F627" s="124">
        <v>1063820</v>
      </c>
      <c r="G627" s="124">
        <v>1033820</v>
      </c>
      <c r="H627" s="125">
        <v>1003820</v>
      </c>
      <c r="I627" s="124">
        <v>973820</v>
      </c>
      <c r="J627" s="124">
        <v>943820</v>
      </c>
      <c r="K627" s="124">
        <v>913820</v>
      </c>
      <c r="L627" s="124">
        <v>883820</v>
      </c>
      <c r="M627" s="124">
        <v>853820</v>
      </c>
    </row>
    <row r="628" spans="1:13">
      <c r="A628" s="124">
        <v>9520000</v>
      </c>
      <c r="B628" s="124">
        <v>9540000</v>
      </c>
      <c r="C628" s="124">
        <v>1347020</v>
      </c>
      <c r="D628" s="124">
        <v>1272000</v>
      </c>
      <c r="E628" s="124">
        <v>1098190</v>
      </c>
      <c r="F628" s="124">
        <v>1068190</v>
      </c>
      <c r="G628" s="124">
        <v>1038190</v>
      </c>
      <c r="H628" s="125">
        <v>1008190</v>
      </c>
      <c r="I628" s="124">
        <v>978190</v>
      </c>
      <c r="J628" s="124">
        <v>948190</v>
      </c>
      <c r="K628" s="124">
        <v>918190</v>
      </c>
      <c r="L628" s="124">
        <v>888190</v>
      </c>
      <c r="M628" s="124">
        <v>858190</v>
      </c>
    </row>
    <row r="629" spans="1:13">
      <c r="A629" s="124">
        <v>9540000</v>
      </c>
      <c r="B629" s="124">
        <v>9560000</v>
      </c>
      <c r="C629" s="124">
        <v>1353840</v>
      </c>
      <c r="D629" s="124">
        <v>1278790</v>
      </c>
      <c r="E629" s="124">
        <v>1102560</v>
      </c>
      <c r="F629" s="124">
        <v>1072560</v>
      </c>
      <c r="G629" s="124">
        <v>1042560</v>
      </c>
      <c r="H629" s="125">
        <v>1012560</v>
      </c>
      <c r="I629" s="124">
        <v>982560</v>
      </c>
      <c r="J629" s="124">
        <v>952560</v>
      </c>
      <c r="K629" s="124">
        <v>922560</v>
      </c>
      <c r="L629" s="124">
        <v>892560</v>
      </c>
      <c r="M629" s="124">
        <v>862560</v>
      </c>
    </row>
    <row r="630" spans="1:13">
      <c r="A630" s="124">
        <v>9560000</v>
      </c>
      <c r="B630" s="124">
        <v>9580000</v>
      </c>
      <c r="C630" s="124">
        <v>1360670</v>
      </c>
      <c r="D630" s="124">
        <v>1285580</v>
      </c>
      <c r="E630" s="124">
        <v>1106920</v>
      </c>
      <c r="F630" s="124">
        <v>1076920</v>
      </c>
      <c r="G630" s="124">
        <v>1046920</v>
      </c>
      <c r="H630" s="125">
        <v>1016920</v>
      </c>
      <c r="I630" s="124">
        <v>986920</v>
      </c>
      <c r="J630" s="124">
        <v>956920</v>
      </c>
      <c r="K630" s="124">
        <v>926920</v>
      </c>
      <c r="L630" s="124">
        <v>896920</v>
      </c>
      <c r="M630" s="124">
        <v>866920</v>
      </c>
    </row>
    <row r="631" spans="1:13">
      <c r="A631" s="124">
        <v>9580000</v>
      </c>
      <c r="B631" s="124">
        <v>9600000</v>
      </c>
      <c r="C631" s="124">
        <v>1367490</v>
      </c>
      <c r="D631" s="124">
        <v>1292370</v>
      </c>
      <c r="E631" s="124">
        <v>1111290</v>
      </c>
      <c r="F631" s="124">
        <v>1081290</v>
      </c>
      <c r="G631" s="124">
        <v>1051290</v>
      </c>
      <c r="H631" s="125">
        <v>1021290</v>
      </c>
      <c r="I631" s="124">
        <v>991290</v>
      </c>
      <c r="J631" s="124">
        <v>961290</v>
      </c>
      <c r="K631" s="124">
        <v>931290</v>
      </c>
      <c r="L631" s="124">
        <v>901290</v>
      </c>
      <c r="M631" s="124">
        <v>871290</v>
      </c>
    </row>
    <row r="632" spans="1:13">
      <c r="A632" s="124">
        <v>9600000</v>
      </c>
      <c r="B632" s="124">
        <v>9620000</v>
      </c>
      <c r="C632" s="124">
        <v>1374320</v>
      </c>
      <c r="D632" s="124">
        <v>1299160</v>
      </c>
      <c r="E632" s="124">
        <v>1115660</v>
      </c>
      <c r="F632" s="124">
        <v>1085660</v>
      </c>
      <c r="G632" s="124">
        <v>1055660</v>
      </c>
      <c r="H632" s="125">
        <v>1025660</v>
      </c>
      <c r="I632" s="124">
        <v>995660</v>
      </c>
      <c r="J632" s="124">
        <v>965660</v>
      </c>
      <c r="K632" s="124">
        <v>935660</v>
      </c>
      <c r="L632" s="124">
        <v>905660</v>
      </c>
      <c r="M632" s="124">
        <v>875660</v>
      </c>
    </row>
    <row r="633" spans="1:13">
      <c r="A633" s="124">
        <v>9620000</v>
      </c>
      <c r="B633" s="124">
        <v>9640000</v>
      </c>
      <c r="C633" s="124">
        <v>1381140</v>
      </c>
      <c r="D633" s="124">
        <v>1305950</v>
      </c>
      <c r="E633" s="124">
        <v>1120030</v>
      </c>
      <c r="F633" s="124">
        <v>1090030</v>
      </c>
      <c r="G633" s="124">
        <v>1060030</v>
      </c>
      <c r="H633" s="125">
        <v>1030030</v>
      </c>
      <c r="I633" s="124">
        <v>1000030</v>
      </c>
      <c r="J633" s="124">
        <v>970030</v>
      </c>
      <c r="K633" s="124">
        <v>940030</v>
      </c>
      <c r="L633" s="124">
        <v>910030</v>
      </c>
      <c r="M633" s="124">
        <v>880030</v>
      </c>
    </row>
    <row r="634" spans="1:13">
      <c r="A634" s="124">
        <v>9640000</v>
      </c>
      <c r="B634" s="124">
        <v>9660000</v>
      </c>
      <c r="C634" s="124">
        <v>1387970</v>
      </c>
      <c r="D634" s="124">
        <v>1312740</v>
      </c>
      <c r="E634" s="124">
        <v>1124400</v>
      </c>
      <c r="F634" s="124">
        <v>1094400</v>
      </c>
      <c r="G634" s="124">
        <v>1064400</v>
      </c>
      <c r="H634" s="125">
        <v>1034400</v>
      </c>
      <c r="I634" s="124">
        <v>1004400</v>
      </c>
      <c r="J634" s="124">
        <v>974400</v>
      </c>
      <c r="K634" s="124">
        <v>944400</v>
      </c>
      <c r="L634" s="124">
        <v>914400</v>
      </c>
      <c r="M634" s="124">
        <v>884400</v>
      </c>
    </row>
    <row r="635" spans="1:13">
      <c r="A635" s="124">
        <v>9660000</v>
      </c>
      <c r="B635" s="124">
        <v>9680000</v>
      </c>
      <c r="C635" s="124">
        <v>1394790</v>
      </c>
      <c r="D635" s="124">
        <v>1319530</v>
      </c>
      <c r="E635" s="124">
        <v>1128760</v>
      </c>
      <c r="F635" s="124">
        <v>1098760</v>
      </c>
      <c r="G635" s="124">
        <v>1068760</v>
      </c>
      <c r="H635" s="125">
        <v>1038760</v>
      </c>
      <c r="I635" s="124">
        <v>1008760</v>
      </c>
      <c r="J635" s="124">
        <v>978760</v>
      </c>
      <c r="K635" s="124">
        <v>948760</v>
      </c>
      <c r="L635" s="124">
        <v>918760</v>
      </c>
      <c r="M635" s="124">
        <v>888760</v>
      </c>
    </row>
    <row r="636" spans="1:13">
      <c r="A636" s="124">
        <v>9680000</v>
      </c>
      <c r="B636" s="124">
        <v>9700000</v>
      </c>
      <c r="C636" s="124">
        <v>1401620</v>
      </c>
      <c r="D636" s="124">
        <v>1326320</v>
      </c>
      <c r="E636" s="124">
        <v>1133130</v>
      </c>
      <c r="F636" s="124">
        <v>1103130</v>
      </c>
      <c r="G636" s="124">
        <v>1073130</v>
      </c>
      <c r="H636" s="125">
        <v>1043130</v>
      </c>
      <c r="I636" s="124">
        <v>1013130</v>
      </c>
      <c r="J636" s="124">
        <v>983130</v>
      </c>
      <c r="K636" s="124">
        <v>953130</v>
      </c>
      <c r="L636" s="124">
        <v>923130</v>
      </c>
      <c r="M636" s="124">
        <v>893130</v>
      </c>
    </row>
    <row r="637" spans="1:13">
      <c r="A637" s="124">
        <v>9700000</v>
      </c>
      <c r="B637" s="124">
        <v>9720000</v>
      </c>
      <c r="C637" s="124">
        <v>1408440</v>
      </c>
      <c r="D637" s="124">
        <v>1333110</v>
      </c>
      <c r="E637" s="124">
        <v>1137500</v>
      </c>
      <c r="F637" s="124">
        <v>1107500</v>
      </c>
      <c r="G637" s="124">
        <v>1077500</v>
      </c>
      <c r="H637" s="125">
        <v>1047500</v>
      </c>
      <c r="I637" s="124">
        <v>1017500</v>
      </c>
      <c r="J637" s="124">
        <v>987500</v>
      </c>
      <c r="K637" s="124">
        <v>957500</v>
      </c>
      <c r="L637" s="124">
        <v>927500</v>
      </c>
      <c r="M637" s="124">
        <v>897500</v>
      </c>
    </row>
    <row r="638" spans="1:13">
      <c r="A638" s="124">
        <v>9720000</v>
      </c>
      <c r="B638" s="124">
        <v>9740000</v>
      </c>
      <c r="C638" s="124">
        <v>1415270</v>
      </c>
      <c r="D638" s="124">
        <v>1339900</v>
      </c>
      <c r="E638" s="124">
        <v>1141870</v>
      </c>
      <c r="F638" s="124">
        <v>1111870</v>
      </c>
      <c r="G638" s="124">
        <v>1081870</v>
      </c>
      <c r="H638" s="125">
        <v>1051870</v>
      </c>
      <c r="I638" s="124">
        <v>1021870</v>
      </c>
      <c r="J638" s="124">
        <v>991870</v>
      </c>
      <c r="K638" s="124">
        <v>961870</v>
      </c>
      <c r="L638" s="124">
        <v>931870</v>
      </c>
      <c r="M638" s="124">
        <v>901870</v>
      </c>
    </row>
    <row r="639" spans="1:13">
      <c r="A639" s="124">
        <v>9740000</v>
      </c>
      <c r="B639" s="124">
        <v>9760000</v>
      </c>
      <c r="C639" s="124">
        <v>1422090</v>
      </c>
      <c r="D639" s="124">
        <v>1346690</v>
      </c>
      <c r="E639" s="124">
        <v>1146240</v>
      </c>
      <c r="F639" s="124">
        <v>1116240</v>
      </c>
      <c r="G639" s="124">
        <v>1086240</v>
      </c>
      <c r="H639" s="125">
        <v>1056240</v>
      </c>
      <c r="I639" s="124">
        <v>1026240</v>
      </c>
      <c r="J639" s="124">
        <v>996240</v>
      </c>
      <c r="K639" s="124">
        <v>966240</v>
      </c>
      <c r="L639" s="124">
        <v>936240</v>
      </c>
      <c r="M639" s="124">
        <v>906240</v>
      </c>
    </row>
    <row r="640" spans="1:13">
      <c r="A640" s="124">
        <v>9760000</v>
      </c>
      <c r="B640" s="124">
        <v>9780000</v>
      </c>
      <c r="C640" s="124">
        <v>1428920</v>
      </c>
      <c r="D640" s="124">
        <v>1353480</v>
      </c>
      <c r="E640" s="124">
        <v>1150600</v>
      </c>
      <c r="F640" s="124">
        <v>1120600</v>
      </c>
      <c r="G640" s="124">
        <v>1090600</v>
      </c>
      <c r="H640" s="125">
        <v>1060600</v>
      </c>
      <c r="I640" s="124">
        <v>1030600</v>
      </c>
      <c r="J640" s="124">
        <v>1000600</v>
      </c>
      <c r="K640" s="124">
        <v>970600</v>
      </c>
      <c r="L640" s="124">
        <v>940600</v>
      </c>
      <c r="M640" s="124">
        <v>910600</v>
      </c>
    </row>
    <row r="641" spans="1:13">
      <c r="A641" s="124">
        <v>9780000</v>
      </c>
      <c r="B641" s="124">
        <v>9800000</v>
      </c>
      <c r="C641" s="124">
        <v>1435740</v>
      </c>
      <c r="D641" s="124">
        <v>1360270</v>
      </c>
      <c r="E641" s="124">
        <v>1154970</v>
      </c>
      <c r="F641" s="124">
        <v>1124970</v>
      </c>
      <c r="G641" s="124">
        <v>1094970</v>
      </c>
      <c r="H641" s="125">
        <v>1064970</v>
      </c>
      <c r="I641" s="124">
        <v>1034970</v>
      </c>
      <c r="J641" s="124">
        <v>1004970</v>
      </c>
      <c r="K641" s="124">
        <v>974970</v>
      </c>
      <c r="L641" s="124">
        <v>944970</v>
      </c>
      <c r="M641" s="124">
        <v>914970</v>
      </c>
    </row>
    <row r="642" spans="1:13">
      <c r="A642" s="124">
        <v>9800000</v>
      </c>
      <c r="B642" s="124">
        <v>9820000</v>
      </c>
      <c r="C642" s="124">
        <v>1442570</v>
      </c>
      <c r="D642" s="124">
        <v>1367060</v>
      </c>
      <c r="E642" s="124">
        <v>1159340</v>
      </c>
      <c r="F642" s="124">
        <v>1129340</v>
      </c>
      <c r="G642" s="124">
        <v>1099340</v>
      </c>
      <c r="H642" s="125">
        <v>1069340</v>
      </c>
      <c r="I642" s="124">
        <v>1039340</v>
      </c>
      <c r="J642" s="124">
        <v>1009340</v>
      </c>
      <c r="K642" s="124">
        <v>979340</v>
      </c>
      <c r="L642" s="124">
        <v>949340</v>
      </c>
      <c r="M642" s="124">
        <v>919340</v>
      </c>
    </row>
    <row r="643" spans="1:13">
      <c r="A643" s="124">
        <v>9820000</v>
      </c>
      <c r="B643" s="124">
        <v>9840000</v>
      </c>
      <c r="C643" s="124">
        <v>1449390</v>
      </c>
      <c r="D643" s="124">
        <v>1373850</v>
      </c>
      <c r="E643" s="124">
        <v>1163710</v>
      </c>
      <c r="F643" s="124">
        <v>1133710</v>
      </c>
      <c r="G643" s="124">
        <v>1103710</v>
      </c>
      <c r="H643" s="125">
        <v>1073710</v>
      </c>
      <c r="I643" s="124">
        <v>1043710</v>
      </c>
      <c r="J643" s="124">
        <v>1013710</v>
      </c>
      <c r="K643" s="124">
        <v>983710</v>
      </c>
      <c r="L643" s="124">
        <v>953710</v>
      </c>
      <c r="M643" s="124">
        <v>923710</v>
      </c>
    </row>
    <row r="644" spans="1:13">
      <c r="A644" s="124">
        <v>9840000</v>
      </c>
      <c r="B644" s="124">
        <v>9860000</v>
      </c>
      <c r="C644" s="124">
        <v>1456220</v>
      </c>
      <c r="D644" s="124">
        <v>1380640</v>
      </c>
      <c r="E644" s="124">
        <v>1168080</v>
      </c>
      <c r="F644" s="124">
        <v>1138080</v>
      </c>
      <c r="G644" s="124">
        <v>1108080</v>
      </c>
      <c r="H644" s="125">
        <v>1078080</v>
      </c>
      <c r="I644" s="124">
        <v>1048080</v>
      </c>
      <c r="J644" s="124">
        <v>1018080</v>
      </c>
      <c r="K644" s="124">
        <v>988080</v>
      </c>
      <c r="L644" s="124">
        <v>958080</v>
      </c>
      <c r="M644" s="124">
        <v>928080</v>
      </c>
    </row>
    <row r="645" spans="1:13">
      <c r="A645" s="124">
        <v>9860000</v>
      </c>
      <c r="B645" s="124">
        <v>9880000</v>
      </c>
      <c r="C645" s="124">
        <v>1463040</v>
      </c>
      <c r="D645" s="124">
        <v>1387430</v>
      </c>
      <c r="E645" s="124">
        <v>1172440</v>
      </c>
      <c r="F645" s="124">
        <v>1142440</v>
      </c>
      <c r="G645" s="124">
        <v>1112440</v>
      </c>
      <c r="H645" s="125">
        <v>1082440</v>
      </c>
      <c r="I645" s="124">
        <v>1052440</v>
      </c>
      <c r="J645" s="124">
        <v>1022440</v>
      </c>
      <c r="K645" s="124">
        <v>992440</v>
      </c>
      <c r="L645" s="124">
        <v>962440</v>
      </c>
      <c r="M645" s="124">
        <v>932440</v>
      </c>
    </row>
    <row r="646" spans="1:13">
      <c r="A646" s="124">
        <v>9880000</v>
      </c>
      <c r="B646" s="124">
        <v>9900000</v>
      </c>
      <c r="C646" s="124">
        <v>1469870</v>
      </c>
      <c r="D646" s="124">
        <v>1394220</v>
      </c>
      <c r="E646" s="124">
        <v>1176810</v>
      </c>
      <c r="F646" s="124">
        <v>1146810</v>
      </c>
      <c r="G646" s="124">
        <v>1116810</v>
      </c>
      <c r="H646" s="125">
        <v>1086810</v>
      </c>
      <c r="I646" s="124">
        <v>1056810</v>
      </c>
      <c r="J646" s="124">
        <v>1026810</v>
      </c>
      <c r="K646" s="124">
        <v>996810</v>
      </c>
      <c r="L646" s="124">
        <v>966810</v>
      </c>
      <c r="M646" s="124">
        <v>936810</v>
      </c>
    </row>
    <row r="647" spans="1:13">
      <c r="A647" s="124">
        <v>9900000</v>
      </c>
      <c r="B647" s="124">
        <v>9920000</v>
      </c>
      <c r="C647" s="124">
        <v>1476690</v>
      </c>
      <c r="D647" s="124">
        <v>1401010</v>
      </c>
      <c r="E647" s="124">
        <v>1181180</v>
      </c>
      <c r="F647" s="124">
        <v>1151180</v>
      </c>
      <c r="G647" s="124">
        <v>1121180</v>
      </c>
      <c r="H647" s="125">
        <v>1091180</v>
      </c>
      <c r="I647" s="124">
        <v>1061180</v>
      </c>
      <c r="J647" s="124">
        <v>1031180</v>
      </c>
      <c r="K647" s="124">
        <v>1001180</v>
      </c>
      <c r="L647" s="124">
        <v>971180</v>
      </c>
      <c r="M647" s="124">
        <v>941180</v>
      </c>
    </row>
    <row r="648" spans="1:13">
      <c r="A648" s="124">
        <v>9920000</v>
      </c>
      <c r="B648" s="124">
        <v>9940000</v>
      </c>
      <c r="C648" s="124">
        <v>1483520</v>
      </c>
      <c r="D648" s="124">
        <v>1407800</v>
      </c>
      <c r="E648" s="124">
        <v>1185550</v>
      </c>
      <c r="F648" s="124">
        <v>1155550</v>
      </c>
      <c r="G648" s="124">
        <v>1125550</v>
      </c>
      <c r="H648" s="125">
        <v>1095550</v>
      </c>
      <c r="I648" s="124">
        <v>1065550</v>
      </c>
      <c r="J648" s="124">
        <v>1035550</v>
      </c>
      <c r="K648" s="124">
        <v>1005550</v>
      </c>
      <c r="L648" s="124">
        <v>975550</v>
      </c>
      <c r="M648" s="124">
        <v>945550</v>
      </c>
    </row>
    <row r="649" spans="1:13">
      <c r="A649" s="124">
        <v>9940000</v>
      </c>
      <c r="B649" s="124">
        <v>9960000</v>
      </c>
      <c r="C649" s="124">
        <v>1490340</v>
      </c>
      <c r="D649" s="124">
        <v>1414590</v>
      </c>
      <c r="E649" s="124">
        <v>1189920</v>
      </c>
      <c r="F649" s="124">
        <v>1159920</v>
      </c>
      <c r="G649" s="124">
        <v>1129920</v>
      </c>
      <c r="H649" s="125">
        <v>1099920</v>
      </c>
      <c r="I649" s="124">
        <v>1069920</v>
      </c>
      <c r="J649" s="124">
        <v>1039920</v>
      </c>
      <c r="K649" s="124">
        <v>1009920</v>
      </c>
      <c r="L649" s="124">
        <v>979920</v>
      </c>
      <c r="M649" s="124">
        <v>949920</v>
      </c>
    </row>
    <row r="650" spans="1:13">
      <c r="A650" s="124">
        <v>9960000</v>
      </c>
      <c r="B650" s="124">
        <v>9980000</v>
      </c>
      <c r="C650" s="124">
        <v>1497170</v>
      </c>
      <c r="D650" s="124">
        <v>1421380</v>
      </c>
      <c r="E650" s="124">
        <v>1194280</v>
      </c>
      <c r="F650" s="124">
        <v>1164280</v>
      </c>
      <c r="G650" s="124">
        <v>1134280</v>
      </c>
      <c r="H650" s="125">
        <v>1104280</v>
      </c>
      <c r="I650" s="124">
        <v>1074280</v>
      </c>
      <c r="J650" s="124">
        <v>1044280</v>
      </c>
      <c r="K650" s="124">
        <v>1014280</v>
      </c>
      <c r="L650" s="124">
        <v>984280</v>
      </c>
      <c r="M650" s="124">
        <v>954280</v>
      </c>
    </row>
    <row r="651" spans="1:13">
      <c r="A651" s="124">
        <v>9980000</v>
      </c>
      <c r="B651" s="124">
        <v>10000000</v>
      </c>
      <c r="C651" s="124">
        <v>1503990</v>
      </c>
      <c r="D651" s="124">
        <v>1428170</v>
      </c>
      <c r="E651" s="124">
        <v>1198650</v>
      </c>
      <c r="F651" s="124">
        <v>1168650</v>
      </c>
      <c r="G651" s="124">
        <v>1138650</v>
      </c>
      <c r="H651" s="125">
        <v>1108650</v>
      </c>
      <c r="I651" s="124">
        <v>1078650</v>
      </c>
      <c r="J651" s="124">
        <v>1048650</v>
      </c>
      <c r="K651" s="124">
        <v>1018650</v>
      </c>
      <c r="L651" s="124">
        <v>988650</v>
      </c>
      <c r="M651" s="124">
        <v>958650</v>
      </c>
    </row>
    <row r="652" spans="1:13">
      <c r="A652" s="127">
        <v>10000000</v>
      </c>
      <c r="B652" s="128">
        <v>10000000</v>
      </c>
      <c r="C652" s="124">
        <v>1507400</v>
      </c>
      <c r="D652" s="124">
        <v>1431570</v>
      </c>
      <c r="E652" s="124">
        <v>1200840</v>
      </c>
      <c r="F652" s="124">
        <v>1170840</v>
      </c>
      <c r="G652" s="124">
        <v>1140840</v>
      </c>
      <c r="H652" s="125">
        <v>1110840</v>
      </c>
      <c r="I652" s="124">
        <v>1080840</v>
      </c>
      <c r="J652" s="124">
        <v>1050840</v>
      </c>
      <c r="K652" s="124">
        <v>1020840</v>
      </c>
      <c r="L652" s="124">
        <v>990840</v>
      </c>
      <c r="M652" s="124">
        <v>960840</v>
      </c>
    </row>
    <row r="653" spans="1:13" ht="34.5" customHeight="1">
      <c r="A653" s="129" t="s">
        <v>67</v>
      </c>
      <c r="B653" s="129"/>
      <c r="C653" s="130" t="s">
        <v>68</v>
      </c>
      <c r="D653" s="130"/>
      <c r="E653" s="130"/>
      <c r="F653" s="130"/>
      <c r="G653" s="130"/>
      <c r="H653" s="130"/>
      <c r="I653" s="130"/>
      <c r="J653" s="130"/>
      <c r="K653" s="130"/>
      <c r="L653" s="130"/>
      <c r="M653" s="130"/>
    </row>
    <row r="654" spans="1:13" ht="17.100000000000001" customHeight="1">
      <c r="A654" s="129" t="s">
        <v>69</v>
      </c>
      <c r="B654" s="131"/>
      <c r="C654" s="132" t="s">
        <v>70</v>
      </c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</row>
    <row r="655" spans="1:13" ht="17.100000000000001" customHeight="1">
      <c r="A655" s="131"/>
      <c r="B655" s="131"/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</row>
    <row r="656" spans="1:13" ht="17.100000000000001" customHeight="1">
      <c r="A656" s="129" t="s">
        <v>71</v>
      </c>
      <c r="B656" s="131"/>
      <c r="C656" s="132" t="s">
        <v>72</v>
      </c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</row>
    <row r="657" spans="1:13" ht="17.100000000000001" customHeight="1">
      <c r="A657" s="131"/>
      <c r="B657" s="131"/>
      <c r="C657" s="132"/>
      <c r="D657" s="132"/>
      <c r="E657" s="132"/>
      <c r="F657" s="132"/>
      <c r="G657" s="132"/>
      <c r="H657" s="132"/>
      <c r="I657" s="132"/>
      <c r="J657" s="132"/>
      <c r="K657" s="132"/>
      <c r="L657" s="132"/>
      <c r="M657" s="132"/>
    </row>
    <row r="658" spans="1:13" ht="17.100000000000001" customHeight="1">
      <c r="A658" s="129" t="s">
        <v>73</v>
      </c>
      <c r="B658" s="131"/>
      <c r="C658" s="132" t="s">
        <v>74</v>
      </c>
      <c r="D658" s="132"/>
      <c r="E658" s="132"/>
      <c r="F658" s="132"/>
      <c r="G658" s="132"/>
      <c r="H658" s="132"/>
      <c r="I658" s="132"/>
      <c r="J658" s="132"/>
      <c r="K658" s="132"/>
      <c r="L658" s="132"/>
      <c r="M658" s="132"/>
    </row>
    <row r="659" spans="1:13" ht="17.100000000000001" customHeight="1">
      <c r="A659" s="131"/>
      <c r="B659" s="131"/>
      <c r="C659" s="132"/>
      <c r="D659" s="132"/>
      <c r="E659" s="132"/>
      <c r="F659" s="132"/>
      <c r="G659" s="132"/>
      <c r="H659" s="132"/>
      <c r="I659" s="132"/>
      <c r="J659" s="132"/>
      <c r="K659" s="132"/>
      <c r="L659" s="132"/>
      <c r="M659" s="132"/>
    </row>
    <row r="660" spans="1:13" ht="17.100000000000001" customHeight="1">
      <c r="A660" s="129" t="s">
        <v>75</v>
      </c>
      <c r="B660" s="131"/>
      <c r="C660" s="132" t="s">
        <v>76</v>
      </c>
      <c r="D660" s="132"/>
      <c r="E660" s="132"/>
      <c r="F660" s="132"/>
      <c r="G660" s="132"/>
      <c r="H660" s="132"/>
      <c r="I660" s="132"/>
      <c r="J660" s="132"/>
      <c r="K660" s="132"/>
      <c r="L660" s="132"/>
      <c r="M660" s="132"/>
    </row>
    <row r="661" spans="1:13" ht="17.100000000000001" customHeight="1">
      <c r="A661" s="131"/>
      <c r="B661" s="131"/>
      <c r="C661" s="132"/>
      <c r="D661" s="132"/>
      <c r="E661" s="132"/>
      <c r="F661" s="132"/>
      <c r="G661" s="132"/>
      <c r="H661" s="132"/>
      <c r="I661" s="132"/>
      <c r="J661" s="132"/>
      <c r="K661" s="132"/>
      <c r="L661" s="132"/>
      <c r="M661" s="132"/>
    </row>
    <row r="662" spans="1:13">
      <c r="A662" s="129" t="s">
        <v>77</v>
      </c>
      <c r="B662" s="131"/>
      <c r="C662" s="132" t="s">
        <v>78</v>
      </c>
      <c r="D662" s="132"/>
      <c r="E662" s="132"/>
      <c r="F662" s="132"/>
      <c r="G662" s="132"/>
      <c r="H662" s="132"/>
      <c r="I662" s="132"/>
      <c r="J662" s="132"/>
      <c r="K662" s="132"/>
      <c r="L662" s="132"/>
      <c r="M662" s="132"/>
    </row>
    <row r="663" spans="1:13">
      <c r="A663" s="131"/>
      <c r="B663" s="131"/>
      <c r="C663" s="132"/>
      <c r="D663" s="132"/>
      <c r="E663" s="132"/>
      <c r="F663" s="132"/>
      <c r="G663" s="132"/>
      <c r="H663" s="132"/>
      <c r="I663" s="132"/>
      <c r="J663" s="132"/>
      <c r="K663" s="132"/>
      <c r="L663" s="132"/>
      <c r="M663" s="132"/>
    </row>
    <row r="665" spans="1:13" ht="69" customHeight="1">
      <c r="B665" s="134" t="s">
        <v>79</v>
      </c>
      <c r="C665" s="135" t="s">
        <v>80</v>
      </c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</row>
    <row r="666" spans="1:13">
      <c r="C666" s="136" t="s">
        <v>81</v>
      </c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</row>
    <row r="667" spans="1:13">
      <c r="C667" s="137"/>
      <c r="D667" s="137"/>
      <c r="E667" s="137"/>
      <c r="F667" s="137"/>
      <c r="G667" s="137"/>
      <c r="H667" s="137"/>
      <c r="I667" s="137"/>
      <c r="J667" s="137"/>
      <c r="K667" s="137"/>
      <c r="L667" s="137"/>
      <c r="M667" s="137"/>
    </row>
    <row r="668" spans="1:13">
      <c r="C668" s="137"/>
      <c r="D668" s="137"/>
      <c r="E668" s="137"/>
      <c r="F668" s="137"/>
      <c r="G668" s="137"/>
      <c r="H668" s="137"/>
      <c r="I668" s="137"/>
      <c r="J668" s="137"/>
      <c r="K668" s="137"/>
      <c r="L668" s="137"/>
      <c r="M668" s="137"/>
    </row>
    <row r="669" spans="1:13" ht="73.5" customHeight="1">
      <c r="B669" s="134" t="s">
        <v>82</v>
      </c>
      <c r="C669" s="135" t="s">
        <v>83</v>
      </c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</row>
  </sheetData>
  <mergeCells count="19">
    <mergeCell ref="C669:M669"/>
    <mergeCell ref="A660:B661"/>
    <mergeCell ref="C660:M661"/>
    <mergeCell ref="A662:B663"/>
    <mergeCell ref="C662:M663"/>
    <mergeCell ref="C665:M665"/>
    <mergeCell ref="C666:M666"/>
    <mergeCell ref="A654:B655"/>
    <mergeCell ref="C654:M655"/>
    <mergeCell ref="A656:B657"/>
    <mergeCell ref="C656:M657"/>
    <mergeCell ref="A658:B659"/>
    <mergeCell ref="C658:M659"/>
    <mergeCell ref="A1:M1"/>
    <mergeCell ref="A3:B3"/>
    <mergeCell ref="C3:M3"/>
    <mergeCell ref="A4:B4"/>
    <mergeCell ref="A653:B653"/>
    <mergeCell ref="C653:M653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연봉테이블</vt:lpstr>
      <vt:lpstr>간이세액표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Kyoungoh Jeon</dc:creator>
  <cp:lastModifiedBy>-</cp:lastModifiedBy>
  <cp:lastPrinted>2025-09-15T10:57:00Z</cp:lastPrinted>
  <dcterms:created xsi:type="dcterms:W3CDTF">2022-04-20T01:55:25Z</dcterms:created>
  <dcterms:modified xsi:type="dcterms:W3CDTF">2026-01-19T03:54:16Z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Z_DOC_UI_LASTSTATE">
    <vt:lpwstr>{}</vt:lpwstr>
  </property>
</Properties>
</file>